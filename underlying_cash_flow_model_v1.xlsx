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80ba74b6c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1A Dashboard" sheetId="1" r:id="R6f6bcb0d412747c5"/>
    <x:sheet xmlns:r="http://schemas.openxmlformats.org/officeDocument/2006/relationships" name="Calculations" sheetId="2" r:id="R6338f23dd4d247b4"/>
    <x:sheet xmlns:r="http://schemas.openxmlformats.org/officeDocument/2006/relationships" name="Sensitivity Analysis" sheetId="3" r:id="R042ee4d650254a68"/>
    <x:sheet xmlns:r="http://schemas.openxmlformats.org/officeDocument/2006/relationships" name="Notes" sheetId="4" r:id="R28e301fb05b4475a"/>
    <x:sheet xmlns:r="http://schemas.openxmlformats.org/officeDocument/2006/relationships" name="Underlying Mechanics" sheetId="5" r:id="Rf4fb0d7b65444246"/>
    <x:sheet xmlns:r="http://schemas.openxmlformats.org/officeDocument/2006/relationships" name="Mechanics Helper" sheetId="6" r:id="Rc53cf6623253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;-$#,##0"/>
    <x:numFmt numFmtId="201" formatCode="0%"/>
    <x:numFmt numFmtId="202" formatCode="$#,##0;[Red]($#,##0);-"/>
    <x:numFmt numFmtId="203" formatCode="$0"/>
    <x:numFmt numFmtId="204" formatCode="0"/>
    <x:numFmt numFmtId="205" formatCode="0.0%"/>
    <x:numFmt numFmtId="206" formatCode="0.00"/>
    <x:numFmt numFmtId="207" formatCode="#,##0"/>
    <x:numFmt numFmtId="208" formatCode="$#,##0"/>
    <x:numFmt numFmtId="209" formatCode="General"/>
  </x:numFmts>
  <x:fonts count="16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name val="Carlito"/>
    </x:font>
    <x:font>
      <x:b/>
      <x:sz val="11"/>
      <x:name val="Calibri"/>
    </x:font>
    <x:font>
      <x:sz val="11"/>
      <x:name val="Calibri"/>
    </x:font>
    <x:font>
      <x:i/>
      <x:sz val="11"/>
      <x:name val="Calibri"/>
    </x:font>
    <x:font>
      <x:i/>
      <x:sz val="11"/>
      <x:color rgb="64748B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6"/>
      <x:color rgb="0F172A"/>
      <x:name val="Carlito"/>
    </x:font>
    <x:font>
      <x:i/>
      <x:sz val="11"/>
      <x:color rgb="475569"/>
      <x:name val="Carlito"/>
    </x:font>
    <x:font>
      <x:b/>
      <x:sz val="11"/>
      <x:color rgb="1E3A8A"/>
      <x:name val="Carlito"/>
    </x:font>
    <x:font>
      <x:sz val="11"/>
      <x:color rgb="334155"/>
      <x:name val="Carlito"/>
    </x:font>
    <x:font>
      <x:b/>
      <x:sz val="14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DCE6F1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DCE6F1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1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8" fontId="0" fillId="0" borderId="0" xfId="0" applyNumberFormat="1" applyFont="1" applyFill="1" applyBorder="1"/>
    <x:xf numFmtId="201" fontId="9" fillId="6" borderId="0" xfId="0" applyNumberFormat="1" applyFont="1" applyFill="1" applyBorder="1" applyAlignment="1">
      <x:alignment horizontal="center" vertical="center"/>
    </x:xf>
    <x:xf numFmtId="208" fontId="9" fillId="6" borderId="0" xfId="0" applyNumberFormat="1" applyFont="1" applyFill="1" applyBorder="1" applyAlignment="1">
      <x:alignment horizontal="center" vertical="center"/>
    </x:xf>
    <x:xf numFmtId="205" fontId="9" fillId="6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 vertical="center" wrapText="1"/>
    </x:xf>
    <x:xf numFmtId="203" fontId="0" fillId="9" borderId="0" xfId="0" applyNumberFormat="1" applyFont="1" applyFill="1" applyBorder="1" applyAlignment="1">
      <x:alignment wrapText="1"/>
    </x:xf>
    <x:xf numFmtId="204" fontId="0" fillId="9" borderId="0" xfId="0" applyNumberFormat="1" applyFont="1" applyFill="1" applyBorder="1" applyAlignment="1">
      <x:alignment wrapText="1"/>
    </x:xf>
    <x:xf numFmtId="205" fontId="0" fillId="9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3" fontId="2" fillId="9" borderId="0" xfId="0" applyNumberFormat="1" applyFont="1" applyFill="1" applyBorder="1" applyAlignment="1">
      <x:alignment wrapText="1"/>
    </x:xf>
    <x:xf numFmtId="204" fontId="2" fillId="9" borderId="0" xfId="0" applyNumberFormat="1" applyFont="1" applyFill="1" applyBorder="1" applyAlignment="1">
      <x:alignment wrapText="1"/>
    </x:xf>
    <x:xf numFmtId="205" fontId="2" fillId="9" borderId="0" xfId="0" applyNumberFormat="1" applyFont="1" applyFill="1" applyBorder="1" applyAlignment="1">
      <x:alignment wrapText="1"/>
    </x:xf>
    <x:xf numFmtId="201" fontId="2" fillId="9" borderId="0" xfId="0" applyNumberFormat="1" applyFont="1" applyFill="1" applyBorder="1" applyAlignment="1">
      <x:alignment wrapText="1"/>
    </x:xf>
    <x:xf numFmtId="203" fontId="2" fillId="9" xfId="0" applyNumberFormat="1" applyFont="1" applyFill="1" applyBorder="0" applyAlignment="1">
      <x:alignment wrapText="1"/>
    </x:xf>
    <x:xf numFmtId="204" fontId="2" fillId="9" xfId="0" applyNumberFormat="1" applyFont="1" applyFill="1" applyBorder="0" applyAlignment="1">
      <x:alignment wrapText="1"/>
    </x:xf>
    <x:xf numFmtId="205" fontId="2" fillId="9" xfId="0" applyNumberFormat="1" applyFont="1" applyFill="1" applyBorder="0" applyAlignment="1">
      <x:alignment wrapText="1"/>
    </x:xf>
    <x:xf numFmtId="201" fontId="2" fillId="9" xfId="0" applyNumberFormat="1" applyFont="1" applyFill="1" applyBorder="0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205" fontId="2" fillId="10" xfId="0" applyNumberFormat="1" applyFont="1" applyFill="1" applyBorder="0" applyAlignment="1">
      <x:alignment wrapText="1"/>
    </x:xf>
    <x:xf numFmtId="0" fontId="13" fillId="10" borderId="0" xfId="0" applyNumberFormat="1" applyFont="1" applyFill="1" applyBorder="1" applyAlignment="1">
      <x:alignment wrapText="1"/>
    </x:xf>
    <x:xf numFmtId="205" fontId="13" fillId="10" xfId="0" applyNumberFormat="1" applyFont="1" applyFill="1" applyBorder="0" applyAlignment="1">
      <x:alignment wrapText="1"/>
    </x:xf>
    <x:xf numFmtId="205" fontId="13" fillId="9" xfId="0" applyNumberFormat="1" applyFont="1" applyFill="1" applyBorder="0" applyAlignment="1">
      <x:alignment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201" fontId="13" fillId="9" xfId="0" applyNumberFormat="1" applyFont="1" applyFill="1" applyBorder="0" applyAlignment="1">
      <x:alignment wrapText="1"/>
    </x:xf>
    <x:xf numFmtId="209" fontId="0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9C0006"/>
      </x:font>
      <x:fill>
        <x:patternFill>
          <x:bgColor rgb="FCE4D6"/>
        </x:patternFill>
      </x:fill>
    </x:dxf>
    <x:dxf>
      <x:font>
        <x:b/>
        <x:color rgb="006100"/>
      </x:font>
      <x:fill>
        <x:patternFill>
          <x:bgColor rgb="E2F0D9"/>
        </x:patternFill>
      </x:fill>
    </x:dxf>
    <x:dxf>
      <x:font>
        <x:b/>
        <x:color rgb="9C0006"/>
      </x:font>
      <x:fill>
        <x:patternFill>
          <x:bgColor rgb="F4CCCC"/>
        </x:patternFill>
      </x:fill>
    </x:dxf>
    <x:dxf>
      <x:font>
        <x:b/>
        <x:color rgb="006100"/>
      </x:font>
      <x:fill>
        <x:patternFill>
          <x:bgColor rgb="D9EAD3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4989d621c4095" /><Relationship Type="http://schemas.openxmlformats.org/officeDocument/2006/relationships/theme" Target="/xl/theme/theme1.xml" Id="Re9e312caf674489a" /><Relationship Type="http://schemas.openxmlformats.org/officeDocument/2006/relationships/sharedStrings" Target="/xl/sharedStrings.xml" Id="Rfea9d0677bfb4502" /><Relationship Type="http://schemas.openxmlformats.org/officeDocument/2006/relationships/worksheet" Target="/xl/worksheets/sheet1.xml" Id="R6f6bcb0d412747c5" /><Relationship Type="http://schemas.openxmlformats.org/officeDocument/2006/relationships/worksheet" Target="/xl/worksheets/sheet2.xml" Id="R6338f23dd4d247b4" /><Relationship Type="http://schemas.openxmlformats.org/officeDocument/2006/relationships/worksheet" Target="/xl/worksheets/sheet3.xml" Id="R042ee4d650254a68" /><Relationship Type="http://schemas.openxmlformats.org/officeDocument/2006/relationships/worksheet" Target="/xl/worksheets/sheet4.xml" Id="R28e301fb05b4475a" /><Relationship Type="http://schemas.openxmlformats.org/officeDocument/2006/relationships/worksheet" Target="/xl/worksheets/sheet5.xml" Id="Rf4fb0d7b65444246" /><Relationship Type="http://schemas.openxmlformats.org/officeDocument/2006/relationships/worksheet" Target="/xl/worksheets/sheet6.xml" Id="Rc53cf662325344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9e552d2a12477e" /><Relationship Type="http://schemas.openxmlformats.org/officeDocument/2006/relationships/chart" Target="/xl/drawings/charts/chart2.xml" Id="R2a0f646533e742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c07a548050348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Revenue and Simple Costs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revenue</c:v>
          </c:tx>
          <c:spPr>
            <a:solidFill xmlns:a="http://schemas.openxmlformats.org/drawingml/2006/main">
              <a:srgbClr val="BBF7D0"/>
            </a:solidFill>
            <a:ln xmlns:a="http://schemas.openxmlformats.org/drawingml/2006/main" w="9525">
              <a:solidFill>
                <a:srgbClr val="059669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'Calculations'!$D$2:$D$22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Annual simple costs</c:v>
          </c:tx>
          <c:spPr>
            <a:solidFill xmlns:a="http://schemas.openxmlformats.org/drawingml/2006/main">
              <a:srgbClr val="FDBA74"/>
            </a:solidFill>
            <a:ln xmlns:a="http://schemas.openxmlformats.org/drawingml/2006/main" w="9525">
              <a:solidFill>
                <a:srgbClr val="EA580C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'Calculations'!$H$2:$H$22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Position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Cumulative position</c:v>
          </c:tx>
          <c:spPr>
            <a:noFill xmlns:a="http://schemas.openxmlformats.org/drawingml/2006/main"/>
            <a:ln xmlns:a="http://schemas.openxmlformats.org/drawingml/2006/main" w="33338">
              <a:solidFill>
                <a:srgbClr val="1D4ED8"/>
              </a:solidFill>
              <a:prstDash val="solid"/>
            </a:ln>
          </c:spPr>
          <c:cat>
            <c:strRef>
              <c:f>'Calculations'!$A$2:$A$22</c:f>
              <c:strCache>
                <c:ptCount val="0"/>
              </c:strCache>
            </c:strRef>
          </c:cat>
          <c:val>
            <c:numRef>
              <c:f>'Calculations'!$I$2:$I$22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IRR by Grant Support Share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IRR at active farmer share</c:v>
          </c:tx>
          <c:cat>
            <c:strRef>
              <c:f>'Underlying Mechanics'!$N$31:$N$51</c:f>
              <c:strCache>
                <c:ptCount val="0"/>
              </c:strCache>
            </c:strRef>
          </c:cat>
          <c:val>
            <c:numRef>
              <c:f>'Underlying Mechanics'!$O$31:$O$51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7239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9e552d2a12477e"/>
        </a:graphicData>
      </a:graphic>
    </xdr:graphicFrame>
    <xdr:clientData/>
  </xdr:oneCellAnchor>
  <xdr:oneCellAnchor>
    <xdr:from>
      <xdr:col>6</xdr:col>
      <xdr:colOff>0</xdr:colOff>
      <xdr:row>16</xdr:row>
      <xdr:rowOff>0</xdr:rowOff>
    </xdr:from>
    <xdr:ext cx="7239000" cy="2095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f646533e7426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7a548050348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5ada817104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015512497d6d4fd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2" hidden="0" customWidth="1"/>
    <x:col min="5" max="5" width="18" hidden="0" customWidth="1"/>
  </x:cols>
  <x:sheetData>
    <x:row r="1">
      <x:c r="A1" s="26" t="str">
        <x:v>Stage 1A Agroforestry Carbon Finance Model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6" t="str">
        <x:v>Adjustable variables</x:v>
      </x:c>
      <x:c r="B3" s="6" t="str">
        <x:v>Value</x:v>
      </x:c>
      <x:c r="D3" s="6" t="str">
        <x:v>Fixed assumptions</x:v>
      </x:c>
      <x:c r="E3" s="6" t="str">
        <x:v>Value</x:v>
      </x:c>
    </x:row>
    <x:row r="4">
      <x:c r="A4" t="str">
        <x:v>Carbon price ($/credit)</x:v>
      </x:c>
      <x:c r="B4" s="10" t="n">
        <x:v>15</x:v>
      </x:c>
      <x:c r="D4" t="str">
        <x:v>Farmers</x:v>
      </x:c>
      <x:c r="E4" s="12" t="n">
        <x:v>500</x:v>
      </x:c>
    </x:row>
    <x:row r="5">
      <x:c r="A5" t="str">
        <x:v>Project years</x:v>
      </x:c>
      <x:c r="B5" s="10" t="n">
        <x:v>10</x:v>
      </x:c>
      <x:c r="D5" t="str">
        <x:v>Hectares per farmer</x:v>
      </x:c>
      <x:c r="E5" s="12" t="n">
        <x:v>2</x:v>
      </x:c>
    </x:row>
    <x:row r="6">
      <x:c r="D6" t="str">
        <x:v>Trees per hectare</x:v>
      </x:c>
      <x:c r="E6" s="12" t="n">
        <x:v>100</x:v>
      </x:c>
    </x:row>
    <x:row r="7">
      <x:c r="D7" t="str">
        <x:v>Carbon per mature tree</x:v>
      </x:c>
      <x:c r="E7" s="12" t="n">
        <x:v>0.02</x:v>
      </x:c>
    </x:row>
    <x:row r="8">
      <x:c r="A8" s="6" t="str">
        <x:v>Outputs</x:v>
      </x:c>
      <x:c r="B8" s="6" t="str">
        <x:v>Value</x:v>
      </x:c>
      <x:c r="D8" t="str">
        <x:v>Planting cost per tree</x:v>
      </x:c>
      <x:c r="E8" s="12" t="n">
        <x:v>1.5</x:v>
      </x:c>
    </x:row>
    <x:row r="9">
      <x:c r="A9" t="str">
        <x:v>Total carbon revenue</x:v>
      </x:c>
      <x:c r="B9" s="38" t="n">
        <x:f>'Calculations'!J2</x:f>
        <x:v>88875</x:v>
      </x:c>
      <x:c r="D9" t="str">
        <x:v>Annual maintenance per tree</x:v>
      </x:c>
      <x:c r="E9" s="12" t="n">
        <x:v>0.18</x:v>
      </x:c>
    </x:row>
    <x:row r="10">
      <x:c r="A10" t="str">
        <x:v>Total simple costs</x:v>
      </x:c>
      <x:c r="B10" s="38" t="n">
        <x:f>'Calculations'!K2</x:f>
        <x:v>-225000</x:v>
      </x:c>
      <x:c r="D10" t="str">
        <x:v>Annual program cost per farmer</x:v>
      </x:c>
      <x:c r="E10" s="12" t="n">
        <x:v>18</x:v>
      </x:c>
    </x:row>
    <x:row r="11">
      <x:c r="A11" t="str">
        <x:v>Cumulative position</x:v>
      </x:c>
      <x:c r="B11" s="38" t="n">
        <x:f>'Calculations'!L2</x:f>
        <x:v>0</x:v>
      </x:c>
      <x:c r="D11" t="str">
        <x:v>Survival rate (%)</x:v>
      </x:c>
      <x:c r="E11" s="12" t="n">
        <x:v>75</x:v>
      </x:c>
    </x:row>
    <x:row r="14">
      <x:c r="A14" s="16" t="str">
        <x:v>Stage 1A isolates two variables while holding biological and cost assumptions constant.</x:v>
      </x:c>
    </x:row>
  </x:sheetData>
  <x:mergeCells>
    <x:mergeCell ref="A14:E14"/>
  </x:mergeCells>
  <x:pageMargins left="0.7" right="0.7" top="0.75" bottom="0.75" header="0.3" footer="0.3"/>
  <x:drawing xmlns:r="http://schemas.openxmlformats.org/officeDocument/2006/relationships" r:id="R485ada817104402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1.039999961853027" hidden="0" customWidth="1"/>
    <x:col min="11" max="11" width="14.399999618530273" hidden="0" customWidth="1"/>
    <x:col min="12" max="12" width="20.459999084472656" hidden="0" customWidth="1"/>
  </x:cols>
  <x:sheetData>
    <x:row r="1">
      <x:c r="A1" s="30" t="str">
        <x:v>Year</x:v>
      </x:c>
      <x:c r="B1" s="30" t="str">
        <x:v>Growth</x:v>
      </x:c>
      <x:c r="C1" s="30" t="str">
        <x:v>Credits</x:v>
      </x:c>
      <x:c r="D1" s="30" t="str">
        <x:v>Annual revenue</x:v>
      </x:c>
      <x:c r="E1" s="30" t="str">
        <x:v>Planting cost</x:v>
      </x:c>
      <x:c r="F1" s="30" t="str">
        <x:v>Maintenance cost</x:v>
      </x:c>
      <x:c r="G1" s="30" t="str">
        <x:v>Program cost</x:v>
      </x:c>
      <x:c r="H1" s="30" t="str">
        <x:v>Annual simple costs</x:v>
      </x:c>
      <x:c r="I1" s="30" t="str">
        <x:v>Cumulative position</x:v>
      </x:c>
      <x:c r="J1" s="31" t="str">
        <x:v>Total revenue</x:v>
      </x:c>
      <x:c r="K1" s="31" t="str">
        <x:v>Total simple costs</x:v>
      </x:c>
      <x:c r="L1" s="31" t="str">
        <x:v>Final cumulative position</x:v>
      </x:c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n">
        <x:v>0</x:v>
      </x:c>
      <x:c r="B2" s="18" t="n">
        <x:v>0</x:v>
      </x:c>
      <x:c r="C2" t="n">
        <x:f>IF(A2&lt;='Stage 1A Dashboard'!$B$5,('Stage 1A Dashboard'!$E$4*'Stage 1A Dashboard'!$E$5*'Stage 1A Dashboard'!$E$6*('Stage 1A Dashboard'!$E$11/100)*'Stage 1A Dashboard'!$E$7*B2),"")</x:f>
        <x:v>0</x:v>
      </x:c>
      <x:c r="D2" s="38" t="str">
        <x:f>IF(C2="","",C2*'Stage 1A Dashboard'!$B$4)</x:f>
      </x:c>
      <x:c r="E2" s="38" t="n">
        <x:f>'Stage 1A Dashboard'!$E$4*'Stage 1A Dashboard'!$E$5*'Stage 1A Dashboard'!$E$6*'Stage 1A Dashboard'!$E$8</x:f>
        <x:v>150000</x:v>
      </x:c>
      <x:c r="F2" s="38" t="n">
        <x:v>0</x:v>
      </x:c>
      <x:c r="G2" s="38" t="n">
        <x:v>0</x:v>
      </x:c>
      <x:c r="H2" s="38" t="str">
        <x:f>IF(C2="","",-SUM(E2:G2))</x:f>
      </x:c>
      <x:c r="I2" s="38" t="n">
        <x:f>D2+H2</x:f>
        <x:v>0</x:v>
      </x:c>
      <x:c r="J2" s="38" t="n">
        <x:f>SUM(D2:D22)</x:f>
        <x:v>88875</x:v>
      </x:c>
      <x:c r="K2" s="38" t="n">
        <x:f>SUM(H2:H22)</x:f>
        <x:v>-225000</x:v>
      </x:c>
      <x:c r="L2" s="38" t="str">
        <x:f>LOOKUP(9.9E+307,I2:I22)</x:f>
      </x:c>
    </x:row>
    <x:row r="3">
      <x:c r="A3" t="n">
        <x:v>1</x:v>
      </x:c>
      <x:c r="B3" s="18" t="n">
        <x:v>0.02</x:v>
      </x:c>
      <x:c r="C3" t="n">
        <x:f>IF(A3&lt;='Stage 1A Dashboard'!$B$5,('Stage 1A Dashboard'!$E$4*'Stage 1A Dashboard'!$E$5*'Stage 1A Dashboard'!$E$6*('Stage 1A Dashboard'!$E$11/100)*'Stage 1A Dashboard'!$E$7*B3),"")</x:f>
        <x:v>30</x:v>
      </x:c>
      <x:c r="D3" s="38" t="n">
        <x:f>IF(C3="","",C3*'Stage 1A Dashboard'!$B$4)</x:f>
        <x:v>450</x:v>
      </x:c>
      <x:c r="E3" s="38" t="n">
        <x:v>0</x:v>
      </x:c>
      <x:c r="F3" s="38" t="n">
        <x:f>IF(C3="","",'Stage 1A Dashboard'!$E$4*'Stage 1A Dashboard'!$E$5*'Stage 1A Dashboard'!$E$6*('Stage 1A Dashboard'!$E$11/100)*'Stage 1A Dashboard'!$E$9)</x:f>
        <x:v>13500</x:v>
      </x:c>
      <x:c r="G3" s="38" t="n">
        <x:f>IF(C3="","",'Stage 1A Dashboard'!$E$4*'Stage 1A Dashboard'!$E$10)</x:f>
        <x:v>9000</x:v>
      </x:c>
      <x:c r="H3" s="38" t="n">
        <x:f>IF(C3="","",-SUM(E3:G3))</x:f>
        <x:v>-22500</x:v>
      </x:c>
      <x:c r="I3" s="38" t="n">
        <x:f>IF(C3="","",I2+D3+H3)</x:f>
        <x:v>-22050</x:v>
      </x:c>
    </x:row>
    <x:row r="4">
      <x:c r="A4" t="n">
        <x:v>2</x:v>
      </x:c>
      <x:c r="B4" s="18" t="n">
        <x:v>0.05</x:v>
      </x:c>
      <x:c r="C4" t="n">
        <x:f>IF(A4&lt;='Stage 1A Dashboard'!$B$5,('Stage 1A Dashboard'!$E$4*'Stage 1A Dashboard'!$E$5*'Stage 1A Dashboard'!$E$6*('Stage 1A Dashboard'!$E$11/100)*'Stage 1A Dashboard'!$E$7*B4),"")</x:f>
        <x:v>75</x:v>
      </x:c>
      <x:c r="D4" s="38" t="n">
        <x:f>IF(C4="","",C4*'Stage 1A Dashboard'!$B$4)</x:f>
        <x:v>1125</x:v>
      </x:c>
      <x:c r="E4" s="38" t="n">
        <x:v>0</x:v>
      </x:c>
      <x:c r="F4" s="38" t="n">
        <x:f>IF(C4="","",'Stage 1A Dashboard'!$E$4*'Stage 1A Dashboard'!$E$5*'Stage 1A Dashboard'!$E$6*('Stage 1A Dashboard'!$E$11/100)*'Stage 1A Dashboard'!$E$9)</x:f>
        <x:v>13500</x:v>
      </x:c>
      <x:c r="G4" s="38" t="n">
        <x:f>IF(C4="","",'Stage 1A Dashboard'!$E$4*'Stage 1A Dashboard'!$E$10)</x:f>
        <x:v>9000</x:v>
      </x:c>
      <x:c r="H4" s="38" t="n">
        <x:f>IF(C4="","",-SUM(E4:G4))</x:f>
        <x:v>-22500</x:v>
      </x:c>
      <x:c r="I4" s="38" t="n">
        <x:f>IF(C4="","",I3+D4+H4)</x:f>
        <x:v>-43425</x:v>
      </x:c>
    </x:row>
    <x:row r="5">
      <x:c r="A5" t="n">
        <x:v>3</x:v>
      </x:c>
      <x:c r="B5" s="18" t="n">
        <x:v>0.1</x:v>
      </x:c>
      <x:c r="C5" t="n">
        <x:f>IF(A5&lt;='Stage 1A Dashboard'!$B$5,('Stage 1A Dashboard'!$E$4*'Stage 1A Dashboard'!$E$5*'Stage 1A Dashboard'!$E$6*('Stage 1A Dashboard'!$E$11/100)*'Stage 1A Dashboard'!$E$7*B5),"")</x:f>
        <x:v>150</x:v>
      </x:c>
      <x:c r="D5" s="38" t="n">
        <x:f>IF(C5="","",C5*'Stage 1A Dashboard'!$B$4)</x:f>
        <x:v>2250</x:v>
      </x:c>
      <x:c r="E5" s="38" t="n">
        <x:v>0</x:v>
      </x:c>
      <x:c r="F5" s="38" t="n">
        <x:f>IF(C5="","",'Stage 1A Dashboard'!$E$4*'Stage 1A Dashboard'!$E$5*'Stage 1A Dashboard'!$E$6*('Stage 1A Dashboard'!$E$11/100)*'Stage 1A Dashboard'!$E$9)</x:f>
        <x:v>13500</x:v>
      </x:c>
      <x:c r="G5" s="38" t="n">
        <x:f>IF(C5="","",'Stage 1A Dashboard'!$E$4*'Stage 1A Dashboard'!$E$10)</x:f>
        <x:v>9000</x:v>
      </x:c>
      <x:c r="H5" s="38" t="n">
        <x:f>IF(C5="","",-SUM(E5:G5))</x:f>
        <x:v>-22500</x:v>
      </x:c>
      <x:c r="I5" s="38" t="n">
        <x:f>IF(C5="","",I4+D5+H5)</x:f>
        <x:v>-63675</x:v>
      </x:c>
    </x:row>
    <x:row r="6">
      <x:c r="A6" t="n">
        <x:v>4</x:v>
      </x:c>
      <x:c r="B6" s="18" t="n">
        <x:v>0.18</x:v>
      </x:c>
      <x:c r="C6" t="n">
        <x:f>IF(A6&lt;='Stage 1A Dashboard'!$B$5,('Stage 1A Dashboard'!$E$4*'Stage 1A Dashboard'!$E$5*'Stage 1A Dashboard'!$E$6*('Stage 1A Dashboard'!$E$11/100)*'Stage 1A Dashboard'!$E$7*B6),"")</x:f>
        <x:v>270</x:v>
      </x:c>
      <x:c r="D6" s="38" t="n">
        <x:f>IF(C6="","",C6*'Stage 1A Dashboard'!$B$4)</x:f>
        <x:v>4050</x:v>
      </x:c>
      <x:c r="E6" s="38" t="n">
        <x:v>0</x:v>
      </x:c>
      <x:c r="F6" s="38" t="n">
        <x:f>IF(C6="","",'Stage 1A Dashboard'!$E$4*'Stage 1A Dashboard'!$E$5*'Stage 1A Dashboard'!$E$6*('Stage 1A Dashboard'!$E$11/100)*'Stage 1A Dashboard'!$E$9)</x:f>
        <x:v>13500</x:v>
      </x:c>
      <x:c r="G6" s="38" t="n">
        <x:f>IF(C6="","",'Stage 1A Dashboard'!$E$4*'Stage 1A Dashboard'!$E$10)</x:f>
        <x:v>9000</x:v>
      </x:c>
      <x:c r="H6" s="38" t="n">
        <x:f>IF(C6="","",-SUM(E6:G6))</x:f>
        <x:v>-22500</x:v>
      </x:c>
      <x:c r="I6" s="38" t="n">
        <x:f>IF(C6="","",I5+D6+H6)</x:f>
        <x:v>-82125</x:v>
      </x:c>
    </x:row>
    <x:row r="7">
      <x:c r="A7" t="n">
        <x:v>5</x:v>
      </x:c>
      <x:c r="B7" s="18" t="n">
        <x:v>0.28</x:v>
      </x:c>
      <x:c r="C7" t="n">
        <x:f>IF(A7&lt;='Stage 1A Dashboard'!$B$5,('Stage 1A Dashboard'!$E$4*'Stage 1A Dashboard'!$E$5*'Stage 1A Dashboard'!$E$6*('Stage 1A Dashboard'!$E$11/100)*'Stage 1A Dashboard'!$E$7*B7),"")</x:f>
        <x:v>420.00000000000006</x:v>
      </x:c>
      <x:c r="D7" s="38" t="n">
        <x:f>IF(C7="","",C7*'Stage 1A Dashboard'!$B$4)</x:f>
        <x:v>6300.000000000001</x:v>
      </x:c>
      <x:c r="E7" s="38" t="n">
        <x:v>0</x:v>
      </x:c>
      <x:c r="F7" s="38" t="n">
        <x:f>IF(C7="","",'Stage 1A Dashboard'!$E$4*'Stage 1A Dashboard'!$E$5*'Stage 1A Dashboard'!$E$6*('Stage 1A Dashboard'!$E$11/100)*'Stage 1A Dashboard'!$E$9)</x:f>
        <x:v>13500</x:v>
      </x:c>
      <x:c r="G7" s="38" t="n">
        <x:f>IF(C7="","",'Stage 1A Dashboard'!$E$4*'Stage 1A Dashboard'!$E$10)</x:f>
        <x:v>9000</x:v>
      </x:c>
      <x:c r="H7" s="38" t="n">
        <x:f>IF(C7="","",-SUM(E7:G7))</x:f>
        <x:v>-22500</x:v>
      </x:c>
      <x:c r="I7" s="38" t="n">
        <x:f>IF(C7="","",I6+D7+H7)</x:f>
        <x:v>-98325</x:v>
      </x:c>
    </x:row>
    <x:row r="8">
      <x:c r="A8" t="n">
        <x:v>6</x:v>
      </x:c>
      <x:c r="B8" s="18" t="n">
        <x:v>0.4</x:v>
      </x:c>
      <x:c r="C8" t="n">
        <x:f>IF(A8&lt;='Stage 1A Dashboard'!$B$5,('Stage 1A Dashboard'!$E$4*'Stage 1A Dashboard'!$E$5*'Stage 1A Dashboard'!$E$6*('Stage 1A Dashboard'!$E$11/100)*'Stage 1A Dashboard'!$E$7*B8),"")</x:f>
        <x:v>600</x:v>
      </x:c>
      <x:c r="D8" s="38" t="n">
        <x:f>IF(C8="","",C8*'Stage 1A Dashboard'!$B$4)</x:f>
        <x:v>9000</x:v>
      </x:c>
      <x:c r="E8" s="38" t="n">
        <x:v>0</x:v>
      </x:c>
      <x:c r="F8" s="38" t="n">
        <x:f>IF(C8="","",'Stage 1A Dashboard'!$E$4*'Stage 1A Dashboard'!$E$5*'Stage 1A Dashboard'!$E$6*('Stage 1A Dashboard'!$E$11/100)*'Stage 1A Dashboard'!$E$9)</x:f>
        <x:v>13500</x:v>
      </x:c>
      <x:c r="G8" s="38" t="n">
        <x:f>IF(C8="","",'Stage 1A Dashboard'!$E$4*'Stage 1A Dashboard'!$E$10)</x:f>
        <x:v>9000</x:v>
      </x:c>
      <x:c r="H8" s="38" t="n">
        <x:f>IF(C8="","",-SUM(E8:G8))</x:f>
        <x:v>-22500</x:v>
      </x:c>
      <x:c r="I8" s="38" t="n">
        <x:f>IF(C8="","",I7+D8+H8)</x:f>
        <x:v>-111825</x:v>
      </x:c>
    </x:row>
    <x:row r="9">
      <x:c r="A9" t="n">
        <x:v>7</x:v>
      </x:c>
      <x:c r="B9" s="18" t="n">
        <x:v>0.54</x:v>
      </x:c>
      <x:c r="C9" t="n">
        <x:f>IF(A9&lt;='Stage 1A Dashboard'!$B$5,('Stage 1A Dashboard'!$E$4*'Stage 1A Dashboard'!$E$5*'Stage 1A Dashboard'!$E$6*('Stage 1A Dashboard'!$E$11/100)*'Stage 1A Dashboard'!$E$7*B9),"")</x:f>
        <x:v>810</x:v>
      </x:c>
      <x:c r="D9" s="38" t="n">
        <x:f>IF(C9="","",C9*'Stage 1A Dashboard'!$B$4)</x:f>
        <x:v>12150</x:v>
      </x:c>
      <x:c r="E9" s="38" t="n">
        <x:v>0</x:v>
      </x:c>
      <x:c r="F9" s="38" t="n">
        <x:f>IF(C9="","",'Stage 1A Dashboard'!$E$4*'Stage 1A Dashboard'!$E$5*'Stage 1A Dashboard'!$E$6*('Stage 1A Dashboard'!$E$11/100)*'Stage 1A Dashboard'!$E$9)</x:f>
        <x:v>13500</x:v>
      </x:c>
      <x:c r="G9" s="38" t="n">
        <x:f>IF(C9="","",'Stage 1A Dashboard'!$E$4*'Stage 1A Dashboard'!$E$10)</x:f>
        <x:v>9000</x:v>
      </x:c>
      <x:c r="H9" s="38" t="n">
        <x:f>IF(C9="","",-SUM(E9:G9))</x:f>
        <x:v>-22500</x:v>
      </x:c>
      <x:c r="I9" s="38" t="n">
        <x:f>IF(C9="","",I8+D9+H9)</x:f>
        <x:v>-122175</x:v>
      </x:c>
    </x:row>
    <x:row r="10">
      <x:c r="A10" t="n">
        <x:v>8</x:v>
      </x:c>
      <x:c r="B10" s="18" t="n">
        <x:v>0.68</x:v>
      </x:c>
      <x:c r="C10" t="n">
        <x:f>IF(A10&lt;='Stage 1A Dashboard'!$B$5,('Stage 1A Dashboard'!$E$4*'Stage 1A Dashboard'!$E$5*'Stage 1A Dashboard'!$E$6*('Stage 1A Dashboard'!$E$11/100)*'Stage 1A Dashboard'!$E$7*B10),"")</x:f>
        <x:v>1020.0000000000001</x:v>
      </x:c>
      <x:c r="D10" s="38" t="n">
        <x:f>IF(C10="","",C10*'Stage 1A Dashboard'!$B$4)</x:f>
        <x:v>15300.000000000002</x:v>
      </x:c>
      <x:c r="E10" s="38" t="n">
        <x:v>0</x:v>
      </x:c>
      <x:c r="F10" s="38" t="n">
        <x:f>IF(C10="","",'Stage 1A Dashboard'!$E$4*'Stage 1A Dashboard'!$E$5*'Stage 1A Dashboard'!$E$6*('Stage 1A Dashboard'!$E$11/100)*'Stage 1A Dashboard'!$E$9)</x:f>
        <x:v>13500</x:v>
      </x:c>
      <x:c r="G10" s="38" t="n">
        <x:f>IF(C10="","",'Stage 1A Dashboard'!$E$4*'Stage 1A Dashboard'!$E$10)</x:f>
        <x:v>9000</x:v>
      </x:c>
      <x:c r="H10" s="38" t="n">
        <x:f>IF(C10="","",-SUM(E10:G10))</x:f>
        <x:v>-22500</x:v>
      </x:c>
      <x:c r="I10" s="38" t="n">
        <x:f>IF(C10="","",I9+D10+H10)</x:f>
        <x:v>-129375</x:v>
      </x:c>
    </x:row>
    <x:row r="11">
      <x:c r="A11" t="n">
        <x:v>9</x:v>
      </x:c>
      <x:c r="B11" s="18" t="n">
        <x:v>0.8</x:v>
      </x:c>
      <x:c r="C11" t="n">
        <x:f>IF(A11&lt;='Stage 1A Dashboard'!$B$5,('Stage 1A Dashboard'!$E$4*'Stage 1A Dashboard'!$E$5*'Stage 1A Dashboard'!$E$6*('Stage 1A Dashboard'!$E$11/100)*'Stage 1A Dashboard'!$E$7*B11),"")</x:f>
        <x:v>1200</x:v>
      </x:c>
      <x:c r="D11" s="38" t="n">
        <x:f>IF(C11="","",C11*'Stage 1A Dashboard'!$B$4)</x:f>
        <x:v>18000</x:v>
      </x:c>
      <x:c r="E11" s="38" t="n">
        <x:v>0</x:v>
      </x:c>
      <x:c r="F11" s="38" t="n">
        <x:f>IF(C11="","",'Stage 1A Dashboard'!$E$4*'Stage 1A Dashboard'!$E$5*'Stage 1A Dashboard'!$E$6*('Stage 1A Dashboard'!$E$11/100)*'Stage 1A Dashboard'!$E$9)</x:f>
        <x:v>13500</x:v>
      </x:c>
      <x:c r="G11" s="38" t="n">
        <x:f>IF(C11="","",'Stage 1A Dashboard'!$E$4*'Stage 1A Dashboard'!$E$10)</x:f>
        <x:v>9000</x:v>
      </x:c>
      <x:c r="H11" s="38" t="n">
        <x:f>IF(C11="","",-SUM(E11:G11))</x:f>
        <x:v>-22500</x:v>
      </x:c>
      <x:c r="I11" s="38" t="n">
        <x:f>IF(C11="","",I10+D11+H11)</x:f>
        <x:v>-133875</x:v>
      </x:c>
    </x:row>
    <x:row r="12">
      <x:c r="A12" t="n">
        <x:v>10</x:v>
      </x:c>
      <x:c r="B12" s="18" t="n">
        <x:v>0.9</x:v>
      </x:c>
      <x:c r="C12" t="n">
        <x:f>IF(A12&lt;='Stage 1A Dashboard'!$B$5,('Stage 1A Dashboard'!$E$4*'Stage 1A Dashboard'!$E$5*'Stage 1A Dashboard'!$E$6*('Stage 1A Dashboard'!$E$11/100)*'Stage 1A Dashboard'!$E$7*B12),"")</x:f>
        <x:v>1350</x:v>
      </x:c>
      <x:c r="D12" s="38" t="n">
        <x:f>IF(C12="","",C12*'Stage 1A Dashboard'!$B$4)</x:f>
        <x:v>20250</x:v>
      </x:c>
      <x:c r="E12" s="38" t="n">
        <x:v>0</x:v>
      </x:c>
      <x:c r="F12" s="38" t="n">
        <x:f>IF(C12="","",'Stage 1A Dashboard'!$E$4*'Stage 1A Dashboard'!$E$5*'Stage 1A Dashboard'!$E$6*('Stage 1A Dashboard'!$E$11/100)*'Stage 1A Dashboard'!$E$9)</x:f>
        <x:v>13500</x:v>
      </x:c>
      <x:c r="G12" s="38" t="n">
        <x:f>IF(C12="","",'Stage 1A Dashboard'!$E$4*'Stage 1A Dashboard'!$E$10)</x:f>
        <x:v>9000</x:v>
      </x:c>
      <x:c r="H12" s="38" t="n">
        <x:f>IF(C12="","",-SUM(E12:G12))</x:f>
        <x:v>-22500</x:v>
      </x:c>
      <x:c r="I12" s="38" t="n">
        <x:f>IF(C12="","",I11+D12+H12)</x:f>
        <x:v>-136125</x:v>
      </x:c>
    </x:row>
    <x:row r="13">
      <x:c r="A13" t="n">
        <x:v>11</x:v>
      </x:c>
      <x:c r="B13" s="18" t="n">
        <x:v>1</x:v>
      </x:c>
      <x:c r="C13" t="str">
        <x:f>IF(A13&lt;='Stage 1A Dashboard'!$B$5,('Stage 1A Dashboard'!$E$4*'Stage 1A Dashboard'!$E$5*'Stage 1A Dashboard'!$E$6*('Stage 1A Dashboard'!$E$11/100)*'Stage 1A Dashboard'!$E$7*B13),"")</x:f>
      </x:c>
      <x:c r="D13" s="38" t="str">
        <x:f>IF(C13="","",C13*'Stage 1A Dashboard'!$B$4)</x:f>
      </x:c>
      <x:c r="E13" s="38" t="n">
        <x:v>0</x:v>
      </x:c>
      <x:c r="F13" s="38" t="str">
        <x:f>IF(C13="","",'Stage 1A Dashboard'!$E$4*'Stage 1A Dashboard'!$E$5*'Stage 1A Dashboard'!$E$6*('Stage 1A Dashboard'!$E$11/100)*'Stage 1A Dashboard'!$E$9)</x:f>
      </x:c>
      <x:c r="G13" s="38" t="str">
        <x:f>IF(C13="","",'Stage 1A Dashboard'!$E$4*'Stage 1A Dashboard'!$E$10)</x:f>
      </x:c>
      <x:c r="H13" s="38" t="str">
        <x:f>IF(C13="","",-SUM(E13:G13))</x:f>
      </x:c>
      <x:c r="I13" s="38" t="str">
        <x:f>IF(C13="","",I12+D13+H13)</x:f>
      </x:c>
    </x:row>
    <x:row r="14">
      <x:c r="A14" t="n">
        <x:v>12</x:v>
      </x:c>
      <x:c r="B14" s="18" t="n">
        <x:v>1</x:v>
      </x:c>
      <x:c r="C14" t="str">
        <x:f>IF(A14&lt;='Stage 1A Dashboard'!$B$5,('Stage 1A Dashboard'!$E$4*'Stage 1A Dashboard'!$E$5*'Stage 1A Dashboard'!$E$6*('Stage 1A Dashboard'!$E$11/100)*'Stage 1A Dashboard'!$E$7*B14),"")</x:f>
      </x:c>
      <x:c r="D14" s="38" t="str">
        <x:f>IF(C14="","",C14*'Stage 1A Dashboard'!$B$4)</x:f>
      </x:c>
      <x:c r="E14" s="38" t="n">
        <x:v>0</x:v>
      </x:c>
      <x:c r="F14" s="38" t="str">
        <x:f>IF(C14="","",'Stage 1A Dashboard'!$E$4*'Stage 1A Dashboard'!$E$5*'Stage 1A Dashboard'!$E$6*('Stage 1A Dashboard'!$E$11/100)*'Stage 1A Dashboard'!$E$9)</x:f>
      </x:c>
      <x:c r="G14" s="38" t="str">
        <x:f>IF(C14="","",'Stage 1A Dashboard'!$E$4*'Stage 1A Dashboard'!$E$10)</x:f>
      </x:c>
      <x:c r="H14" s="38" t="str">
        <x:f>IF(C14="","",-SUM(E14:G14))</x:f>
      </x:c>
      <x:c r="I14" s="38" t="str">
        <x:f>IF(C14="","",I13+D14+H14)</x:f>
      </x:c>
    </x:row>
    <x:row r="15">
      <x:c r="A15" t="n">
        <x:v>13</x:v>
      </x:c>
      <x:c r="B15" s="18" t="n">
        <x:v>1</x:v>
      </x:c>
      <x:c r="C15" t="str">
        <x:f>IF(A15&lt;='Stage 1A Dashboard'!$B$5,('Stage 1A Dashboard'!$E$4*'Stage 1A Dashboard'!$E$5*'Stage 1A Dashboard'!$E$6*('Stage 1A Dashboard'!$E$11/100)*'Stage 1A Dashboard'!$E$7*B15),"")</x:f>
      </x:c>
      <x:c r="D15" s="38" t="str">
        <x:f>IF(C15="","",C15*'Stage 1A Dashboard'!$B$4)</x:f>
      </x:c>
      <x:c r="E15" s="38" t="n">
        <x:v>0</x:v>
      </x:c>
      <x:c r="F15" s="38" t="str">
        <x:f>IF(C15="","",'Stage 1A Dashboard'!$E$4*'Stage 1A Dashboard'!$E$5*'Stage 1A Dashboard'!$E$6*('Stage 1A Dashboard'!$E$11/100)*'Stage 1A Dashboard'!$E$9)</x:f>
      </x:c>
      <x:c r="G15" s="38" t="str">
        <x:f>IF(C15="","",'Stage 1A Dashboard'!$E$4*'Stage 1A Dashboard'!$E$10)</x:f>
      </x:c>
      <x:c r="H15" s="38" t="str">
        <x:f>IF(C15="","",-SUM(E15:G15))</x:f>
      </x:c>
      <x:c r="I15" s="38" t="str">
        <x:f>IF(C15="","",I14+D15+H15)</x:f>
      </x:c>
    </x:row>
    <x:row r="16">
      <x:c r="A16" t="n">
        <x:v>14</x:v>
      </x:c>
      <x:c r="B16" s="18" t="n">
        <x:v>1</x:v>
      </x:c>
      <x:c r="C16" t="str">
        <x:f>IF(A16&lt;='Stage 1A Dashboard'!$B$5,('Stage 1A Dashboard'!$E$4*'Stage 1A Dashboard'!$E$5*'Stage 1A Dashboard'!$E$6*('Stage 1A Dashboard'!$E$11/100)*'Stage 1A Dashboard'!$E$7*B16),"")</x:f>
      </x:c>
      <x:c r="D16" s="38" t="str">
        <x:f>IF(C16="","",C16*'Stage 1A Dashboard'!$B$4)</x:f>
      </x:c>
      <x:c r="E16" s="38" t="n">
        <x:v>0</x:v>
      </x:c>
      <x:c r="F16" s="38" t="str">
        <x:f>IF(C16="","",'Stage 1A Dashboard'!$E$4*'Stage 1A Dashboard'!$E$5*'Stage 1A Dashboard'!$E$6*('Stage 1A Dashboard'!$E$11/100)*'Stage 1A Dashboard'!$E$9)</x:f>
      </x:c>
      <x:c r="G16" s="38" t="str">
        <x:f>IF(C16="","",'Stage 1A Dashboard'!$E$4*'Stage 1A Dashboard'!$E$10)</x:f>
      </x:c>
      <x:c r="H16" s="38" t="str">
        <x:f>IF(C16="","",-SUM(E16:G16))</x:f>
      </x:c>
      <x:c r="I16" s="38" t="str">
        <x:f>IF(C16="","",I15+D16+H16)</x:f>
      </x:c>
    </x:row>
    <x:row r="17">
      <x:c r="A17" t="n">
        <x:v>15</x:v>
      </x:c>
      <x:c r="B17" s="18" t="n">
        <x:v>1</x:v>
      </x:c>
      <x:c r="C17" t="str">
        <x:f>IF(A17&lt;='Stage 1A Dashboard'!$B$5,('Stage 1A Dashboard'!$E$4*'Stage 1A Dashboard'!$E$5*'Stage 1A Dashboard'!$E$6*('Stage 1A Dashboard'!$E$11/100)*'Stage 1A Dashboard'!$E$7*B17),"")</x:f>
      </x:c>
      <x:c r="D17" s="38" t="str">
        <x:f>IF(C17="","",C17*'Stage 1A Dashboard'!$B$4)</x:f>
      </x:c>
      <x:c r="E17" s="38" t="n">
        <x:v>0</x:v>
      </x:c>
      <x:c r="F17" s="38" t="str">
        <x:f>IF(C17="","",'Stage 1A Dashboard'!$E$4*'Stage 1A Dashboard'!$E$5*'Stage 1A Dashboard'!$E$6*('Stage 1A Dashboard'!$E$11/100)*'Stage 1A Dashboard'!$E$9)</x:f>
      </x:c>
      <x:c r="G17" s="38" t="str">
        <x:f>IF(C17="","",'Stage 1A Dashboard'!$E$4*'Stage 1A Dashboard'!$E$10)</x:f>
      </x:c>
      <x:c r="H17" s="38" t="str">
        <x:f>IF(C17="","",-SUM(E17:G17))</x:f>
      </x:c>
      <x:c r="I17" s="38" t="str">
        <x:f>IF(C17="","",I16+D17+H17)</x:f>
      </x:c>
    </x:row>
    <x:row r="18">
      <x:c r="A18" t="n">
        <x:v>16</x:v>
      </x:c>
      <x:c r="B18" s="18" t="n">
        <x:v>1</x:v>
      </x:c>
      <x:c r="C18" t="str">
        <x:f>IF(A18&lt;='Stage 1A Dashboard'!$B$5,('Stage 1A Dashboard'!$E$4*'Stage 1A Dashboard'!$E$5*'Stage 1A Dashboard'!$E$6*('Stage 1A Dashboard'!$E$11/100)*'Stage 1A Dashboard'!$E$7*B18),"")</x:f>
      </x:c>
      <x:c r="D18" s="38" t="str">
        <x:f>IF(C18="","",C18*'Stage 1A Dashboard'!$B$4)</x:f>
      </x:c>
      <x:c r="E18" s="38" t="n">
        <x:v>0</x:v>
      </x:c>
      <x:c r="F18" s="38" t="str">
        <x:f>IF(C18="","",'Stage 1A Dashboard'!$E$4*'Stage 1A Dashboard'!$E$5*'Stage 1A Dashboard'!$E$6*('Stage 1A Dashboard'!$E$11/100)*'Stage 1A Dashboard'!$E$9)</x:f>
      </x:c>
      <x:c r="G18" s="38" t="str">
        <x:f>IF(C18="","",'Stage 1A Dashboard'!$E$4*'Stage 1A Dashboard'!$E$10)</x:f>
      </x:c>
      <x:c r="H18" s="38" t="str">
        <x:f>IF(C18="","",-SUM(E18:G18))</x:f>
      </x:c>
      <x:c r="I18" s="38" t="str">
        <x:f>IF(C18="","",I17+D18+H18)</x:f>
      </x:c>
    </x:row>
    <x:row r="19">
      <x:c r="A19" t="n">
        <x:v>17</x:v>
      </x:c>
      <x:c r="B19" s="18" t="n">
        <x:v>1</x:v>
      </x:c>
      <x:c r="C19" t="str">
        <x:f>IF(A19&lt;='Stage 1A Dashboard'!$B$5,('Stage 1A Dashboard'!$E$4*'Stage 1A Dashboard'!$E$5*'Stage 1A Dashboard'!$E$6*('Stage 1A Dashboard'!$E$11/100)*'Stage 1A Dashboard'!$E$7*B19),"")</x:f>
      </x:c>
      <x:c r="D19" s="38" t="str">
        <x:f>IF(C19="","",C19*'Stage 1A Dashboard'!$B$4)</x:f>
      </x:c>
      <x:c r="E19" s="38" t="n">
        <x:v>0</x:v>
      </x:c>
      <x:c r="F19" s="38" t="str">
        <x:f>IF(C19="","",'Stage 1A Dashboard'!$E$4*'Stage 1A Dashboard'!$E$5*'Stage 1A Dashboard'!$E$6*('Stage 1A Dashboard'!$E$11/100)*'Stage 1A Dashboard'!$E$9)</x:f>
      </x:c>
      <x:c r="G19" s="38" t="str">
        <x:f>IF(C19="","",'Stage 1A Dashboard'!$E$4*'Stage 1A Dashboard'!$E$10)</x:f>
      </x:c>
      <x:c r="H19" s="38" t="str">
        <x:f>IF(C19="","",-SUM(E19:G19))</x:f>
      </x:c>
      <x:c r="I19" s="38" t="str">
        <x:f>IF(C19="","",I18+D19+H19)</x:f>
      </x:c>
    </x:row>
    <x:row r="20">
      <x:c r="A20" t="n">
        <x:v>18</x:v>
      </x:c>
      <x:c r="B20" s="18" t="n">
        <x:v>1</x:v>
      </x:c>
      <x:c r="C20" t="str">
        <x:f>IF(A20&lt;='Stage 1A Dashboard'!$B$5,('Stage 1A Dashboard'!$E$4*'Stage 1A Dashboard'!$E$5*'Stage 1A Dashboard'!$E$6*('Stage 1A Dashboard'!$E$11/100)*'Stage 1A Dashboard'!$E$7*B20),"")</x:f>
      </x:c>
      <x:c r="D20" s="38" t="str">
        <x:f>IF(C20="","",C20*'Stage 1A Dashboard'!$B$4)</x:f>
      </x:c>
      <x:c r="E20" s="38" t="n">
        <x:v>0</x:v>
      </x:c>
      <x:c r="F20" s="38" t="str">
        <x:f>IF(C20="","",'Stage 1A Dashboard'!$E$4*'Stage 1A Dashboard'!$E$5*'Stage 1A Dashboard'!$E$6*('Stage 1A Dashboard'!$E$11/100)*'Stage 1A Dashboard'!$E$9)</x:f>
      </x:c>
      <x:c r="G20" s="38" t="str">
        <x:f>IF(C20="","",'Stage 1A Dashboard'!$E$4*'Stage 1A Dashboard'!$E$10)</x:f>
      </x:c>
      <x:c r="H20" s="38" t="str">
        <x:f>IF(C20="","",-SUM(E20:G20))</x:f>
      </x:c>
      <x:c r="I20" s="38" t="str">
        <x:f>IF(C20="","",I19+D20+H20)</x:f>
      </x:c>
    </x:row>
    <x:row r="21">
      <x:c r="A21" t="n">
        <x:v>19</x:v>
      </x:c>
      <x:c r="B21" s="18" t="n">
        <x:v>1</x:v>
      </x:c>
      <x:c r="C21" t="str">
        <x:f>IF(A21&lt;='Stage 1A Dashboard'!$B$5,('Stage 1A Dashboard'!$E$4*'Stage 1A Dashboard'!$E$5*'Stage 1A Dashboard'!$E$6*('Stage 1A Dashboard'!$E$11/100)*'Stage 1A Dashboard'!$E$7*B21),"")</x:f>
      </x:c>
      <x:c r="D21" s="38" t="str">
        <x:f>IF(C21="","",C21*'Stage 1A Dashboard'!$B$4)</x:f>
      </x:c>
      <x:c r="E21" s="38" t="n">
        <x:v>0</x:v>
      </x:c>
      <x:c r="F21" s="38" t="str">
        <x:f>IF(C21="","",'Stage 1A Dashboard'!$E$4*'Stage 1A Dashboard'!$E$5*'Stage 1A Dashboard'!$E$6*('Stage 1A Dashboard'!$E$11/100)*'Stage 1A Dashboard'!$E$9)</x:f>
      </x:c>
      <x:c r="G21" s="38" t="str">
        <x:f>IF(C21="","",'Stage 1A Dashboard'!$E$4*'Stage 1A Dashboard'!$E$10)</x:f>
      </x:c>
      <x:c r="H21" s="38" t="str">
        <x:f>IF(C21="","",-SUM(E21:G21))</x:f>
      </x:c>
      <x:c r="I21" s="38" t="str">
        <x:f>IF(C21="","",I20+D21+H21)</x:f>
      </x:c>
    </x:row>
    <x:row r="22">
      <x:c r="A22" t="n">
        <x:v>20</x:v>
      </x:c>
      <x:c r="B22" s="18" t="n">
        <x:v>1</x:v>
      </x:c>
      <x:c r="C22" t="str">
        <x:f>IF(A22&lt;='Stage 1A Dashboard'!$B$5,('Stage 1A Dashboard'!$E$4*'Stage 1A Dashboard'!$E$5*'Stage 1A Dashboard'!$E$6*('Stage 1A Dashboard'!$E$11/100)*'Stage 1A Dashboard'!$E$7*B22),"")</x:f>
      </x:c>
      <x:c r="D22" s="38" t="str">
        <x:f>IF(C22="","",C22*'Stage 1A Dashboard'!$B$4)</x:f>
      </x:c>
      <x:c r="E22" s="38" t="n">
        <x:v>0</x:v>
      </x:c>
      <x:c r="F22" s="38" t="str">
        <x:f>IF(C22="","",'Stage 1A Dashboard'!$E$4*'Stage 1A Dashboard'!$E$5*'Stage 1A Dashboard'!$E$6*('Stage 1A Dashboard'!$E$11/100)*'Stage 1A Dashboard'!$E$9)</x:f>
      </x:c>
      <x:c r="G22" s="38" t="str">
        <x:f>IF(C22="","",'Stage 1A Dashboard'!$E$4*'Stage 1A Dashboard'!$E$10)</x:f>
      </x:c>
      <x:c r="H22" s="38" t="str">
        <x:f>IF(C22="","",-SUM(E22:G22))</x:f>
      </x:c>
      <x:c r="I22" s="38" t="str">
        <x:f>IF(C22="","",I21+D22+H22)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54.63999938964844" hidden="0" customWidth="1"/>
  </x:cols>
  <x:sheetData>
    <x:row r="1">
      <x:c r="A1" s="26" t="str">
        <x:v>Sensitivity Analysis</x:v>
      </x:c>
      <x:c r="B1" s="27"/>
      <x:c r="C1" s="27"/>
      <x:c r="D1" s="27"/>
      <x:c r="E1" s="27"/>
      <x:c r="F1" s="27"/>
      <x:c r="G1" s="34" t="str">
        <x:v>Internal sensitivity formulas use the same assumptions as the model.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3">
      <x:c r="A3" s="39" t="str">
        <x:v>Carbon price</x:v>
      </x:c>
      <x:c r="B3" s="39" t="str">
        <x:v>5 years</x:v>
      </x:c>
      <x:c r="C3" s="39" t="str">
        <x:v>10 years</x:v>
      </x:c>
      <x:c r="D3" s="39" t="str">
        <x:v>15 years</x:v>
      </x:c>
      <x:c r="E3" s="39" t="str">
        <x:v>20 years</x:v>
      </x:c>
    </x:row>
    <x:row r="4">
      <x:c r="A4" s="22" t="str">
        <x:v>$10/credit</x:v>
      </x:c>
      <x:c r="B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-253050</x:v>
      </x:c>
      <x:c r="C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-315750</x:v>
      </x:c>
      <x:c r="D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-353250</x:v>
      </x:c>
      <x:c r="E4" s="40" t="n">
        <x:f>((10*('Stage 1A Dashboard'!$E$4*'Stage 1A Dashboard'!$E$5*'Stage 1A Dashboard'!$E$6*('Stage 1A Dashboard'!$E$11/100)*'Stage 1A Dashboard'!$E$7*0))-('Stage 1A Dashboard'!$E$4*'Stage 1A Dashboard'!$E$5*'Stage 1A Dashboard'!$E$6*'Stage 1A Dashboard'!$E$8))+((10*('Stage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Dashboard'!$E$10)))+((10*('Stage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-390750</x:v>
      </x:c>
    </x:row>
    <x:row r="5">
      <x:c r="A5" s="22" t="str">
        <x:v>$20/credit</x:v>
      </x:c>
      <x:c r="B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-243600</x:v>
      </x:c>
      <x:c r="C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-256500</x:v>
      </x:c>
      <x:c r="D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-219000</x:v>
      </x:c>
      <x:c r="E5" s="40" t="n">
        <x:f>((20*('Stage 1A Dashboard'!$E$4*'Stage 1A Dashboard'!$E$5*'Stage 1A Dashboard'!$E$6*('Stage 1A Dashboard'!$E$11/100)*'Stage 1A Dashboard'!$E$7*0))-('Stage 1A Dashboard'!$E$4*'Stage 1A Dashboard'!$E$5*'Stage 1A Dashboard'!$E$6*'Stage 1A Dashboard'!$E$8))+((20*('Stage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Dashboard'!$E$10)))+((20*('Stage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-181500</x:v>
      </x:c>
    </x:row>
    <x:row r="6">
      <x:c r="A6" s="22" t="str">
        <x:v>$30/credit</x:v>
      </x:c>
      <x:c r="B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-234150</x:v>
      </x:c>
      <x:c r="C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-197250</x:v>
      </x:c>
      <x:c r="D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-84750</x:v>
      </x:c>
      <x:c r="E6" s="40" t="n">
        <x:f>((30*('Stage 1A Dashboard'!$E$4*'Stage 1A Dashboard'!$E$5*'Stage 1A Dashboard'!$E$6*('Stage 1A Dashboard'!$E$11/100)*'Stage 1A Dashboard'!$E$7*0))-('Stage 1A Dashboard'!$E$4*'Stage 1A Dashboard'!$E$5*'Stage 1A Dashboard'!$E$6*'Stage 1A Dashboard'!$E$8))+((30*('Stage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Dashboard'!$E$10)))+((30*('Stage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27750</x:v>
      </x:c>
    </x:row>
    <x:row r="7">
      <x:c r="A7" s="22" t="str">
        <x:v>$40/credit</x:v>
      </x:c>
      <x:c r="B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-224700</x:v>
      </x:c>
      <x:c r="C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-138000</x:v>
      </x:c>
      <x:c r="D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49500</x:v>
      </x:c>
      <x:c r="E7" s="40" t="n">
        <x:f>((40*('Stage 1A Dashboard'!$E$4*'Stage 1A Dashboard'!$E$5*'Stage 1A Dashboard'!$E$6*('Stage 1A Dashboard'!$E$11/100)*'Stage 1A Dashboard'!$E$7*0))-('Stage 1A Dashboard'!$E$4*'Stage 1A Dashboard'!$E$5*'Stage 1A Dashboard'!$E$6*'Stage 1A Dashboard'!$E$8))+((40*('Stage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Dashboard'!$E$10)))+((40*('Stage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237000</x:v>
      </x:c>
    </x:row>
    <x:row r="8">
      <x:c r="A8" s="22" t="str">
        <x:v>$50/credit</x:v>
      </x:c>
      <x:c r="B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-215250</x:v>
      </x:c>
      <x:c r="C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-78750</x:v>
      </x:c>
      <x:c r="D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183750</x:v>
      </x:c>
      <x:c r="E8" s="40" t="n">
        <x:f>((50*('Stage 1A Dashboard'!$E$4*'Stage 1A Dashboard'!$E$5*'Stage 1A Dashboard'!$E$6*('Stage 1A Dashboard'!$E$11/100)*'Stage 1A Dashboard'!$E$7*0))-('Stage 1A Dashboard'!$E$4*'Stage 1A Dashboard'!$E$5*'Stage 1A Dashboard'!$E$6*'Stage 1A Dashboard'!$E$8))+((50*('Stage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Dashboard'!$E$10)))+((50*('Stage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446250</x:v>
      </x:c>
    </x:row>
    <x:row r="9">
      <x:c r="A9" s="22" t="str">
        <x:v>$60/credit</x:v>
      </x:c>
      <x:c r="B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</x:f>
        <x:v>-205800</x:v>
      </x:c>
      <x:c r="C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</x:f>
        <x:v>-19500</x:v>
      </x:c>
      <x:c r="D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318000</x:v>
      </x:c>
      <x:c r="E9" s="40" t="n">
        <x:f>((60*('Stage 1A Dashboard'!$E$4*'Stage 1A Dashboard'!$E$5*'Stage 1A Dashboard'!$E$6*('Stage 1A Dashboard'!$E$11/100)*'Stage 1A Dashboard'!$E$7*0))-('Stage 1A Dashboard'!$E$4*'Stage 1A Dashboard'!$E$5*'Stage 1A Dashboard'!$E$6*'Stage 1A Dashboard'!$E$8))+((60*('Stage 1A Dashboard'!$E$4*'Stage 1A Dashboard'!$E$5*'Stage 1A Dashboard'!$E$6*('Stage 1A Dashboard'!$E$11/100)*'Stage 1A Dashboard'!$E$7*0.02))-(('Stage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Dashboard'!$E$7*0.05))-(('Stage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Dashboard'!$E$7*0.18))-(('Stage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Dashboard'!$E$7*0.28))-(('Stage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Dashboard'!$E$7*0.54))-(('Stage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Dashboard'!$E$7*0.68))-(('Stage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Dashboard'!$E$7*0.8))-(('Stage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Dashboard'!$E$7*0.9))-(('Stage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Dashboard'!$E$10)))+((60*('Stage 1A Dashboard'!$E$4*'Stage 1A Dashboard'!$E$5*'Stage 1A Dashboard'!$E$6*('Stage 1A Dashboard'!$E$11/100)*'Stage 1A Dashboard'!$E$7*1))-(('Stage 1A Dashboard'!$E$4*'Stage 1A Dashboard'!$E$5*'Stage 1A Dashboard'!$E$6*('Stage 1A Dashboard'!$E$11/100)*'Stage 1A Dashboard'!$E$9)+('Stage 1A Dashboard'!$E$4*'Stage 1A Dashboard'!$E$10)))</x:f>
        <x:v>655500</x:v>
      </x:c>
    </x:row>
    <x:row r="11">
      <x:c r="A11" s="41" t="str">
        <x:v>Green cells are positive cumulative position. Red cells are negative cumulative position.</x:v>
      </x:c>
    </x:row>
  </x:sheetData>
  <x:mergeCells>
    <x:mergeCell ref="A11:E11"/>
  </x:mergeCells>
  <x:conditionalFormatting sqref="B4:E9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16.799999237060547" hidden="0" customHeight="1">
      <x:c r="A1" s="89" t="str">
        <x:v>Underlying Cash-Flow Model Notes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15" hidden="0" customHeight="1">
      <x:c r="A2" s="51"/>
    </x:row>
    <x:row r="3" ht="15" hidden="0" customHeight="1">
      <x:c r="A3" s="90" t="str">
        <x:v>Purpose</x:v>
      </x:c>
    </x:row>
    <x:row r="4" ht="26.399999618530273" hidden="0" customHeight="1">
      <x:c r="A4" s="51" t="str">
        <x:v>This workbook provides a simplified view of the core mechanics behind the web tool. It is intended for learning and review, not investment decisions.</x:v>
      </x:c>
    </x:row>
    <x:row r="5" ht="15" hidden="0" customHeight="1">
      <x:c r="A5" s="51"/>
    </x:row>
    <x:row r="6" ht="15" hidden="0" customHeight="1">
      <x:c r="A6" s="90" t="str">
        <x:v>Current focus</x:v>
      </x:c>
    </x:row>
    <x:row r="7" ht="26.399999618530273" hidden="0" customHeight="1">
      <x:c r="A7" s="51" t="str">
        <x:v>The model includes formula-driven cash flows, IRR calculations, grant support mechanics, and farmer-share sensitivity.</x:v>
      </x:c>
    </x:row>
    <x:row r="8" ht="15" hidden="0" customHeight="1">
      <x:c r="A8" s="51" t="str">
        <x:v>It is a simplified mechanics model, not a full replication of the website or a complete project finance model.</x:v>
      </x:c>
    </x:row>
    <x:row r="9" ht="15" hidden="0" customHeight="1">
      <x:c r="A9" s="51"/>
    </x:row>
    <x:row r="10" ht="15" hidden="0" customHeight="1">
      <x:c r="A10" s="90" t="str">
        <x:v>Workbook structure</x:v>
      </x:c>
    </x:row>
    <x:row r="11" ht="15" hidden="0" customHeight="1">
      <x:c r="A11" s="51" t="str">
        <x:v>Stage 1A Dashboard: high-level inputs, outputs, and chart.</x:v>
      </x:c>
    </x:row>
    <x:row r="12" ht="15" hidden="0" customHeight="1">
      <x:c r="A12" s="51" t="str">
        <x:v>Calculations: year-by-year revenue, cost, and cumulative position calculations.</x:v>
      </x:c>
    </x:row>
    <x:row r="13" ht="15" hidden="0" customHeight="1">
      <x:c r="A13" s="51" t="str">
        <x:v>Sensitivity Analysis: project results across carbon price and project length combinations.</x:v>
      </x:c>
    </x:row>
    <x:row r="14" ht="15" hidden="0" customHeight="1">
      <x:c r="A14" s="51" t="str">
        <x:v>Underlying Mechanics: detailed formula-driven cash flows, IRR logic, grant support, and farmer-share scenarios.</x:v>
      </x:c>
    </x:row>
    <x:row r="15" ht="15" hidden="0" customHeight="1">
      <x:c r="A15" s="51" t="str">
        <x:v>Mechanics Helper: supporting formulas used by the mechanics model.</x:v>
      </x:c>
    </x:row>
    <x:row r="16" ht="15" hidden="0" customHeight="1">
      <x:c r="A16" s="51" t="str">
        <x:v>Notes: explanatory guidance.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42" hidden="0" customWidth="1"/>
    <x:col min="5" max="5" width="30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6" hidden="0" customWidth="1"/>
    <x:col min="11" max="11" width="16" hidden="0" customWidth="1"/>
    <x:col min="14" max="14" width="20" hidden="0" customWidth="1"/>
    <x:col min="15" max="15" width="22" hidden="0" customWidth="1"/>
    <x:col min="16" max="16" width="14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</x:cols>
  <x:sheetData>
    <x:row r="1">
      <x:c r="A1" s="48" t="str">
        <x:v>IRR, Grant Support, and Farmer Share Mechanics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>
      <x:c r="A2" s="64" t="str">
        <x:v>This workbook is a simplified educational model designed to illustrate the core cash-flow mechanics behind the web tool. Editable assumptions are highlighted.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</x:row>
    <x:row r="4">
      <x:c r="A4" s="66" t="str">
        <x:v>Input / assumption</x:v>
      </x:c>
      <x:c r="B4" s="66" t="str">
        <x:v>Value</x:v>
      </x:c>
      <x:c r="C4" s="66" t="str">
        <x:v>Source / note</x:v>
      </x:c>
      <x:c r="D4" s="86" t="str">
        <x:v>Editable cells</x:v>
      </x:c>
      <x:c r="E4" s="50" t="str">
        <x:v>Key output</x:v>
      </x:c>
      <x:c r="F4" s="50" t="str">
        <x:v>Formula-driven result</x:v>
      </x:c>
    </x:row>
    <x:row r="5">
      <x:c r="A5" s="51" t="str">
        <x:v>Carbon price ($/credit)</x:v>
      </x:c>
      <x:c r="B5" s="76" t="n">
        <x:v>80</x:v>
      </x:c>
      <x:c r="C5" s="51" t="str">
        <x:v>Editable default scenario; website visual controls may use different defaults</x:v>
      </x:c>
      <x:c r="D5" s="86" t="str">
        <x:v>Change yellow cells to test scenarios</x:v>
      </x:c>
      <x:c r="E5" s="51" t="str">
        <x:v>Investor/project IRR</x:v>
      </x:c>
      <x:c r="F5" s="54" t="n">
        <x:f>IFERROR(IRR(K31:K51),"No positive IRR")</x:f>
        <x:v>0.09030844574588892</x:v>
      </x:c>
    </x:row>
    <x:row r="6">
      <x:c r="A6" s="51" t="str">
        <x:v>Project horizon (years)</x:v>
      </x:c>
      <x:c r="B6" s="76" t="n">
        <x:v>20</x:v>
      </x:c>
      <x:c r="C6" s="51" t="str">
        <x:v>Matches website Module 4 / 5 mechanics</x:v>
      </x:c>
      <x:c r="E6" s="51" t="str">
        <x:v>Cumulative retained cash flow</x:v>
      </x:c>
      <x:c r="F6" s="58" t="n">
        <x:f>SUM(K31:K51)</x:f>
        <x:v>547200</x:v>
      </x:c>
    </x:row>
    <x:row r="7">
      <x:c r="A7" s="81" t="str">
        <x:v>Target investor IRR</x:v>
      </x:c>
      <x:c r="B7" s="87" t="n">
        <x:v>0.15</x:v>
      </x:c>
      <x:c r="C7" s="81" t="str">
        <x:v>Commercial hurdle used in website</x:v>
      </x:c>
      <x:c r="E7" s="51" t="str">
        <x:v>Grant support needed to reach target IRR</x:v>
      </x:c>
      <x:c r="F7" s="55" t="str">
        <x:f>IFERROR(INDEX($N$31:$N$51,MATCH(1,INDEX(($O$31:$O$51&lt;&gt;"")*($O$31:$O$51&gt;=$B$7),0),0)),"Above 100%")</x:f>
        <x:v>Above 100%</x:v>
      </x:c>
    </x:row>
    <x:row r="8">
      <x:c r="A8" s="51" t="str">
        <x:v>Verification delay (years)</x:v>
      </x:c>
      <x:c r="B8" s="78" t="n">
        <x:v>2</x:v>
      </x:c>
      <x:c r="C8" s="51" t="str">
        <x:v>Matches simplified Module 4 logic</x:v>
      </x:c>
      <x:c r="E8" s="51" t="str">
        <x:v>Farmer payments over project life</x:v>
      </x:c>
      <x:c r="F8" s="58" t="n">
        <x:f>SUM(F31:F51)</x:f>
        <x:v>286800</x:v>
      </x:c>
    </x:row>
    <x:row r="9">
      <x:c r="A9" s="51" t="str">
        <x:v>Farmer share of carbon revenue</x:v>
      </x:c>
      <x:c r="B9" s="78" t="n">
        <x:v>0.2</x:v>
      </x:c>
      <x:c r="C9" s="51" t="str">
        <x:v>Editable Module 5 input</x:v>
      </x:c>
      <x:c r="E9" s="51" t="str">
        <x:v>Carbon revenue retained after farmer share</x:v>
      </x:c>
      <x:c r="F9" s="58" t="n">
        <x:f>SUM(G31:G51)</x:f>
        <x:v>1147200</x:v>
      </x:c>
    </x:row>
    <x:row r="10">
      <x:c r="A10" s="51" t="str">
        <x:v>Grant support share of upfront planting cost</x:v>
      </x:c>
      <x:c r="B10" s="78" t="n">
        <x:v>0</x:v>
      </x:c>
      <x:c r="C10" s="51" t="str">
        <x:v>Editable Module 4B / 5 input</x:v>
      </x:c>
    </x:row>
    <x:row r="11">
      <x:c r="A11" s="51" t="str"/>
      <x:c r="B11" s="51"/>
      <x:c r="C11" s="51" t="str"/>
    </x:row>
    <x:row r="12">
      <x:c r="A12" s="51" t="str">
        <x:v>Farmers</x:v>
      </x:c>
      <x:c r="B12" s="56" t="n">
        <x:f>'Stage 1A Dashboard'!$E$4</x:f>
        <x:v>500</x:v>
      </x:c>
      <x:c r="C12" s="51" t="str">
        <x:v>Linked to dashboard assumption</x:v>
      </x:c>
    </x:row>
    <x:row r="13">
      <x:c r="A13" s="51" t="str">
        <x:v>Hectares per farmer</x:v>
      </x:c>
      <x:c r="B13" s="56" t="n">
        <x:f>'Stage 1A Dashboard'!$E$5</x:f>
        <x:v>2</x:v>
      </x:c>
      <x:c r="C13" s="51" t="str">
        <x:v>Linked to dashboard assumption</x:v>
      </x:c>
    </x:row>
    <x:row r="14">
      <x:c r="A14" s="51" t="str">
        <x:v>Trees per hectare</x:v>
      </x:c>
      <x:c r="B14" s="56" t="n">
        <x:f>'Stage 1A Dashboard'!$E$6</x:f>
        <x:v>100</x:v>
      </x:c>
      <x:c r="C14" s="51" t="str">
        <x:v>Linked to dashboard assumption</x:v>
      </x:c>
    </x:row>
    <x:row r="15">
      <x:c r="A15" s="51" t="str">
        <x:v>Carbon per mature tree</x:v>
      </x:c>
      <x:c r="B15" s="56" t="n">
        <x:f>'Stage 1A Dashboard'!$E$7</x:f>
        <x:v>0.02</x:v>
      </x:c>
      <x:c r="C15" s="51" t="str">
        <x:v>Linked to dashboard assumption</x:v>
      </x:c>
    </x:row>
    <x:row r="16">
      <x:c r="A16" s="51" t="str">
        <x:v>Planting cost per tree</x:v>
      </x:c>
      <x:c r="B16" s="56" t="n">
        <x:f>'Stage 1A Dashboard'!$E$8</x:f>
        <x:v>1.5</x:v>
      </x:c>
      <x:c r="C16" s="51" t="str">
        <x:v>Linked to dashboard assumption</x:v>
      </x:c>
    </x:row>
    <x:row r="17">
      <x:c r="A17" s="51" t="str">
        <x:v>Annual maintenance per tree</x:v>
      </x:c>
      <x:c r="B17" s="56" t="n">
        <x:f>'Stage 1A Dashboard'!$E$9</x:f>
        <x:v>0.18</x:v>
      </x:c>
      <x:c r="C17" s="51" t="str">
        <x:v>Linked to dashboard assumption</x:v>
      </x:c>
    </x:row>
    <x:row r="18">
      <x:c r="A18" s="51" t="str">
        <x:v>Annual program cost per farmer</x:v>
      </x:c>
      <x:c r="B18" s="56" t="n">
        <x:f>'Stage 1A Dashboard'!$E$10</x:f>
        <x:v>18</x:v>
      </x:c>
      <x:c r="C18" s="51" t="str">
        <x:v>Linked to dashboard assumption</x:v>
      </x:c>
    </x:row>
    <x:row r="19">
      <x:c r="A19" s="51" t="str">
        <x:v>Survival rate</x:v>
      </x:c>
      <x:c r="B19" s="55" t="n">
        <x:f>'Stage 1A Dashboard'!$E$11/100</x:f>
        <x:v>0.75</x:v>
      </x:c>
      <x:c r="C19" s="51" t="str">
        <x:v>Linked to dashboard assumption</x:v>
      </x:c>
    </x:row>
    <x:row r="20">
      <x:c r="A20" s="51" t="str">
        <x:v>Total hectares</x:v>
      </x:c>
      <x:c r="B20" s="58" t="n">
        <x:f>B12*B13</x:f>
        <x:v>1000</x:v>
      </x:c>
      <x:c r="C20" s="51" t="str">
        <x:v>Calculated</x:v>
      </x:c>
    </x:row>
    <x:row r="21">
      <x:c r="A21" s="51" t="str">
        <x:v>Trees planted</x:v>
      </x:c>
      <x:c r="B21" s="58" t="n">
        <x:f>B20*B14</x:f>
        <x:v>100000</x:v>
      </x:c>
      <x:c r="C21" s="51" t="str">
        <x:v>Calculated</x:v>
      </x:c>
    </x:row>
    <x:row r="22">
      <x:c r="A22" s="51" t="str">
        <x:v>Surviving trees</x:v>
      </x:c>
      <x:c r="B22" s="58" t="n">
        <x:f>B21*B19</x:f>
        <x:v>75000</x:v>
      </x:c>
      <x:c r="C22" s="51" t="str">
        <x:v>Calculated</x:v>
      </x:c>
    </x:row>
    <x:row r="23">
      <x:c r="A23" s="51" t="str">
        <x:v>Upfront planting cost</x:v>
      </x:c>
      <x:c r="B23" s="58" t="n">
        <x:f>B21*B16</x:f>
        <x:v>150000</x:v>
      </x:c>
      <x:c r="C23" s="51" t="str">
        <x:v>Calculated</x:v>
      </x:c>
    </x:row>
    <x:row r="24">
      <x:c r="A24" s="51" t="str">
        <x:v>Grant amount</x:v>
      </x:c>
      <x:c r="B24" s="58" t="n">
        <x:f>B23*B10</x:f>
        <x:v>0</x:v>
      </x:c>
      <x:c r="C24" s="51" t="str">
        <x:v>Calculated</x:v>
      </x:c>
    </x:row>
    <x:row r="28">
      <x:c r="N28" s="51" t="str">
        <x:v>Grant support sensitivity uses the active carbon price and farmer-share inputs above. Blank IRR rows mean Excel cannot calculate a positive IRR for that grant level.</x:v>
      </x:c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  <x:c r="AA28" s="51"/>
      <x:c r="AB28" s="51"/>
      <x:c r="AC28" s="51"/>
      <x:c r="AD28" s="51"/>
      <x:c r="AE28" s="51"/>
      <x:c r="AF28" s="51"/>
      <x:c r="AG28" s="51"/>
      <x:c r="AH28" s="51"/>
      <x:c r="AI28" s="51"/>
      <x:c r="AJ28" s="51"/>
      <x:c r="AK28" s="51"/>
    </x:row>
    <x:row r="29">
      <x:c r="N29" s="47" t="str">
        <x:v>Grant support solver for active farmer-share input</x:v>
      </x:c>
      <x:c r="O29" s="47"/>
      <x:c r="P29" s="47"/>
    </x:row>
    <x:row r="30">
      <x:c r="A30" s="50" t="str">
        <x:v>Year</x:v>
      </x:c>
      <x:c r="B30" s="50" t="str">
        <x:v>Growth</x:v>
      </x:c>
      <x:c r="C30" s="50" t="str">
        <x:v>Generated credits</x:v>
      </x:c>
      <x:c r="D30" s="50" t="str">
        <x:v>Generated revenue</x:v>
      </x:c>
      <x:c r="E30" s="50" t="str">
        <x:v>Received revenue</x:v>
      </x:c>
      <x:c r="F30" s="50" t="str">
        <x:v>Farmer payment</x:v>
      </x:c>
      <x:c r="G30" s="50" t="str">
        <x:v>Retained revenue</x:v>
      </x:c>
      <x:c r="H30" s="50" t="str">
        <x:v>Planting cost after grant</x:v>
      </x:c>
      <x:c r="I30" s="50" t="str">
        <x:v>Maintenance cost</x:v>
      </x:c>
      <x:c r="J30" s="50" t="str">
        <x:v>Program cost</x:v>
      </x:c>
      <x:c r="K30" s="50" t="str">
        <x:v>Net cash flow</x:v>
      </x:c>
      <x:c r="N30" s="45" t="str">
        <x:v>Grant support share</x:v>
      </x:c>
      <x:c r="O30" s="45" t="str">
        <x:v>IRR at active farmer share</x:v>
      </x:c>
      <x:c r="P30" s="45" t="str">
        <x:v>Meets target?</x:v>
      </x:c>
      <x:c r="Q30" t="n">
        <x:v>0</x:v>
      </x:c>
      <x:c r="R30" t="n">
        <x:v>1</x:v>
      </x:c>
      <x:c r="S30" t="n">
        <x:v>2</x:v>
      </x:c>
      <x:c r="T30" t="n">
        <x:v>3</x:v>
      </x:c>
      <x:c r="U30" t="n">
        <x:v>4</x:v>
      </x:c>
      <x:c r="V30" t="n">
        <x:v>5</x:v>
      </x:c>
      <x:c r="W30" t="n">
        <x:v>6</x:v>
      </x:c>
      <x:c r="X30" t="n">
        <x:v>7</x:v>
      </x:c>
      <x:c r="Y30" t="n">
        <x:v>8</x:v>
      </x:c>
      <x:c r="Z30" t="n">
        <x:v>9</x:v>
      </x:c>
      <x:c r="AA30" t="n">
        <x:v>10</x:v>
      </x:c>
      <x:c r="AB30" t="n">
        <x:v>11</x:v>
      </x:c>
      <x:c r="AC30" t="n">
        <x:v>12</x:v>
      </x:c>
      <x:c r="AD30" t="n">
        <x:v>13</x:v>
      </x:c>
      <x:c r="AE30" t="n">
        <x:v>14</x:v>
      </x:c>
      <x:c r="AF30" t="n">
        <x:v>15</x:v>
      </x:c>
      <x:c r="AG30" t="n">
        <x:v>16</x:v>
      </x:c>
      <x:c r="AH30" t="n">
        <x:v>17</x:v>
      </x:c>
      <x:c r="AI30" t="n">
        <x:v>18</x:v>
      </x:c>
      <x:c r="AJ30" t="n">
        <x:v>19</x:v>
      </x:c>
      <x:c r="AK30" t="n">
        <x:v>20</x:v>
      </x:c>
    </x:row>
    <x:row r="31">
      <x:c r="A31" s="51" t="n">
        <x:v>0</x:v>
      </x:c>
      <x:c r="B31" s="55" t="n">
        <x:v>0</x:v>
      </x:c>
      <x:c r="C31" s="58" t="n">
        <x:f>$B$22*$B$15*B31</x:f>
        <x:v>0</x:v>
      </x:c>
      <x:c r="D31" s="58" t="n">
        <x:f>C31*$B$5</x:f>
        <x:v>0</x:v>
      </x:c>
      <x:c r="E31" s="58" t="n">
        <x:f>IF(A31-$B$8&lt;0,0,INDEX($D$31:$D$51,A31-$B$8+1))</x:f>
        <x:v>0</x:v>
      </x:c>
      <x:c r="F31" s="58" t="n">
        <x:f>E31*$B$9</x:f>
        <x:v>0</x:v>
      </x:c>
      <x:c r="G31" s="58" t="n">
        <x:f>E31-F31</x:f>
        <x:v>0</x:v>
      </x:c>
      <x:c r="H31" s="58" t="n">
        <x:f>IF(A31=0,$B$23*(1-$B$10),0)</x:f>
        <x:v>150000</x:v>
      </x:c>
      <x:c r="I31" s="58" t="n">
        <x:f>IF(A31&gt;0,$B$22*$B$17,0)</x:f>
        <x:v>0</x:v>
      </x:c>
      <x:c r="J31" s="58" t="n">
        <x:f>IF(A31&gt;0,$B$12*$B$18,0)</x:f>
        <x:v>0</x:v>
      </x:c>
      <x:c r="K31" s="58" t="n">
        <x:f>G31-H31-I31-J31</x:f>
        <x:v>-150000</x:v>
      </x:c>
      <x:c r="N31" s="18" t="n">
        <x:v>0</x:v>
      </x:c>
      <x:c r="O31" s="59" t="n">
        <x:f>IFERROR(IRR(Q31:AK31),"")</x:f>
        <x:v>0.09030844574588892</x:v>
      </x:c>
      <x:c r="P31" s="88" t="b">
        <x:f>IF(O31="","",O31&gt;=$B$7)</x:f>
        <x:v>0</x:v>
      </x:c>
      <x:c r="Q31" t="n">
        <x:f>((IF(Q$30-$B$8&lt;0,0,$B$22*$B$15*INDEX($B$31:$B$51,Q$30-$B$8+1)*$B$5))*(1-$B$9))-IF(Q$30=0,$B$23*(1-$N31),0)-IF(Q$30&gt;0,$B$22*$B$17,0)-IF(Q$30&gt;0,$B$12*$B$18,0)</x:f>
        <x:v>-150000</x:v>
      </x:c>
      <x:c r="R31" t="n">
        <x:f>((IF(R$30-$B$8&lt;0,0,$B$22*$B$15*INDEX($B$31:$B$51,R$30-$B$8+1)*$B$5))*(1-$B$9))-IF(R$30=0,$B$23*(1-$N31),0)-IF(R$30&gt;0,$B$22*$B$17,0)-IF(R$30&gt;0,$B$12*$B$18,0)</x:f>
        <x:v>-22500</x:v>
      </x:c>
      <x:c r="S31" t="n">
        <x:f>((IF(S$30-$B$8&lt;0,0,$B$22*$B$15*INDEX($B$31:$B$51,S$30-$B$8+1)*$B$5))*(1-$B$9))-IF(S$30=0,$B$23*(1-$N31),0)-IF(S$30&gt;0,$B$22*$B$17,0)-IF(S$30&gt;0,$B$12*$B$18,0)</x:f>
        <x:v>-22500</x:v>
      </x:c>
      <x:c r="T31" t="n">
        <x:f>((IF(T$30-$B$8&lt;0,0,$B$22*$B$15*INDEX($B$31:$B$51,T$30-$B$8+1)*$B$5))*(1-$B$9))-IF(T$30=0,$B$23*(1-$N31),0)-IF(T$30&gt;0,$B$22*$B$17,0)-IF(T$30&gt;0,$B$12*$B$18,0)</x:f>
        <x:v>-20580</x:v>
      </x:c>
      <x:c r="U31" t="n">
        <x:f>((IF(U$30-$B$8&lt;0,0,$B$22*$B$15*INDEX($B$31:$B$51,U$30-$B$8+1)*$B$5))*(1-$B$9))-IF(U$30=0,$B$23*(1-$N31),0)-IF(U$30&gt;0,$B$22*$B$17,0)-IF(U$30&gt;0,$B$12*$B$18,0)</x:f>
        <x:v>-17700</x:v>
      </x:c>
      <x:c r="V31" t="n">
        <x:f>((IF(V$30-$B$8&lt;0,0,$B$22*$B$15*INDEX($B$31:$B$51,V$30-$B$8+1)*$B$5))*(1-$B$9))-IF(V$30=0,$B$23*(1-$N31),0)-IF(V$30&gt;0,$B$22*$B$17,0)-IF(V$30&gt;0,$B$12*$B$18,0)</x:f>
        <x:v>-12900</x:v>
      </x:c>
      <x:c r="W31" t="n">
        <x:f>((IF(W$30-$B$8&lt;0,0,$B$22*$B$15*INDEX($B$31:$B$51,W$30-$B$8+1)*$B$5))*(1-$B$9))-IF(W$30=0,$B$23*(1-$N31),0)-IF(W$30&gt;0,$B$22*$B$17,0)-IF(W$30&gt;0,$B$12*$B$18,0)</x:f>
        <x:v>-5220</x:v>
      </x:c>
      <x:c r="X31" t="n">
        <x:f>((IF(X$30-$B$8&lt;0,0,$B$22*$B$15*INDEX($B$31:$B$51,X$30-$B$8+1)*$B$5))*(1-$B$9))-IF(X$30=0,$B$23*(1-$N31),0)-IF(X$30&gt;0,$B$22*$B$17,0)-IF(X$30&gt;0,$B$12*$B$18,0)</x:f>
        <x:v>4380.000000000007</x:v>
      </x:c>
      <x:c r="Y31" t="n">
        <x:f>((IF(Y$30-$B$8&lt;0,0,$B$22*$B$15*INDEX($B$31:$B$51,Y$30-$B$8+1)*$B$5))*(1-$B$9))-IF(Y$30=0,$B$23*(1-$N31),0)-IF(Y$30&gt;0,$B$22*$B$17,0)-IF(Y$30&gt;0,$B$12*$B$18,0)</x:f>
        <x:v>15900</x:v>
      </x:c>
      <x:c r="Z31" t="n">
        <x:f>((IF(Z$30-$B$8&lt;0,0,$B$22*$B$15*INDEX($B$31:$B$51,Z$30-$B$8+1)*$B$5))*(1-$B$9))-IF(Z$30=0,$B$23*(1-$N31),0)-IF(Z$30&gt;0,$B$22*$B$17,0)-IF(Z$30&gt;0,$B$12*$B$18,0)</x:f>
        <x:v>29340</x:v>
      </x:c>
      <x:c r="AA31" t="n">
        <x:f>((IF(AA$30-$B$8&lt;0,0,$B$22*$B$15*INDEX($B$31:$B$51,AA$30-$B$8+1)*$B$5))*(1-$B$9))-IF(AA$30=0,$B$23*(1-$N31),0)-IF(AA$30&gt;0,$B$22*$B$17,0)-IF(AA$30&gt;0,$B$12*$B$18,0)</x:f>
        <x:v>42780.000000000015</x:v>
      </x:c>
      <x:c r="AB31" t="n">
        <x:f>((IF(AB$30-$B$8&lt;0,0,$B$22*$B$15*INDEX($B$31:$B$51,AB$30-$B$8+1)*$B$5))*(1-$B$9))-IF(AB$30=0,$B$23*(1-$N31),0)-IF(AB$30&gt;0,$B$22*$B$17,0)-IF(AB$30&gt;0,$B$12*$B$18,0)</x:f>
        <x:v>54300</x:v>
      </x:c>
      <x:c r="AC31" t="n">
        <x:f>((IF(AC$30-$B$8&lt;0,0,$B$22*$B$15*INDEX($B$31:$B$51,AC$30-$B$8+1)*$B$5))*(1-$B$9))-IF(AC$30=0,$B$23*(1-$N31),0)-IF(AC$30&gt;0,$B$22*$B$17,0)-IF(AC$30&gt;0,$B$12*$B$18,0)</x:f>
        <x:v>63900</x:v>
      </x:c>
      <x:c r="AD31" t="n">
        <x:f>((IF(AD$30-$B$8&lt;0,0,$B$22*$B$15*INDEX($B$31:$B$51,AD$30-$B$8+1)*$B$5))*(1-$B$9))-IF(AD$30=0,$B$23*(1-$N31),0)-IF(AD$30&gt;0,$B$22*$B$17,0)-IF(AD$30&gt;0,$B$12*$B$18,0)</x:f>
        <x:v>73500</x:v>
      </x:c>
      <x:c r="AE31" t="n">
        <x:f>((IF(AE$30-$B$8&lt;0,0,$B$22*$B$15*INDEX($B$31:$B$51,AE$30-$B$8+1)*$B$5))*(1-$B$9))-IF(AE$30=0,$B$23*(1-$N31),0)-IF(AE$30&gt;0,$B$22*$B$17,0)-IF(AE$30&gt;0,$B$12*$B$18,0)</x:f>
        <x:v>73500</x:v>
      </x:c>
      <x:c r="AF31" t="n">
        <x:f>((IF(AF$30-$B$8&lt;0,0,$B$22*$B$15*INDEX($B$31:$B$51,AF$30-$B$8+1)*$B$5))*(1-$B$9))-IF(AF$30=0,$B$23*(1-$N31),0)-IF(AF$30&gt;0,$B$22*$B$17,0)-IF(AF$30&gt;0,$B$12*$B$18,0)</x:f>
        <x:v>73500</x:v>
      </x:c>
      <x:c r="AG31" t="n">
        <x:f>((IF(AG$30-$B$8&lt;0,0,$B$22*$B$15*INDEX($B$31:$B$51,AG$30-$B$8+1)*$B$5))*(1-$B$9))-IF(AG$30=0,$B$23*(1-$N31),0)-IF(AG$30&gt;0,$B$22*$B$17,0)-IF(AG$30&gt;0,$B$12*$B$18,0)</x:f>
        <x:v>73500</x:v>
      </x:c>
      <x:c r="AH31" t="n">
        <x:f>((IF(AH$30-$B$8&lt;0,0,$B$22*$B$15*INDEX($B$31:$B$51,AH$30-$B$8+1)*$B$5))*(1-$B$9))-IF(AH$30=0,$B$23*(1-$N31),0)-IF(AH$30&gt;0,$B$22*$B$17,0)-IF(AH$30&gt;0,$B$12*$B$18,0)</x:f>
        <x:v>73500</x:v>
      </x:c>
      <x:c r="AI31" t="n">
        <x:f>((IF(AI$30-$B$8&lt;0,0,$B$22*$B$15*INDEX($B$31:$B$51,AI$30-$B$8+1)*$B$5))*(1-$B$9))-IF(AI$30=0,$B$23*(1-$N31),0)-IF(AI$30&gt;0,$B$22*$B$17,0)-IF(AI$30&gt;0,$B$12*$B$18,0)</x:f>
        <x:v>73500</x:v>
      </x:c>
      <x:c r="AJ31" t="n">
        <x:f>((IF(AJ$30-$B$8&lt;0,0,$B$22*$B$15*INDEX($B$31:$B$51,AJ$30-$B$8+1)*$B$5))*(1-$B$9))-IF(AJ$30=0,$B$23*(1-$N31),0)-IF(AJ$30&gt;0,$B$22*$B$17,0)-IF(AJ$30&gt;0,$B$12*$B$18,0)</x:f>
        <x:v>73500</x:v>
      </x:c>
      <x:c r="AK31" t="n">
        <x:f>((IF(AK$30-$B$8&lt;0,0,$B$22*$B$15*INDEX($B$31:$B$51,AK$30-$B$8+1)*$B$5))*(1-$B$9))-IF(AK$30=0,$B$23*(1-$N31),0)-IF(AK$30&gt;0,$B$22*$B$17,0)-IF(AK$30&gt;0,$B$12*$B$18,0)</x:f>
        <x:v>73500</x:v>
      </x:c>
    </x:row>
    <x:row r="32">
      <x:c r="A32" s="51" t="n">
        <x:v>1</x:v>
      </x:c>
      <x:c r="B32" s="55" t="n">
        <x:v>0.02</x:v>
      </x:c>
      <x:c r="C32" s="58" t="n">
        <x:f>$B$22*$B$15*B32</x:f>
        <x:v>30</x:v>
      </x:c>
      <x:c r="D32" s="58" t="n">
        <x:f>C32*$B$5</x:f>
        <x:v>2400</x:v>
      </x:c>
      <x:c r="E32" s="58" t="n">
        <x:f>IF(A32-$B$8&lt;0,0,INDEX($D$31:$D$51,A32-$B$8+1))</x:f>
        <x:v>0</x:v>
      </x:c>
      <x:c r="F32" s="58" t="n">
        <x:f>E32*$B$9</x:f>
        <x:v>0</x:v>
      </x:c>
      <x:c r="G32" s="58" t="n">
        <x:f>E32-F32</x:f>
        <x:v>0</x:v>
      </x:c>
      <x:c r="H32" s="58" t="n">
        <x:f>IF(A32=0,$B$23*(1-$B$10),0)</x:f>
        <x:v>0</x:v>
      </x:c>
      <x:c r="I32" s="58" t="n">
        <x:f>IF(A32&gt;0,$B$22*$B$17,0)</x:f>
        <x:v>13500</x:v>
      </x:c>
      <x:c r="J32" s="58" t="n">
        <x:f>IF(A32&gt;0,$B$12*$B$18,0)</x:f>
        <x:v>9000</x:v>
      </x:c>
      <x:c r="K32" s="58" t="n">
        <x:f>G32-H32-I32-J32</x:f>
        <x:v>-22500</x:v>
      </x:c>
      <x:c r="N32" s="18" t="n">
        <x:v>0.05</x:v>
      </x:c>
      <x:c r="O32" s="59" t="n">
        <x:f>IFERROR(IRR(Q32:AK32),"")</x:f>
        <x:v>0.09311281102079164</x:v>
      </x:c>
      <x:c r="P32" s="88" t="b">
        <x:f>IF(O32="","",O32&gt;=$B$7)</x:f>
        <x:v>0</x:v>
      </x:c>
      <x:c r="Q32" t="n">
        <x:f>((IF(Q$30-$B$8&lt;0,0,$B$22*$B$15*INDEX($B$31:$B$51,Q$30-$B$8+1)*$B$5))*(1-$B$9))-IF(Q$30=0,$B$23*(1-$N32),0)-IF(Q$30&gt;0,$B$22*$B$17,0)-IF(Q$30&gt;0,$B$12*$B$18,0)</x:f>
        <x:v>-142500</x:v>
      </x:c>
      <x:c r="R32" t="n">
        <x:f>((IF(R$30-$B$8&lt;0,0,$B$22*$B$15*INDEX($B$31:$B$51,R$30-$B$8+1)*$B$5))*(1-$B$9))-IF(R$30=0,$B$23*(1-$N32),0)-IF(R$30&gt;0,$B$22*$B$17,0)-IF(R$30&gt;0,$B$12*$B$18,0)</x:f>
        <x:v>-22500</x:v>
      </x:c>
      <x:c r="S32" t="n">
        <x:f>((IF(S$30-$B$8&lt;0,0,$B$22*$B$15*INDEX($B$31:$B$51,S$30-$B$8+1)*$B$5))*(1-$B$9))-IF(S$30=0,$B$23*(1-$N32),0)-IF(S$30&gt;0,$B$22*$B$17,0)-IF(S$30&gt;0,$B$12*$B$18,0)</x:f>
        <x:v>-22500</x:v>
      </x:c>
      <x:c r="T32" t="n">
        <x:f>((IF(T$30-$B$8&lt;0,0,$B$22*$B$15*INDEX($B$31:$B$51,T$30-$B$8+1)*$B$5))*(1-$B$9))-IF(T$30=0,$B$23*(1-$N32),0)-IF(T$30&gt;0,$B$22*$B$17,0)-IF(T$30&gt;0,$B$12*$B$18,0)</x:f>
        <x:v>-20580</x:v>
      </x:c>
      <x:c r="U32" t="n">
        <x:f>((IF(U$30-$B$8&lt;0,0,$B$22*$B$15*INDEX($B$31:$B$51,U$30-$B$8+1)*$B$5))*(1-$B$9))-IF(U$30=0,$B$23*(1-$N32),0)-IF(U$30&gt;0,$B$22*$B$17,0)-IF(U$30&gt;0,$B$12*$B$18,0)</x:f>
        <x:v>-17700</x:v>
      </x:c>
      <x:c r="V32" t="n">
        <x:f>((IF(V$30-$B$8&lt;0,0,$B$22*$B$15*INDEX($B$31:$B$51,V$30-$B$8+1)*$B$5))*(1-$B$9))-IF(V$30=0,$B$23*(1-$N32),0)-IF(V$30&gt;0,$B$22*$B$17,0)-IF(V$30&gt;0,$B$12*$B$18,0)</x:f>
        <x:v>-12900</x:v>
      </x:c>
      <x:c r="W32" t="n">
        <x:f>((IF(W$30-$B$8&lt;0,0,$B$22*$B$15*INDEX($B$31:$B$51,W$30-$B$8+1)*$B$5))*(1-$B$9))-IF(W$30=0,$B$23*(1-$N32),0)-IF(W$30&gt;0,$B$22*$B$17,0)-IF(W$30&gt;0,$B$12*$B$18,0)</x:f>
        <x:v>-5220</x:v>
      </x:c>
      <x:c r="X32" t="n">
        <x:f>((IF(X$30-$B$8&lt;0,0,$B$22*$B$15*INDEX($B$31:$B$51,X$30-$B$8+1)*$B$5))*(1-$B$9))-IF(X$30=0,$B$23*(1-$N32),0)-IF(X$30&gt;0,$B$22*$B$17,0)-IF(X$30&gt;0,$B$12*$B$18,0)</x:f>
        <x:v>4380.000000000007</x:v>
      </x:c>
      <x:c r="Y32" t="n">
        <x:f>((IF(Y$30-$B$8&lt;0,0,$B$22*$B$15*INDEX($B$31:$B$51,Y$30-$B$8+1)*$B$5))*(1-$B$9))-IF(Y$30=0,$B$23*(1-$N32),0)-IF(Y$30&gt;0,$B$22*$B$17,0)-IF(Y$30&gt;0,$B$12*$B$18,0)</x:f>
        <x:v>15900</x:v>
      </x:c>
      <x:c r="Z32" t="n">
        <x:f>((IF(Z$30-$B$8&lt;0,0,$B$22*$B$15*INDEX($B$31:$B$51,Z$30-$B$8+1)*$B$5))*(1-$B$9))-IF(Z$30=0,$B$23*(1-$N32),0)-IF(Z$30&gt;0,$B$22*$B$17,0)-IF(Z$30&gt;0,$B$12*$B$18,0)</x:f>
        <x:v>29340</x:v>
      </x:c>
      <x:c r="AA32" t="n">
        <x:f>((IF(AA$30-$B$8&lt;0,0,$B$22*$B$15*INDEX($B$31:$B$51,AA$30-$B$8+1)*$B$5))*(1-$B$9))-IF(AA$30=0,$B$23*(1-$N32),0)-IF(AA$30&gt;0,$B$22*$B$17,0)-IF(AA$30&gt;0,$B$12*$B$18,0)</x:f>
        <x:v>42780.000000000015</x:v>
      </x:c>
      <x:c r="AB32" t="n">
        <x:f>((IF(AB$30-$B$8&lt;0,0,$B$22*$B$15*INDEX($B$31:$B$51,AB$30-$B$8+1)*$B$5))*(1-$B$9))-IF(AB$30=0,$B$23*(1-$N32),0)-IF(AB$30&gt;0,$B$22*$B$17,0)-IF(AB$30&gt;0,$B$12*$B$18,0)</x:f>
        <x:v>54300</x:v>
      </x:c>
      <x:c r="AC32" t="n">
        <x:f>((IF(AC$30-$B$8&lt;0,0,$B$22*$B$15*INDEX($B$31:$B$51,AC$30-$B$8+1)*$B$5))*(1-$B$9))-IF(AC$30=0,$B$23*(1-$N32),0)-IF(AC$30&gt;0,$B$22*$B$17,0)-IF(AC$30&gt;0,$B$12*$B$18,0)</x:f>
        <x:v>63900</x:v>
      </x:c>
      <x:c r="AD32" t="n">
        <x:f>((IF(AD$30-$B$8&lt;0,0,$B$22*$B$15*INDEX($B$31:$B$51,AD$30-$B$8+1)*$B$5))*(1-$B$9))-IF(AD$30=0,$B$23*(1-$N32),0)-IF(AD$30&gt;0,$B$22*$B$17,0)-IF(AD$30&gt;0,$B$12*$B$18,0)</x:f>
        <x:v>73500</x:v>
      </x:c>
      <x:c r="AE32" t="n">
        <x:f>((IF(AE$30-$B$8&lt;0,0,$B$22*$B$15*INDEX($B$31:$B$51,AE$30-$B$8+1)*$B$5))*(1-$B$9))-IF(AE$30=0,$B$23*(1-$N32),0)-IF(AE$30&gt;0,$B$22*$B$17,0)-IF(AE$30&gt;0,$B$12*$B$18,0)</x:f>
        <x:v>73500</x:v>
      </x:c>
      <x:c r="AF32" t="n">
        <x:f>((IF(AF$30-$B$8&lt;0,0,$B$22*$B$15*INDEX($B$31:$B$51,AF$30-$B$8+1)*$B$5))*(1-$B$9))-IF(AF$30=0,$B$23*(1-$N32),0)-IF(AF$30&gt;0,$B$22*$B$17,0)-IF(AF$30&gt;0,$B$12*$B$18,0)</x:f>
        <x:v>73500</x:v>
      </x:c>
      <x:c r="AG32" t="n">
        <x:f>((IF(AG$30-$B$8&lt;0,0,$B$22*$B$15*INDEX($B$31:$B$51,AG$30-$B$8+1)*$B$5))*(1-$B$9))-IF(AG$30=0,$B$23*(1-$N32),0)-IF(AG$30&gt;0,$B$22*$B$17,0)-IF(AG$30&gt;0,$B$12*$B$18,0)</x:f>
        <x:v>73500</x:v>
      </x:c>
      <x:c r="AH32" t="n">
        <x:f>((IF(AH$30-$B$8&lt;0,0,$B$22*$B$15*INDEX($B$31:$B$51,AH$30-$B$8+1)*$B$5))*(1-$B$9))-IF(AH$30=0,$B$23*(1-$N32),0)-IF(AH$30&gt;0,$B$22*$B$17,0)-IF(AH$30&gt;0,$B$12*$B$18,0)</x:f>
        <x:v>73500</x:v>
      </x:c>
      <x:c r="AI32" t="n">
        <x:f>((IF(AI$30-$B$8&lt;0,0,$B$22*$B$15*INDEX($B$31:$B$51,AI$30-$B$8+1)*$B$5))*(1-$B$9))-IF(AI$30=0,$B$23*(1-$N32),0)-IF(AI$30&gt;0,$B$22*$B$17,0)-IF(AI$30&gt;0,$B$12*$B$18,0)</x:f>
        <x:v>73500</x:v>
      </x:c>
      <x:c r="AJ32" t="n">
        <x:f>((IF(AJ$30-$B$8&lt;0,0,$B$22*$B$15*INDEX($B$31:$B$51,AJ$30-$B$8+1)*$B$5))*(1-$B$9))-IF(AJ$30=0,$B$23*(1-$N32),0)-IF(AJ$30&gt;0,$B$22*$B$17,0)-IF(AJ$30&gt;0,$B$12*$B$18,0)</x:f>
        <x:v>73500</x:v>
      </x:c>
      <x:c r="AK32" t="n">
        <x:f>((IF(AK$30-$B$8&lt;0,0,$B$22*$B$15*INDEX($B$31:$B$51,AK$30-$B$8+1)*$B$5))*(1-$B$9))-IF(AK$30=0,$B$23*(1-$N32),0)-IF(AK$30&gt;0,$B$22*$B$17,0)-IF(AK$30&gt;0,$B$12*$B$18,0)</x:f>
        <x:v>73500</x:v>
      </x:c>
    </x:row>
    <x:row r="33">
      <x:c r="A33" s="51" t="n">
        <x:v>2</x:v>
      </x:c>
      <x:c r="B33" s="55" t="n">
        <x:v>0.05</x:v>
      </x:c>
      <x:c r="C33" s="58" t="n">
        <x:f>$B$22*$B$15*B33</x:f>
        <x:v>75</x:v>
      </x:c>
      <x:c r="D33" s="58" t="n">
        <x:f>C33*$B$5</x:f>
        <x:v>6000</x:v>
      </x:c>
      <x:c r="E33" s="58" t="n">
        <x:f>IF(A33-$B$8&lt;0,0,INDEX($D$31:$D$51,A33-$B$8+1))</x:f>
        <x:v>0</x:v>
      </x:c>
      <x:c r="F33" s="58" t="n">
        <x:f>E33*$B$9</x:f>
        <x:v>0</x:v>
      </x:c>
      <x:c r="G33" s="58" t="n">
        <x:f>E33-F33</x:f>
        <x:v>0</x:v>
      </x:c>
      <x:c r="H33" s="58" t="n">
        <x:f>IF(A33=0,$B$23*(1-$B$10),0)</x:f>
        <x:v>0</x:v>
      </x:c>
      <x:c r="I33" s="58" t="n">
        <x:f>IF(A33&gt;0,$B$22*$B$17,0)</x:f>
        <x:v>13500</x:v>
      </x:c>
      <x:c r="J33" s="58" t="n">
        <x:f>IF(A33&gt;0,$B$12*$B$18,0)</x:f>
        <x:v>9000</x:v>
      </x:c>
      <x:c r="K33" s="58" t="n">
        <x:f>G33-H33-I33-J33</x:f>
        <x:v>-22500</x:v>
      </x:c>
      <x:c r="N33" s="18" t="n">
        <x:v>0.1</x:v>
      </x:c>
      <x:c r="O33" s="59" t="n">
        <x:f>IFERROR(IRR(Q33:AK33),"")</x:f>
        <x:v>0.09604169035934398</x:v>
      </x:c>
      <x:c r="P33" s="88" t="b">
        <x:f>IF(O33="","",O33&gt;=$B$7)</x:f>
        <x:v>0</x:v>
      </x:c>
      <x:c r="Q33" t="n">
        <x:f>((IF(Q$30-$B$8&lt;0,0,$B$22*$B$15*INDEX($B$31:$B$51,Q$30-$B$8+1)*$B$5))*(1-$B$9))-IF(Q$30=0,$B$23*(1-$N33),0)-IF(Q$30&gt;0,$B$22*$B$17,0)-IF(Q$30&gt;0,$B$12*$B$18,0)</x:f>
        <x:v>-135000</x:v>
      </x:c>
      <x:c r="R33" t="n">
        <x:f>((IF(R$30-$B$8&lt;0,0,$B$22*$B$15*INDEX($B$31:$B$51,R$30-$B$8+1)*$B$5))*(1-$B$9))-IF(R$30=0,$B$23*(1-$N33),0)-IF(R$30&gt;0,$B$22*$B$17,0)-IF(R$30&gt;0,$B$12*$B$18,0)</x:f>
        <x:v>-22500</x:v>
      </x:c>
      <x:c r="S33" t="n">
        <x:f>((IF(S$30-$B$8&lt;0,0,$B$22*$B$15*INDEX($B$31:$B$51,S$30-$B$8+1)*$B$5))*(1-$B$9))-IF(S$30=0,$B$23*(1-$N33),0)-IF(S$30&gt;0,$B$22*$B$17,0)-IF(S$30&gt;0,$B$12*$B$18,0)</x:f>
        <x:v>-22500</x:v>
      </x:c>
      <x:c r="T33" t="n">
        <x:f>((IF(T$30-$B$8&lt;0,0,$B$22*$B$15*INDEX($B$31:$B$51,T$30-$B$8+1)*$B$5))*(1-$B$9))-IF(T$30=0,$B$23*(1-$N33),0)-IF(T$30&gt;0,$B$22*$B$17,0)-IF(T$30&gt;0,$B$12*$B$18,0)</x:f>
        <x:v>-20580</x:v>
      </x:c>
      <x:c r="U33" t="n">
        <x:f>((IF(U$30-$B$8&lt;0,0,$B$22*$B$15*INDEX($B$31:$B$51,U$30-$B$8+1)*$B$5))*(1-$B$9))-IF(U$30=0,$B$23*(1-$N33),0)-IF(U$30&gt;0,$B$22*$B$17,0)-IF(U$30&gt;0,$B$12*$B$18,0)</x:f>
        <x:v>-17700</x:v>
      </x:c>
      <x:c r="V33" t="n">
        <x:f>((IF(V$30-$B$8&lt;0,0,$B$22*$B$15*INDEX($B$31:$B$51,V$30-$B$8+1)*$B$5))*(1-$B$9))-IF(V$30=0,$B$23*(1-$N33),0)-IF(V$30&gt;0,$B$22*$B$17,0)-IF(V$30&gt;0,$B$12*$B$18,0)</x:f>
        <x:v>-12900</x:v>
      </x:c>
      <x:c r="W33" t="n">
        <x:f>((IF(W$30-$B$8&lt;0,0,$B$22*$B$15*INDEX($B$31:$B$51,W$30-$B$8+1)*$B$5))*(1-$B$9))-IF(W$30=0,$B$23*(1-$N33),0)-IF(W$30&gt;0,$B$22*$B$17,0)-IF(W$30&gt;0,$B$12*$B$18,0)</x:f>
        <x:v>-5220</x:v>
      </x:c>
      <x:c r="X33" t="n">
        <x:f>((IF(X$30-$B$8&lt;0,0,$B$22*$B$15*INDEX($B$31:$B$51,X$30-$B$8+1)*$B$5))*(1-$B$9))-IF(X$30=0,$B$23*(1-$N33),0)-IF(X$30&gt;0,$B$22*$B$17,0)-IF(X$30&gt;0,$B$12*$B$18,0)</x:f>
        <x:v>4380.000000000007</x:v>
      </x:c>
      <x:c r="Y33" t="n">
        <x:f>((IF(Y$30-$B$8&lt;0,0,$B$22*$B$15*INDEX($B$31:$B$51,Y$30-$B$8+1)*$B$5))*(1-$B$9))-IF(Y$30=0,$B$23*(1-$N33),0)-IF(Y$30&gt;0,$B$22*$B$17,0)-IF(Y$30&gt;0,$B$12*$B$18,0)</x:f>
        <x:v>15900</x:v>
      </x:c>
      <x:c r="Z33" t="n">
        <x:f>((IF(Z$30-$B$8&lt;0,0,$B$22*$B$15*INDEX($B$31:$B$51,Z$30-$B$8+1)*$B$5))*(1-$B$9))-IF(Z$30=0,$B$23*(1-$N33),0)-IF(Z$30&gt;0,$B$22*$B$17,0)-IF(Z$30&gt;0,$B$12*$B$18,0)</x:f>
        <x:v>29340</x:v>
      </x:c>
      <x:c r="AA33" t="n">
        <x:f>((IF(AA$30-$B$8&lt;0,0,$B$22*$B$15*INDEX($B$31:$B$51,AA$30-$B$8+1)*$B$5))*(1-$B$9))-IF(AA$30=0,$B$23*(1-$N33),0)-IF(AA$30&gt;0,$B$22*$B$17,0)-IF(AA$30&gt;0,$B$12*$B$18,0)</x:f>
        <x:v>42780.000000000015</x:v>
      </x:c>
      <x:c r="AB33" t="n">
        <x:f>((IF(AB$30-$B$8&lt;0,0,$B$22*$B$15*INDEX($B$31:$B$51,AB$30-$B$8+1)*$B$5))*(1-$B$9))-IF(AB$30=0,$B$23*(1-$N33),0)-IF(AB$30&gt;0,$B$22*$B$17,0)-IF(AB$30&gt;0,$B$12*$B$18,0)</x:f>
        <x:v>54300</x:v>
      </x:c>
      <x:c r="AC33" t="n">
        <x:f>((IF(AC$30-$B$8&lt;0,0,$B$22*$B$15*INDEX($B$31:$B$51,AC$30-$B$8+1)*$B$5))*(1-$B$9))-IF(AC$30=0,$B$23*(1-$N33),0)-IF(AC$30&gt;0,$B$22*$B$17,0)-IF(AC$30&gt;0,$B$12*$B$18,0)</x:f>
        <x:v>63900</x:v>
      </x:c>
      <x:c r="AD33" t="n">
        <x:f>((IF(AD$30-$B$8&lt;0,0,$B$22*$B$15*INDEX($B$31:$B$51,AD$30-$B$8+1)*$B$5))*(1-$B$9))-IF(AD$30=0,$B$23*(1-$N33),0)-IF(AD$30&gt;0,$B$22*$B$17,0)-IF(AD$30&gt;0,$B$12*$B$18,0)</x:f>
        <x:v>73500</x:v>
      </x:c>
      <x:c r="AE33" t="n">
        <x:f>((IF(AE$30-$B$8&lt;0,0,$B$22*$B$15*INDEX($B$31:$B$51,AE$30-$B$8+1)*$B$5))*(1-$B$9))-IF(AE$30=0,$B$23*(1-$N33),0)-IF(AE$30&gt;0,$B$22*$B$17,0)-IF(AE$30&gt;0,$B$12*$B$18,0)</x:f>
        <x:v>73500</x:v>
      </x:c>
      <x:c r="AF33" t="n">
        <x:f>((IF(AF$30-$B$8&lt;0,0,$B$22*$B$15*INDEX($B$31:$B$51,AF$30-$B$8+1)*$B$5))*(1-$B$9))-IF(AF$30=0,$B$23*(1-$N33),0)-IF(AF$30&gt;0,$B$22*$B$17,0)-IF(AF$30&gt;0,$B$12*$B$18,0)</x:f>
        <x:v>73500</x:v>
      </x:c>
      <x:c r="AG33" t="n">
        <x:f>((IF(AG$30-$B$8&lt;0,0,$B$22*$B$15*INDEX($B$31:$B$51,AG$30-$B$8+1)*$B$5))*(1-$B$9))-IF(AG$30=0,$B$23*(1-$N33),0)-IF(AG$30&gt;0,$B$22*$B$17,0)-IF(AG$30&gt;0,$B$12*$B$18,0)</x:f>
        <x:v>73500</x:v>
      </x:c>
      <x:c r="AH33" t="n">
        <x:f>((IF(AH$30-$B$8&lt;0,0,$B$22*$B$15*INDEX($B$31:$B$51,AH$30-$B$8+1)*$B$5))*(1-$B$9))-IF(AH$30=0,$B$23*(1-$N33),0)-IF(AH$30&gt;0,$B$22*$B$17,0)-IF(AH$30&gt;0,$B$12*$B$18,0)</x:f>
        <x:v>73500</x:v>
      </x:c>
      <x:c r="AI33" t="n">
        <x:f>((IF(AI$30-$B$8&lt;0,0,$B$22*$B$15*INDEX($B$31:$B$51,AI$30-$B$8+1)*$B$5))*(1-$B$9))-IF(AI$30=0,$B$23*(1-$N33),0)-IF(AI$30&gt;0,$B$22*$B$17,0)-IF(AI$30&gt;0,$B$12*$B$18,0)</x:f>
        <x:v>73500</x:v>
      </x:c>
      <x:c r="AJ33" t="n">
        <x:f>((IF(AJ$30-$B$8&lt;0,0,$B$22*$B$15*INDEX($B$31:$B$51,AJ$30-$B$8+1)*$B$5))*(1-$B$9))-IF(AJ$30=0,$B$23*(1-$N33),0)-IF(AJ$30&gt;0,$B$22*$B$17,0)-IF(AJ$30&gt;0,$B$12*$B$18,0)</x:f>
        <x:v>73500</x:v>
      </x:c>
      <x:c r="AK33" t="n">
        <x:f>((IF(AK$30-$B$8&lt;0,0,$B$22*$B$15*INDEX($B$31:$B$51,AK$30-$B$8+1)*$B$5))*(1-$B$9))-IF(AK$30=0,$B$23*(1-$N33),0)-IF(AK$30&gt;0,$B$22*$B$17,0)-IF(AK$30&gt;0,$B$12*$B$18,0)</x:f>
        <x:v>73500</x:v>
      </x:c>
    </x:row>
    <x:row r="34">
      <x:c r="A34" s="51" t="n">
        <x:v>3</x:v>
      </x:c>
      <x:c r="B34" s="55" t="n">
        <x:v>0.1</x:v>
      </x:c>
      <x:c r="C34" s="58" t="n">
        <x:f>$B$22*$B$15*B34</x:f>
        <x:v>150</x:v>
      </x:c>
      <x:c r="D34" s="58" t="n">
        <x:f>C34*$B$5</x:f>
        <x:v>12000</x:v>
      </x:c>
      <x:c r="E34" s="58" t="n">
        <x:f>IF(A34-$B$8&lt;0,0,INDEX($D$31:$D$51,A34-$B$8+1))</x:f>
        <x:v>2400</x:v>
      </x:c>
      <x:c r="F34" s="58" t="n">
        <x:f>E34*$B$9</x:f>
        <x:v>480</x:v>
      </x:c>
      <x:c r="G34" s="58" t="n">
        <x:f>E34-F34</x:f>
        <x:v>1920</x:v>
      </x:c>
      <x:c r="H34" s="58" t="n">
        <x:f>IF(A34=0,$B$23*(1-$B$10),0)</x:f>
        <x:v>0</x:v>
      </x:c>
      <x:c r="I34" s="58" t="n">
        <x:f>IF(A34&gt;0,$B$22*$B$17,0)</x:f>
        <x:v>13500</x:v>
      </x:c>
      <x:c r="J34" s="58" t="n">
        <x:f>IF(A34&gt;0,$B$12*$B$18,0)</x:f>
        <x:v>9000</x:v>
      </x:c>
      <x:c r="K34" s="58" t="n">
        <x:f>G34-H34-I34-J34</x:f>
        <x:v>-20580</x:v>
      </x:c>
      <x:c r="N34" s="18" t="n">
        <x:v>0.15</x:v>
      </x:c>
      <x:c r="O34" s="59" t="n">
        <x:f>IFERROR(IRR(Q34:AK34),"")</x:f>
        <x:v>0.09910624187128035</x:v>
      </x:c>
      <x:c r="P34" s="88" t="b">
        <x:f>IF(O34="","",O34&gt;=$B$7)</x:f>
        <x:v>0</x:v>
      </x:c>
      <x:c r="Q34" t="n">
        <x:f>((IF(Q$30-$B$8&lt;0,0,$B$22*$B$15*INDEX($B$31:$B$51,Q$30-$B$8+1)*$B$5))*(1-$B$9))-IF(Q$30=0,$B$23*(1-$N34),0)-IF(Q$30&gt;0,$B$22*$B$17,0)-IF(Q$30&gt;0,$B$12*$B$18,0)</x:f>
        <x:v>-127500</x:v>
      </x:c>
      <x:c r="R34" t="n">
        <x:f>((IF(R$30-$B$8&lt;0,0,$B$22*$B$15*INDEX($B$31:$B$51,R$30-$B$8+1)*$B$5))*(1-$B$9))-IF(R$30=0,$B$23*(1-$N34),0)-IF(R$30&gt;0,$B$22*$B$17,0)-IF(R$30&gt;0,$B$12*$B$18,0)</x:f>
        <x:v>-22500</x:v>
      </x:c>
      <x:c r="S34" t="n">
        <x:f>((IF(S$30-$B$8&lt;0,0,$B$22*$B$15*INDEX($B$31:$B$51,S$30-$B$8+1)*$B$5))*(1-$B$9))-IF(S$30=0,$B$23*(1-$N34),0)-IF(S$30&gt;0,$B$22*$B$17,0)-IF(S$30&gt;0,$B$12*$B$18,0)</x:f>
        <x:v>-22500</x:v>
      </x:c>
      <x:c r="T34" t="n">
        <x:f>((IF(T$30-$B$8&lt;0,0,$B$22*$B$15*INDEX($B$31:$B$51,T$30-$B$8+1)*$B$5))*(1-$B$9))-IF(T$30=0,$B$23*(1-$N34),0)-IF(T$30&gt;0,$B$22*$B$17,0)-IF(T$30&gt;0,$B$12*$B$18,0)</x:f>
        <x:v>-20580</x:v>
      </x:c>
      <x:c r="U34" t="n">
        <x:f>((IF(U$30-$B$8&lt;0,0,$B$22*$B$15*INDEX($B$31:$B$51,U$30-$B$8+1)*$B$5))*(1-$B$9))-IF(U$30=0,$B$23*(1-$N34),0)-IF(U$30&gt;0,$B$22*$B$17,0)-IF(U$30&gt;0,$B$12*$B$18,0)</x:f>
        <x:v>-17700</x:v>
      </x:c>
      <x:c r="V34" t="n">
        <x:f>((IF(V$30-$B$8&lt;0,0,$B$22*$B$15*INDEX($B$31:$B$51,V$30-$B$8+1)*$B$5))*(1-$B$9))-IF(V$30=0,$B$23*(1-$N34),0)-IF(V$30&gt;0,$B$22*$B$17,0)-IF(V$30&gt;0,$B$12*$B$18,0)</x:f>
        <x:v>-12900</x:v>
      </x:c>
      <x:c r="W34" t="n">
        <x:f>((IF(W$30-$B$8&lt;0,0,$B$22*$B$15*INDEX($B$31:$B$51,W$30-$B$8+1)*$B$5))*(1-$B$9))-IF(W$30=0,$B$23*(1-$N34),0)-IF(W$30&gt;0,$B$22*$B$17,0)-IF(W$30&gt;0,$B$12*$B$18,0)</x:f>
        <x:v>-5220</x:v>
      </x:c>
      <x:c r="X34" t="n">
        <x:f>((IF(X$30-$B$8&lt;0,0,$B$22*$B$15*INDEX($B$31:$B$51,X$30-$B$8+1)*$B$5))*(1-$B$9))-IF(X$30=0,$B$23*(1-$N34),0)-IF(X$30&gt;0,$B$22*$B$17,0)-IF(X$30&gt;0,$B$12*$B$18,0)</x:f>
        <x:v>4380.000000000007</x:v>
      </x:c>
      <x:c r="Y34" t="n">
        <x:f>((IF(Y$30-$B$8&lt;0,0,$B$22*$B$15*INDEX($B$31:$B$51,Y$30-$B$8+1)*$B$5))*(1-$B$9))-IF(Y$30=0,$B$23*(1-$N34),0)-IF(Y$30&gt;0,$B$22*$B$17,0)-IF(Y$30&gt;0,$B$12*$B$18,0)</x:f>
        <x:v>15900</x:v>
      </x:c>
      <x:c r="Z34" t="n">
        <x:f>((IF(Z$30-$B$8&lt;0,0,$B$22*$B$15*INDEX($B$31:$B$51,Z$30-$B$8+1)*$B$5))*(1-$B$9))-IF(Z$30=0,$B$23*(1-$N34),0)-IF(Z$30&gt;0,$B$22*$B$17,0)-IF(Z$30&gt;0,$B$12*$B$18,0)</x:f>
        <x:v>29340</x:v>
      </x:c>
      <x:c r="AA34" t="n">
        <x:f>((IF(AA$30-$B$8&lt;0,0,$B$22*$B$15*INDEX($B$31:$B$51,AA$30-$B$8+1)*$B$5))*(1-$B$9))-IF(AA$30=0,$B$23*(1-$N34),0)-IF(AA$30&gt;0,$B$22*$B$17,0)-IF(AA$30&gt;0,$B$12*$B$18,0)</x:f>
        <x:v>42780.000000000015</x:v>
      </x:c>
      <x:c r="AB34" t="n">
        <x:f>((IF(AB$30-$B$8&lt;0,0,$B$22*$B$15*INDEX($B$31:$B$51,AB$30-$B$8+1)*$B$5))*(1-$B$9))-IF(AB$30=0,$B$23*(1-$N34),0)-IF(AB$30&gt;0,$B$22*$B$17,0)-IF(AB$30&gt;0,$B$12*$B$18,0)</x:f>
        <x:v>54300</x:v>
      </x:c>
      <x:c r="AC34" t="n">
        <x:f>((IF(AC$30-$B$8&lt;0,0,$B$22*$B$15*INDEX($B$31:$B$51,AC$30-$B$8+1)*$B$5))*(1-$B$9))-IF(AC$30=0,$B$23*(1-$N34),0)-IF(AC$30&gt;0,$B$22*$B$17,0)-IF(AC$30&gt;0,$B$12*$B$18,0)</x:f>
        <x:v>63900</x:v>
      </x:c>
      <x:c r="AD34" t="n">
        <x:f>((IF(AD$30-$B$8&lt;0,0,$B$22*$B$15*INDEX($B$31:$B$51,AD$30-$B$8+1)*$B$5))*(1-$B$9))-IF(AD$30=0,$B$23*(1-$N34),0)-IF(AD$30&gt;0,$B$22*$B$17,0)-IF(AD$30&gt;0,$B$12*$B$18,0)</x:f>
        <x:v>73500</x:v>
      </x:c>
      <x:c r="AE34" t="n">
        <x:f>((IF(AE$30-$B$8&lt;0,0,$B$22*$B$15*INDEX($B$31:$B$51,AE$30-$B$8+1)*$B$5))*(1-$B$9))-IF(AE$30=0,$B$23*(1-$N34),0)-IF(AE$30&gt;0,$B$22*$B$17,0)-IF(AE$30&gt;0,$B$12*$B$18,0)</x:f>
        <x:v>73500</x:v>
      </x:c>
      <x:c r="AF34" t="n">
        <x:f>((IF(AF$30-$B$8&lt;0,0,$B$22*$B$15*INDEX($B$31:$B$51,AF$30-$B$8+1)*$B$5))*(1-$B$9))-IF(AF$30=0,$B$23*(1-$N34),0)-IF(AF$30&gt;0,$B$22*$B$17,0)-IF(AF$30&gt;0,$B$12*$B$18,0)</x:f>
        <x:v>73500</x:v>
      </x:c>
      <x:c r="AG34" t="n">
        <x:f>((IF(AG$30-$B$8&lt;0,0,$B$22*$B$15*INDEX($B$31:$B$51,AG$30-$B$8+1)*$B$5))*(1-$B$9))-IF(AG$30=0,$B$23*(1-$N34),0)-IF(AG$30&gt;0,$B$22*$B$17,0)-IF(AG$30&gt;0,$B$12*$B$18,0)</x:f>
        <x:v>73500</x:v>
      </x:c>
      <x:c r="AH34" t="n">
        <x:f>((IF(AH$30-$B$8&lt;0,0,$B$22*$B$15*INDEX($B$31:$B$51,AH$30-$B$8+1)*$B$5))*(1-$B$9))-IF(AH$30=0,$B$23*(1-$N34),0)-IF(AH$30&gt;0,$B$22*$B$17,0)-IF(AH$30&gt;0,$B$12*$B$18,0)</x:f>
        <x:v>73500</x:v>
      </x:c>
      <x:c r="AI34" t="n">
        <x:f>((IF(AI$30-$B$8&lt;0,0,$B$22*$B$15*INDEX($B$31:$B$51,AI$30-$B$8+1)*$B$5))*(1-$B$9))-IF(AI$30=0,$B$23*(1-$N34),0)-IF(AI$30&gt;0,$B$22*$B$17,0)-IF(AI$30&gt;0,$B$12*$B$18,0)</x:f>
        <x:v>73500</x:v>
      </x:c>
      <x:c r="AJ34" t="n">
        <x:f>((IF(AJ$30-$B$8&lt;0,0,$B$22*$B$15*INDEX($B$31:$B$51,AJ$30-$B$8+1)*$B$5))*(1-$B$9))-IF(AJ$30=0,$B$23*(1-$N34),0)-IF(AJ$30&gt;0,$B$22*$B$17,0)-IF(AJ$30&gt;0,$B$12*$B$18,0)</x:f>
        <x:v>73500</x:v>
      </x:c>
      <x:c r="AK34" t="n">
        <x:f>((IF(AK$30-$B$8&lt;0,0,$B$22*$B$15*INDEX($B$31:$B$51,AK$30-$B$8+1)*$B$5))*(1-$B$9))-IF(AK$30=0,$B$23*(1-$N34),0)-IF(AK$30&gt;0,$B$22*$B$17,0)-IF(AK$30&gt;0,$B$12*$B$18,0)</x:f>
        <x:v>73500</x:v>
      </x:c>
    </x:row>
    <x:row r="35">
      <x:c r="A35" s="51" t="n">
        <x:v>4</x:v>
      </x:c>
      <x:c r="B35" s="55" t="n">
        <x:v>0.18</x:v>
      </x:c>
      <x:c r="C35" s="58" t="n">
        <x:f>$B$22*$B$15*B35</x:f>
        <x:v>270</x:v>
      </x:c>
      <x:c r="D35" s="58" t="n">
        <x:f>C35*$B$5</x:f>
        <x:v>21600</x:v>
      </x:c>
      <x:c r="E35" s="58" t="n">
        <x:f>IF(A35-$B$8&lt;0,0,INDEX($D$31:$D$51,A35-$B$8+1))</x:f>
        <x:v>6000</x:v>
      </x:c>
      <x:c r="F35" s="58" t="n">
        <x:f>E35*$B$9</x:f>
        <x:v>1200</x:v>
      </x:c>
      <x:c r="G35" s="58" t="n">
        <x:f>E35-F35</x:f>
        <x:v>4800</x:v>
      </x:c>
      <x:c r="H35" s="58" t="n">
        <x:f>IF(A35=0,$B$23*(1-$B$10),0)</x:f>
        <x:v>0</x:v>
      </x:c>
      <x:c r="I35" s="58" t="n">
        <x:f>IF(A35&gt;0,$B$22*$B$17,0)</x:f>
        <x:v>13500</x:v>
      </x:c>
      <x:c r="J35" s="58" t="n">
        <x:f>IF(A35&gt;0,$B$12*$B$18,0)</x:f>
        <x:v>9000</x:v>
      </x:c>
      <x:c r="K35" s="58" t="n">
        <x:f>G35-H35-I35-J35</x:f>
        <x:v>-17700</x:v>
      </x:c>
      <x:c r="N35" s="18" t="n">
        <x:v>0.2</x:v>
      </x:c>
      <x:c r="O35" s="59" t="n">
        <x:f>IFERROR(IRR(Q35:AK35),"")</x:f>
        <x:v>0.10231918179438579</x:v>
      </x:c>
      <x:c r="P35" s="88" t="b">
        <x:f>IF(O35="","",O35&gt;=$B$7)</x:f>
        <x:v>0</x:v>
      </x:c>
      <x:c r="Q35" t="n">
        <x:f>((IF(Q$30-$B$8&lt;0,0,$B$22*$B$15*INDEX($B$31:$B$51,Q$30-$B$8+1)*$B$5))*(1-$B$9))-IF(Q$30=0,$B$23*(1-$N35),0)-IF(Q$30&gt;0,$B$22*$B$17,0)-IF(Q$30&gt;0,$B$12*$B$18,0)</x:f>
        <x:v>-120000</x:v>
      </x:c>
      <x:c r="R35" t="n">
        <x:f>((IF(R$30-$B$8&lt;0,0,$B$22*$B$15*INDEX($B$31:$B$51,R$30-$B$8+1)*$B$5))*(1-$B$9))-IF(R$30=0,$B$23*(1-$N35),0)-IF(R$30&gt;0,$B$22*$B$17,0)-IF(R$30&gt;0,$B$12*$B$18,0)</x:f>
        <x:v>-22500</x:v>
      </x:c>
      <x:c r="S35" t="n">
        <x:f>((IF(S$30-$B$8&lt;0,0,$B$22*$B$15*INDEX($B$31:$B$51,S$30-$B$8+1)*$B$5))*(1-$B$9))-IF(S$30=0,$B$23*(1-$N35),0)-IF(S$30&gt;0,$B$22*$B$17,0)-IF(S$30&gt;0,$B$12*$B$18,0)</x:f>
        <x:v>-22500</x:v>
      </x:c>
      <x:c r="T35" t="n">
        <x:f>((IF(T$30-$B$8&lt;0,0,$B$22*$B$15*INDEX($B$31:$B$51,T$30-$B$8+1)*$B$5))*(1-$B$9))-IF(T$30=0,$B$23*(1-$N35),0)-IF(T$30&gt;0,$B$22*$B$17,0)-IF(T$30&gt;0,$B$12*$B$18,0)</x:f>
        <x:v>-20580</x:v>
      </x:c>
      <x:c r="U35" t="n">
        <x:f>((IF(U$30-$B$8&lt;0,0,$B$22*$B$15*INDEX($B$31:$B$51,U$30-$B$8+1)*$B$5))*(1-$B$9))-IF(U$30=0,$B$23*(1-$N35),0)-IF(U$30&gt;0,$B$22*$B$17,0)-IF(U$30&gt;0,$B$12*$B$18,0)</x:f>
        <x:v>-17700</x:v>
      </x:c>
      <x:c r="V35" t="n">
        <x:f>((IF(V$30-$B$8&lt;0,0,$B$22*$B$15*INDEX($B$31:$B$51,V$30-$B$8+1)*$B$5))*(1-$B$9))-IF(V$30=0,$B$23*(1-$N35),0)-IF(V$30&gt;0,$B$22*$B$17,0)-IF(V$30&gt;0,$B$12*$B$18,0)</x:f>
        <x:v>-12900</x:v>
      </x:c>
      <x:c r="W35" t="n">
        <x:f>((IF(W$30-$B$8&lt;0,0,$B$22*$B$15*INDEX($B$31:$B$51,W$30-$B$8+1)*$B$5))*(1-$B$9))-IF(W$30=0,$B$23*(1-$N35),0)-IF(W$30&gt;0,$B$22*$B$17,0)-IF(W$30&gt;0,$B$12*$B$18,0)</x:f>
        <x:v>-5220</x:v>
      </x:c>
      <x:c r="X35" t="n">
        <x:f>((IF(X$30-$B$8&lt;0,0,$B$22*$B$15*INDEX($B$31:$B$51,X$30-$B$8+1)*$B$5))*(1-$B$9))-IF(X$30=0,$B$23*(1-$N35),0)-IF(X$30&gt;0,$B$22*$B$17,0)-IF(X$30&gt;0,$B$12*$B$18,0)</x:f>
        <x:v>4380.000000000007</x:v>
      </x:c>
      <x:c r="Y35" t="n">
        <x:f>((IF(Y$30-$B$8&lt;0,0,$B$22*$B$15*INDEX($B$31:$B$51,Y$30-$B$8+1)*$B$5))*(1-$B$9))-IF(Y$30=0,$B$23*(1-$N35),0)-IF(Y$30&gt;0,$B$22*$B$17,0)-IF(Y$30&gt;0,$B$12*$B$18,0)</x:f>
        <x:v>15900</x:v>
      </x:c>
      <x:c r="Z35" t="n">
        <x:f>((IF(Z$30-$B$8&lt;0,0,$B$22*$B$15*INDEX($B$31:$B$51,Z$30-$B$8+1)*$B$5))*(1-$B$9))-IF(Z$30=0,$B$23*(1-$N35),0)-IF(Z$30&gt;0,$B$22*$B$17,0)-IF(Z$30&gt;0,$B$12*$B$18,0)</x:f>
        <x:v>29340</x:v>
      </x:c>
      <x:c r="AA35" t="n">
        <x:f>((IF(AA$30-$B$8&lt;0,0,$B$22*$B$15*INDEX($B$31:$B$51,AA$30-$B$8+1)*$B$5))*(1-$B$9))-IF(AA$30=0,$B$23*(1-$N35),0)-IF(AA$30&gt;0,$B$22*$B$17,0)-IF(AA$30&gt;0,$B$12*$B$18,0)</x:f>
        <x:v>42780.000000000015</x:v>
      </x:c>
      <x:c r="AB35" t="n">
        <x:f>((IF(AB$30-$B$8&lt;0,0,$B$22*$B$15*INDEX($B$31:$B$51,AB$30-$B$8+1)*$B$5))*(1-$B$9))-IF(AB$30=0,$B$23*(1-$N35),0)-IF(AB$30&gt;0,$B$22*$B$17,0)-IF(AB$30&gt;0,$B$12*$B$18,0)</x:f>
        <x:v>54300</x:v>
      </x:c>
      <x:c r="AC35" t="n">
        <x:f>((IF(AC$30-$B$8&lt;0,0,$B$22*$B$15*INDEX($B$31:$B$51,AC$30-$B$8+1)*$B$5))*(1-$B$9))-IF(AC$30=0,$B$23*(1-$N35),0)-IF(AC$30&gt;0,$B$22*$B$17,0)-IF(AC$30&gt;0,$B$12*$B$18,0)</x:f>
        <x:v>63900</x:v>
      </x:c>
      <x:c r="AD35" t="n">
        <x:f>((IF(AD$30-$B$8&lt;0,0,$B$22*$B$15*INDEX($B$31:$B$51,AD$30-$B$8+1)*$B$5))*(1-$B$9))-IF(AD$30=0,$B$23*(1-$N35),0)-IF(AD$30&gt;0,$B$22*$B$17,0)-IF(AD$30&gt;0,$B$12*$B$18,0)</x:f>
        <x:v>73500</x:v>
      </x:c>
      <x:c r="AE35" t="n">
        <x:f>((IF(AE$30-$B$8&lt;0,0,$B$22*$B$15*INDEX($B$31:$B$51,AE$30-$B$8+1)*$B$5))*(1-$B$9))-IF(AE$30=0,$B$23*(1-$N35),0)-IF(AE$30&gt;0,$B$22*$B$17,0)-IF(AE$30&gt;0,$B$12*$B$18,0)</x:f>
        <x:v>73500</x:v>
      </x:c>
      <x:c r="AF35" t="n">
        <x:f>((IF(AF$30-$B$8&lt;0,0,$B$22*$B$15*INDEX($B$31:$B$51,AF$30-$B$8+1)*$B$5))*(1-$B$9))-IF(AF$30=0,$B$23*(1-$N35),0)-IF(AF$30&gt;0,$B$22*$B$17,0)-IF(AF$30&gt;0,$B$12*$B$18,0)</x:f>
        <x:v>73500</x:v>
      </x:c>
      <x:c r="AG35" t="n">
        <x:f>((IF(AG$30-$B$8&lt;0,0,$B$22*$B$15*INDEX($B$31:$B$51,AG$30-$B$8+1)*$B$5))*(1-$B$9))-IF(AG$30=0,$B$23*(1-$N35),0)-IF(AG$30&gt;0,$B$22*$B$17,0)-IF(AG$30&gt;0,$B$12*$B$18,0)</x:f>
        <x:v>73500</x:v>
      </x:c>
      <x:c r="AH35" t="n">
        <x:f>((IF(AH$30-$B$8&lt;0,0,$B$22*$B$15*INDEX($B$31:$B$51,AH$30-$B$8+1)*$B$5))*(1-$B$9))-IF(AH$30=0,$B$23*(1-$N35),0)-IF(AH$30&gt;0,$B$22*$B$17,0)-IF(AH$30&gt;0,$B$12*$B$18,0)</x:f>
        <x:v>73500</x:v>
      </x:c>
      <x:c r="AI35" t="n">
        <x:f>((IF(AI$30-$B$8&lt;0,0,$B$22*$B$15*INDEX($B$31:$B$51,AI$30-$B$8+1)*$B$5))*(1-$B$9))-IF(AI$30=0,$B$23*(1-$N35),0)-IF(AI$30&gt;0,$B$22*$B$17,0)-IF(AI$30&gt;0,$B$12*$B$18,0)</x:f>
        <x:v>73500</x:v>
      </x:c>
      <x:c r="AJ35" t="n">
        <x:f>((IF(AJ$30-$B$8&lt;0,0,$B$22*$B$15*INDEX($B$31:$B$51,AJ$30-$B$8+1)*$B$5))*(1-$B$9))-IF(AJ$30=0,$B$23*(1-$N35),0)-IF(AJ$30&gt;0,$B$22*$B$17,0)-IF(AJ$30&gt;0,$B$12*$B$18,0)</x:f>
        <x:v>73500</x:v>
      </x:c>
      <x:c r="AK35" t="n">
        <x:f>((IF(AK$30-$B$8&lt;0,0,$B$22*$B$15*INDEX($B$31:$B$51,AK$30-$B$8+1)*$B$5))*(1-$B$9))-IF(AK$30=0,$B$23*(1-$N35),0)-IF(AK$30&gt;0,$B$22*$B$17,0)-IF(AK$30&gt;0,$B$12*$B$18,0)</x:f>
        <x:v>73500</x:v>
      </x:c>
    </x:row>
    <x:row r="36">
      <x:c r="A36" s="51" t="n">
        <x:v>5</x:v>
      </x:c>
      <x:c r="B36" s="55" t="n">
        <x:v>0.28</x:v>
      </x:c>
      <x:c r="C36" s="58" t="n">
        <x:f>$B$22*$B$15*B36</x:f>
        <x:v>420.00000000000006</x:v>
      </x:c>
      <x:c r="D36" s="58" t="n">
        <x:f>C36*$B$5</x:f>
        <x:v>33600.00000000001</x:v>
      </x:c>
      <x:c r="E36" s="58" t="n">
        <x:f>IF(A36-$B$8&lt;0,0,INDEX($D$31:$D$51,A36-$B$8+1))</x:f>
        <x:v>12000</x:v>
      </x:c>
      <x:c r="F36" s="58" t="n">
        <x:f>E36*$B$9</x:f>
        <x:v>2400</x:v>
      </x:c>
      <x:c r="G36" s="58" t="n">
        <x:f>E36-F36</x:f>
        <x:v>9600</x:v>
      </x:c>
      <x:c r="H36" s="58" t="n">
        <x:f>IF(A36=0,$B$23*(1-$B$10),0)</x:f>
        <x:v>0</x:v>
      </x:c>
      <x:c r="I36" s="58" t="n">
        <x:f>IF(A36&gt;0,$B$22*$B$17,0)</x:f>
        <x:v>13500</x:v>
      </x:c>
      <x:c r="J36" s="58" t="n">
        <x:f>IF(A36&gt;0,$B$12*$B$18,0)</x:f>
        <x:v>9000</x:v>
      </x:c>
      <x:c r="K36" s="58" t="n">
        <x:f>G36-H36-I36-J36</x:f>
        <x:v>-12900</x:v>
      </x:c>
      <x:c r="N36" s="18" t="n">
        <x:v>0.25</x:v>
      </x:c>
      <x:c r="O36" s="59" t="n">
        <x:f>IFERROR(IRR(Q36:AK36),"")</x:f>
        <x:v>0.10569508746032849</x:v>
      </x:c>
      <x:c r="P36" s="88" t="b">
        <x:f>IF(O36="","",O36&gt;=$B$7)</x:f>
        <x:v>0</x:v>
      </x:c>
      <x:c r="Q36" t="n">
        <x:f>((IF(Q$30-$B$8&lt;0,0,$B$22*$B$15*INDEX($B$31:$B$51,Q$30-$B$8+1)*$B$5))*(1-$B$9))-IF(Q$30=0,$B$23*(1-$N36),0)-IF(Q$30&gt;0,$B$22*$B$17,0)-IF(Q$30&gt;0,$B$12*$B$18,0)</x:f>
        <x:v>-112500</x:v>
      </x:c>
      <x:c r="R36" t="n">
        <x:f>((IF(R$30-$B$8&lt;0,0,$B$22*$B$15*INDEX($B$31:$B$51,R$30-$B$8+1)*$B$5))*(1-$B$9))-IF(R$30=0,$B$23*(1-$N36),0)-IF(R$30&gt;0,$B$22*$B$17,0)-IF(R$30&gt;0,$B$12*$B$18,0)</x:f>
        <x:v>-22500</x:v>
      </x:c>
      <x:c r="S36" t="n">
        <x:f>((IF(S$30-$B$8&lt;0,0,$B$22*$B$15*INDEX($B$31:$B$51,S$30-$B$8+1)*$B$5))*(1-$B$9))-IF(S$30=0,$B$23*(1-$N36),0)-IF(S$30&gt;0,$B$22*$B$17,0)-IF(S$30&gt;0,$B$12*$B$18,0)</x:f>
        <x:v>-22500</x:v>
      </x:c>
      <x:c r="T36" t="n">
        <x:f>((IF(T$30-$B$8&lt;0,0,$B$22*$B$15*INDEX($B$31:$B$51,T$30-$B$8+1)*$B$5))*(1-$B$9))-IF(T$30=0,$B$23*(1-$N36),0)-IF(T$30&gt;0,$B$22*$B$17,0)-IF(T$30&gt;0,$B$12*$B$18,0)</x:f>
        <x:v>-20580</x:v>
      </x:c>
      <x:c r="U36" t="n">
        <x:f>((IF(U$30-$B$8&lt;0,0,$B$22*$B$15*INDEX($B$31:$B$51,U$30-$B$8+1)*$B$5))*(1-$B$9))-IF(U$30=0,$B$23*(1-$N36),0)-IF(U$30&gt;0,$B$22*$B$17,0)-IF(U$30&gt;0,$B$12*$B$18,0)</x:f>
        <x:v>-17700</x:v>
      </x:c>
      <x:c r="V36" t="n">
        <x:f>((IF(V$30-$B$8&lt;0,0,$B$22*$B$15*INDEX($B$31:$B$51,V$30-$B$8+1)*$B$5))*(1-$B$9))-IF(V$30=0,$B$23*(1-$N36),0)-IF(V$30&gt;0,$B$22*$B$17,0)-IF(V$30&gt;0,$B$12*$B$18,0)</x:f>
        <x:v>-12900</x:v>
      </x:c>
      <x:c r="W36" t="n">
        <x:f>((IF(W$30-$B$8&lt;0,0,$B$22*$B$15*INDEX($B$31:$B$51,W$30-$B$8+1)*$B$5))*(1-$B$9))-IF(W$30=0,$B$23*(1-$N36),0)-IF(W$30&gt;0,$B$22*$B$17,0)-IF(W$30&gt;0,$B$12*$B$18,0)</x:f>
        <x:v>-5220</x:v>
      </x:c>
      <x:c r="X36" t="n">
        <x:f>((IF(X$30-$B$8&lt;0,0,$B$22*$B$15*INDEX($B$31:$B$51,X$30-$B$8+1)*$B$5))*(1-$B$9))-IF(X$30=0,$B$23*(1-$N36),0)-IF(X$30&gt;0,$B$22*$B$17,0)-IF(X$30&gt;0,$B$12*$B$18,0)</x:f>
        <x:v>4380.000000000007</x:v>
      </x:c>
      <x:c r="Y36" t="n">
        <x:f>((IF(Y$30-$B$8&lt;0,0,$B$22*$B$15*INDEX($B$31:$B$51,Y$30-$B$8+1)*$B$5))*(1-$B$9))-IF(Y$30=0,$B$23*(1-$N36),0)-IF(Y$30&gt;0,$B$22*$B$17,0)-IF(Y$30&gt;0,$B$12*$B$18,0)</x:f>
        <x:v>15900</x:v>
      </x:c>
      <x:c r="Z36" t="n">
        <x:f>((IF(Z$30-$B$8&lt;0,0,$B$22*$B$15*INDEX($B$31:$B$51,Z$30-$B$8+1)*$B$5))*(1-$B$9))-IF(Z$30=0,$B$23*(1-$N36),0)-IF(Z$30&gt;0,$B$22*$B$17,0)-IF(Z$30&gt;0,$B$12*$B$18,0)</x:f>
        <x:v>29340</x:v>
      </x:c>
      <x:c r="AA36" t="n">
        <x:f>((IF(AA$30-$B$8&lt;0,0,$B$22*$B$15*INDEX($B$31:$B$51,AA$30-$B$8+1)*$B$5))*(1-$B$9))-IF(AA$30=0,$B$23*(1-$N36),0)-IF(AA$30&gt;0,$B$22*$B$17,0)-IF(AA$30&gt;0,$B$12*$B$18,0)</x:f>
        <x:v>42780.000000000015</x:v>
      </x:c>
      <x:c r="AB36" t="n">
        <x:f>((IF(AB$30-$B$8&lt;0,0,$B$22*$B$15*INDEX($B$31:$B$51,AB$30-$B$8+1)*$B$5))*(1-$B$9))-IF(AB$30=0,$B$23*(1-$N36),0)-IF(AB$30&gt;0,$B$22*$B$17,0)-IF(AB$30&gt;0,$B$12*$B$18,0)</x:f>
        <x:v>54300</x:v>
      </x:c>
      <x:c r="AC36" t="n">
        <x:f>((IF(AC$30-$B$8&lt;0,0,$B$22*$B$15*INDEX($B$31:$B$51,AC$30-$B$8+1)*$B$5))*(1-$B$9))-IF(AC$30=0,$B$23*(1-$N36),0)-IF(AC$30&gt;0,$B$22*$B$17,0)-IF(AC$30&gt;0,$B$12*$B$18,0)</x:f>
        <x:v>63900</x:v>
      </x:c>
      <x:c r="AD36" t="n">
        <x:f>((IF(AD$30-$B$8&lt;0,0,$B$22*$B$15*INDEX($B$31:$B$51,AD$30-$B$8+1)*$B$5))*(1-$B$9))-IF(AD$30=0,$B$23*(1-$N36),0)-IF(AD$30&gt;0,$B$22*$B$17,0)-IF(AD$30&gt;0,$B$12*$B$18,0)</x:f>
        <x:v>73500</x:v>
      </x:c>
      <x:c r="AE36" t="n">
        <x:f>((IF(AE$30-$B$8&lt;0,0,$B$22*$B$15*INDEX($B$31:$B$51,AE$30-$B$8+1)*$B$5))*(1-$B$9))-IF(AE$30=0,$B$23*(1-$N36),0)-IF(AE$30&gt;0,$B$22*$B$17,0)-IF(AE$30&gt;0,$B$12*$B$18,0)</x:f>
        <x:v>73500</x:v>
      </x:c>
      <x:c r="AF36" t="n">
        <x:f>((IF(AF$30-$B$8&lt;0,0,$B$22*$B$15*INDEX($B$31:$B$51,AF$30-$B$8+1)*$B$5))*(1-$B$9))-IF(AF$30=0,$B$23*(1-$N36),0)-IF(AF$30&gt;0,$B$22*$B$17,0)-IF(AF$30&gt;0,$B$12*$B$18,0)</x:f>
        <x:v>73500</x:v>
      </x:c>
      <x:c r="AG36" t="n">
        <x:f>((IF(AG$30-$B$8&lt;0,0,$B$22*$B$15*INDEX($B$31:$B$51,AG$30-$B$8+1)*$B$5))*(1-$B$9))-IF(AG$30=0,$B$23*(1-$N36),0)-IF(AG$30&gt;0,$B$22*$B$17,0)-IF(AG$30&gt;0,$B$12*$B$18,0)</x:f>
        <x:v>73500</x:v>
      </x:c>
      <x:c r="AH36" t="n">
        <x:f>((IF(AH$30-$B$8&lt;0,0,$B$22*$B$15*INDEX($B$31:$B$51,AH$30-$B$8+1)*$B$5))*(1-$B$9))-IF(AH$30=0,$B$23*(1-$N36),0)-IF(AH$30&gt;0,$B$22*$B$17,0)-IF(AH$30&gt;0,$B$12*$B$18,0)</x:f>
        <x:v>73500</x:v>
      </x:c>
      <x:c r="AI36" t="n">
        <x:f>((IF(AI$30-$B$8&lt;0,0,$B$22*$B$15*INDEX($B$31:$B$51,AI$30-$B$8+1)*$B$5))*(1-$B$9))-IF(AI$30=0,$B$23*(1-$N36),0)-IF(AI$30&gt;0,$B$22*$B$17,0)-IF(AI$30&gt;0,$B$12*$B$18,0)</x:f>
        <x:v>73500</x:v>
      </x:c>
      <x:c r="AJ36" t="n">
        <x:f>((IF(AJ$30-$B$8&lt;0,0,$B$22*$B$15*INDEX($B$31:$B$51,AJ$30-$B$8+1)*$B$5))*(1-$B$9))-IF(AJ$30=0,$B$23*(1-$N36),0)-IF(AJ$30&gt;0,$B$22*$B$17,0)-IF(AJ$30&gt;0,$B$12*$B$18,0)</x:f>
        <x:v>73500</x:v>
      </x:c>
      <x:c r="AK36" t="n">
        <x:f>((IF(AK$30-$B$8&lt;0,0,$B$22*$B$15*INDEX($B$31:$B$51,AK$30-$B$8+1)*$B$5))*(1-$B$9))-IF(AK$30=0,$B$23*(1-$N36),0)-IF(AK$30&gt;0,$B$22*$B$17,0)-IF(AK$30&gt;0,$B$12*$B$18,0)</x:f>
        <x:v>73500</x:v>
      </x:c>
    </x:row>
    <x:row r="37">
      <x:c r="A37" s="51" t="n">
        <x:v>6</x:v>
      </x:c>
      <x:c r="B37" s="55" t="n">
        <x:v>0.4</x:v>
      </x:c>
      <x:c r="C37" s="58" t="n">
        <x:f>$B$22*$B$15*B37</x:f>
        <x:v>600</x:v>
      </x:c>
      <x:c r="D37" s="58" t="n">
        <x:f>C37*$B$5</x:f>
        <x:v>48000</x:v>
      </x:c>
      <x:c r="E37" s="58" t="n">
        <x:f>IF(A37-$B$8&lt;0,0,INDEX($D$31:$D$51,A37-$B$8+1))</x:f>
        <x:v>21600</x:v>
      </x:c>
      <x:c r="F37" s="58" t="n">
        <x:f>E37*$B$9</x:f>
        <x:v>4320</x:v>
      </x:c>
      <x:c r="G37" s="58" t="n">
        <x:f>E37-F37</x:f>
        <x:v>17280</x:v>
      </x:c>
      <x:c r="H37" s="58" t="n">
        <x:f>IF(A37=0,$B$23*(1-$B$10),0)</x:f>
        <x:v>0</x:v>
      </x:c>
      <x:c r="I37" s="58" t="n">
        <x:f>IF(A37&gt;0,$B$22*$B$17,0)</x:f>
        <x:v>13500</x:v>
      </x:c>
      <x:c r="J37" s="58" t="n">
        <x:f>IF(A37&gt;0,$B$12*$B$18,0)</x:f>
        <x:v>9000</x:v>
      </x:c>
      <x:c r="K37" s="58" t="n">
        <x:f>G37-H37-I37-J37</x:f>
        <x:v>-5220</x:v>
      </x:c>
      <x:c r="N37" s="18" t="n">
        <x:v>0.3</x:v>
      </x:c>
      <x:c r="O37" s="59" t="n">
        <x:f>IFERROR(IRR(Q37:AK37),"")</x:f>
        <x:v>0.10925077923971754</x:v>
      </x:c>
      <x:c r="P37" s="88" t="b">
        <x:f>IF(O37="","",O37&gt;=$B$7)</x:f>
        <x:v>0</x:v>
      </x:c>
      <x:c r="Q37" t="n">
        <x:f>((IF(Q$30-$B$8&lt;0,0,$B$22*$B$15*INDEX($B$31:$B$51,Q$30-$B$8+1)*$B$5))*(1-$B$9))-IF(Q$30=0,$B$23*(1-$N37),0)-IF(Q$30&gt;0,$B$22*$B$17,0)-IF(Q$30&gt;0,$B$12*$B$18,0)</x:f>
        <x:v>-105000</x:v>
      </x:c>
      <x:c r="R37" t="n">
        <x:f>((IF(R$30-$B$8&lt;0,0,$B$22*$B$15*INDEX($B$31:$B$51,R$30-$B$8+1)*$B$5))*(1-$B$9))-IF(R$30=0,$B$23*(1-$N37),0)-IF(R$30&gt;0,$B$22*$B$17,0)-IF(R$30&gt;0,$B$12*$B$18,0)</x:f>
        <x:v>-22500</x:v>
      </x:c>
      <x:c r="S37" t="n">
        <x:f>((IF(S$30-$B$8&lt;0,0,$B$22*$B$15*INDEX($B$31:$B$51,S$30-$B$8+1)*$B$5))*(1-$B$9))-IF(S$30=0,$B$23*(1-$N37),0)-IF(S$30&gt;0,$B$22*$B$17,0)-IF(S$30&gt;0,$B$12*$B$18,0)</x:f>
        <x:v>-22500</x:v>
      </x:c>
      <x:c r="T37" t="n">
        <x:f>((IF(T$30-$B$8&lt;0,0,$B$22*$B$15*INDEX($B$31:$B$51,T$30-$B$8+1)*$B$5))*(1-$B$9))-IF(T$30=0,$B$23*(1-$N37),0)-IF(T$30&gt;0,$B$22*$B$17,0)-IF(T$30&gt;0,$B$12*$B$18,0)</x:f>
        <x:v>-20580</x:v>
      </x:c>
      <x:c r="U37" t="n">
        <x:f>((IF(U$30-$B$8&lt;0,0,$B$22*$B$15*INDEX($B$31:$B$51,U$30-$B$8+1)*$B$5))*(1-$B$9))-IF(U$30=0,$B$23*(1-$N37),0)-IF(U$30&gt;0,$B$22*$B$17,0)-IF(U$30&gt;0,$B$12*$B$18,0)</x:f>
        <x:v>-17700</x:v>
      </x:c>
      <x:c r="V37" t="n">
        <x:f>((IF(V$30-$B$8&lt;0,0,$B$22*$B$15*INDEX($B$31:$B$51,V$30-$B$8+1)*$B$5))*(1-$B$9))-IF(V$30=0,$B$23*(1-$N37),0)-IF(V$30&gt;0,$B$22*$B$17,0)-IF(V$30&gt;0,$B$12*$B$18,0)</x:f>
        <x:v>-12900</x:v>
      </x:c>
      <x:c r="W37" t="n">
        <x:f>((IF(W$30-$B$8&lt;0,0,$B$22*$B$15*INDEX($B$31:$B$51,W$30-$B$8+1)*$B$5))*(1-$B$9))-IF(W$30=0,$B$23*(1-$N37),0)-IF(W$30&gt;0,$B$22*$B$17,0)-IF(W$30&gt;0,$B$12*$B$18,0)</x:f>
        <x:v>-5220</x:v>
      </x:c>
      <x:c r="X37" t="n">
        <x:f>((IF(X$30-$B$8&lt;0,0,$B$22*$B$15*INDEX($B$31:$B$51,X$30-$B$8+1)*$B$5))*(1-$B$9))-IF(X$30=0,$B$23*(1-$N37),0)-IF(X$30&gt;0,$B$22*$B$17,0)-IF(X$30&gt;0,$B$12*$B$18,0)</x:f>
        <x:v>4380.000000000007</x:v>
      </x:c>
      <x:c r="Y37" t="n">
        <x:f>((IF(Y$30-$B$8&lt;0,0,$B$22*$B$15*INDEX($B$31:$B$51,Y$30-$B$8+1)*$B$5))*(1-$B$9))-IF(Y$30=0,$B$23*(1-$N37),0)-IF(Y$30&gt;0,$B$22*$B$17,0)-IF(Y$30&gt;0,$B$12*$B$18,0)</x:f>
        <x:v>15900</x:v>
      </x:c>
      <x:c r="Z37" t="n">
        <x:f>((IF(Z$30-$B$8&lt;0,0,$B$22*$B$15*INDEX($B$31:$B$51,Z$30-$B$8+1)*$B$5))*(1-$B$9))-IF(Z$30=0,$B$23*(1-$N37),0)-IF(Z$30&gt;0,$B$22*$B$17,0)-IF(Z$30&gt;0,$B$12*$B$18,0)</x:f>
        <x:v>29340</x:v>
      </x:c>
      <x:c r="AA37" t="n">
        <x:f>((IF(AA$30-$B$8&lt;0,0,$B$22*$B$15*INDEX($B$31:$B$51,AA$30-$B$8+1)*$B$5))*(1-$B$9))-IF(AA$30=0,$B$23*(1-$N37),0)-IF(AA$30&gt;0,$B$22*$B$17,0)-IF(AA$30&gt;0,$B$12*$B$18,0)</x:f>
        <x:v>42780.000000000015</x:v>
      </x:c>
      <x:c r="AB37" t="n">
        <x:f>((IF(AB$30-$B$8&lt;0,0,$B$22*$B$15*INDEX($B$31:$B$51,AB$30-$B$8+1)*$B$5))*(1-$B$9))-IF(AB$30=0,$B$23*(1-$N37),0)-IF(AB$30&gt;0,$B$22*$B$17,0)-IF(AB$30&gt;0,$B$12*$B$18,0)</x:f>
        <x:v>54300</x:v>
      </x:c>
      <x:c r="AC37" t="n">
        <x:f>((IF(AC$30-$B$8&lt;0,0,$B$22*$B$15*INDEX($B$31:$B$51,AC$30-$B$8+1)*$B$5))*(1-$B$9))-IF(AC$30=0,$B$23*(1-$N37),0)-IF(AC$30&gt;0,$B$22*$B$17,0)-IF(AC$30&gt;0,$B$12*$B$18,0)</x:f>
        <x:v>63900</x:v>
      </x:c>
      <x:c r="AD37" t="n">
        <x:f>((IF(AD$30-$B$8&lt;0,0,$B$22*$B$15*INDEX($B$31:$B$51,AD$30-$B$8+1)*$B$5))*(1-$B$9))-IF(AD$30=0,$B$23*(1-$N37),0)-IF(AD$30&gt;0,$B$22*$B$17,0)-IF(AD$30&gt;0,$B$12*$B$18,0)</x:f>
        <x:v>73500</x:v>
      </x:c>
      <x:c r="AE37" t="n">
        <x:f>((IF(AE$30-$B$8&lt;0,0,$B$22*$B$15*INDEX($B$31:$B$51,AE$30-$B$8+1)*$B$5))*(1-$B$9))-IF(AE$30=0,$B$23*(1-$N37),0)-IF(AE$30&gt;0,$B$22*$B$17,0)-IF(AE$30&gt;0,$B$12*$B$18,0)</x:f>
        <x:v>73500</x:v>
      </x:c>
      <x:c r="AF37" t="n">
        <x:f>((IF(AF$30-$B$8&lt;0,0,$B$22*$B$15*INDEX($B$31:$B$51,AF$30-$B$8+1)*$B$5))*(1-$B$9))-IF(AF$30=0,$B$23*(1-$N37),0)-IF(AF$30&gt;0,$B$22*$B$17,0)-IF(AF$30&gt;0,$B$12*$B$18,0)</x:f>
        <x:v>73500</x:v>
      </x:c>
      <x:c r="AG37" t="n">
        <x:f>((IF(AG$30-$B$8&lt;0,0,$B$22*$B$15*INDEX($B$31:$B$51,AG$30-$B$8+1)*$B$5))*(1-$B$9))-IF(AG$30=0,$B$23*(1-$N37),0)-IF(AG$30&gt;0,$B$22*$B$17,0)-IF(AG$30&gt;0,$B$12*$B$18,0)</x:f>
        <x:v>73500</x:v>
      </x:c>
      <x:c r="AH37" t="n">
        <x:f>((IF(AH$30-$B$8&lt;0,0,$B$22*$B$15*INDEX($B$31:$B$51,AH$30-$B$8+1)*$B$5))*(1-$B$9))-IF(AH$30=0,$B$23*(1-$N37),0)-IF(AH$30&gt;0,$B$22*$B$17,0)-IF(AH$30&gt;0,$B$12*$B$18,0)</x:f>
        <x:v>73500</x:v>
      </x:c>
      <x:c r="AI37" t="n">
        <x:f>((IF(AI$30-$B$8&lt;0,0,$B$22*$B$15*INDEX($B$31:$B$51,AI$30-$B$8+1)*$B$5))*(1-$B$9))-IF(AI$30=0,$B$23*(1-$N37),0)-IF(AI$30&gt;0,$B$22*$B$17,0)-IF(AI$30&gt;0,$B$12*$B$18,0)</x:f>
        <x:v>73500</x:v>
      </x:c>
      <x:c r="AJ37" t="n">
        <x:f>((IF(AJ$30-$B$8&lt;0,0,$B$22*$B$15*INDEX($B$31:$B$51,AJ$30-$B$8+1)*$B$5))*(1-$B$9))-IF(AJ$30=0,$B$23*(1-$N37),0)-IF(AJ$30&gt;0,$B$22*$B$17,0)-IF(AJ$30&gt;0,$B$12*$B$18,0)</x:f>
        <x:v>73500</x:v>
      </x:c>
      <x:c r="AK37" t="n">
        <x:f>((IF(AK$30-$B$8&lt;0,0,$B$22*$B$15*INDEX($B$31:$B$51,AK$30-$B$8+1)*$B$5))*(1-$B$9))-IF(AK$30=0,$B$23*(1-$N37),0)-IF(AK$30&gt;0,$B$22*$B$17,0)-IF(AK$30&gt;0,$B$12*$B$18,0)</x:f>
        <x:v>73500</x:v>
      </x:c>
    </x:row>
    <x:row r="38">
      <x:c r="A38" s="51" t="n">
        <x:v>7</x:v>
      </x:c>
      <x:c r="B38" s="55" t="n">
        <x:v>0.54</x:v>
      </x:c>
      <x:c r="C38" s="58" t="n">
        <x:f>$B$22*$B$15*B38</x:f>
        <x:v>810</x:v>
      </x:c>
      <x:c r="D38" s="58" t="n">
        <x:f>C38*$B$5</x:f>
        <x:v>64800</x:v>
      </x:c>
      <x:c r="E38" s="58" t="n">
        <x:f>IF(A38-$B$8&lt;0,0,INDEX($D$31:$D$51,A38-$B$8+1))</x:f>
        <x:v>33600.00000000001</x:v>
      </x:c>
      <x:c r="F38" s="58" t="n">
        <x:f>E38*$B$9</x:f>
        <x:v>6720.000000000002</x:v>
      </x:c>
      <x:c r="G38" s="58" t="n">
        <x:f>E38-F38</x:f>
        <x:v>26880.000000000007</x:v>
      </x:c>
      <x:c r="H38" s="58" t="n">
        <x:f>IF(A38=0,$B$23*(1-$B$10),0)</x:f>
        <x:v>0</x:v>
      </x:c>
      <x:c r="I38" s="58" t="n">
        <x:f>IF(A38&gt;0,$B$22*$B$17,0)</x:f>
        <x:v>13500</x:v>
      </x:c>
      <x:c r="J38" s="58" t="n">
        <x:f>IF(A38&gt;0,$B$12*$B$18,0)</x:f>
        <x:v>9000</x:v>
      </x:c>
      <x:c r="K38" s="58" t="n">
        <x:f>G38-H38-I38-J38</x:f>
        <x:v>4380.000000000007</x:v>
      </x:c>
      <x:c r="N38" s="18" t="n">
        <x:v>0.35</x:v>
      </x:c>
      <x:c r="O38" s="59" t="n">
        <x:f>IFERROR(IRR(Q38:AK38),"")</x:f>
        <x:v>0.1130058047449378</x:v>
      </x:c>
      <x:c r="P38" s="88" t="b">
        <x:f>IF(O38="","",O38&gt;=$B$7)</x:f>
        <x:v>0</x:v>
      </x:c>
      <x:c r="Q38" t="n">
        <x:f>((IF(Q$30-$B$8&lt;0,0,$B$22*$B$15*INDEX($B$31:$B$51,Q$30-$B$8+1)*$B$5))*(1-$B$9))-IF(Q$30=0,$B$23*(1-$N38),0)-IF(Q$30&gt;0,$B$22*$B$17,0)-IF(Q$30&gt;0,$B$12*$B$18,0)</x:f>
        <x:v>-97500</x:v>
      </x:c>
      <x:c r="R38" t="n">
        <x:f>((IF(R$30-$B$8&lt;0,0,$B$22*$B$15*INDEX($B$31:$B$51,R$30-$B$8+1)*$B$5))*(1-$B$9))-IF(R$30=0,$B$23*(1-$N38),0)-IF(R$30&gt;0,$B$22*$B$17,0)-IF(R$30&gt;0,$B$12*$B$18,0)</x:f>
        <x:v>-22500</x:v>
      </x:c>
      <x:c r="S38" t="n">
        <x:f>((IF(S$30-$B$8&lt;0,0,$B$22*$B$15*INDEX($B$31:$B$51,S$30-$B$8+1)*$B$5))*(1-$B$9))-IF(S$30=0,$B$23*(1-$N38),0)-IF(S$30&gt;0,$B$22*$B$17,0)-IF(S$30&gt;0,$B$12*$B$18,0)</x:f>
        <x:v>-22500</x:v>
      </x:c>
      <x:c r="T38" t="n">
        <x:f>((IF(T$30-$B$8&lt;0,0,$B$22*$B$15*INDEX($B$31:$B$51,T$30-$B$8+1)*$B$5))*(1-$B$9))-IF(T$30=0,$B$23*(1-$N38),0)-IF(T$30&gt;0,$B$22*$B$17,0)-IF(T$30&gt;0,$B$12*$B$18,0)</x:f>
        <x:v>-20580</x:v>
      </x:c>
      <x:c r="U38" t="n">
        <x:f>((IF(U$30-$B$8&lt;0,0,$B$22*$B$15*INDEX($B$31:$B$51,U$30-$B$8+1)*$B$5))*(1-$B$9))-IF(U$30=0,$B$23*(1-$N38),0)-IF(U$30&gt;0,$B$22*$B$17,0)-IF(U$30&gt;0,$B$12*$B$18,0)</x:f>
        <x:v>-17700</x:v>
      </x:c>
      <x:c r="V38" t="n">
        <x:f>((IF(V$30-$B$8&lt;0,0,$B$22*$B$15*INDEX($B$31:$B$51,V$30-$B$8+1)*$B$5))*(1-$B$9))-IF(V$30=0,$B$23*(1-$N38),0)-IF(V$30&gt;0,$B$22*$B$17,0)-IF(V$30&gt;0,$B$12*$B$18,0)</x:f>
        <x:v>-12900</x:v>
      </x:c>
      <x:c r="W38" t="n">
        <x:f>((IF(W$30-$B$8&lt;0,0,$B$22*$B$15*INDEX($B$31:$B$51,W$30-$B$8+1)*$B$5))*(1-$B$9))-IF(W$30=0,$B$23*(1-$N38),0)-IF(W$30&gt;0,$B$22*$B$17,0)-IF(W$30&gt;0,$B$12*$B$18,0)</x:f>
        <x:v>-5220</x:v>
      </x:c>
      <x:c r="X38" t="n">
        <x:f>((IF(X$30-$B$8&lt;0,0,$B$22*$B$15*INDEX($B$31:$B$51,X$30-$B$8+1)*$B$5))*(1-$B$9))-IF(X$30=0,$B$23*(1-$N38),0)-IF(X$30&gt;0,$B$22*$B$17,0)-IF(X$30&gt;0,$B$12*$B$18,0)</x:f>
        <x:v>4380.000000000007</x:v>
      </x:c>
      <x:c r="Y38" t="n">
        <x:f>((IF(Y$30-$B$8&lt;0,0,$B$22*$B$15*INDEX($B$31:$B$51,Y$30-$B$8+1)*$B$5))*(1-$B$9))-IF(Y$30=0,$B$23*(1-$N38),0)-IF(Y$30&gt;0,$B$22*$B$17,0)-IF(Y$30&gt;0,$B$12*$B$18,0)</x:f>
        <x:v>15900</x:v>
      </x:c>
      <x:c r="Z38" t="n">
        <x:f>((IF(Z$30-$B$8&lt;0,0,$B$22*$B$15*INDEX($B$31:$B$51,Z$30-$B$8+1)*$B$5))*(1-$B$9))-IF(Z$30=0,$B$23*(1-$N38),0)-IF(Z$30&gt;0,$B$22*$B$17,0)-IF(Z$30&gt;0,$B$12*$B$18,0)</x:f>
        <x:v>29340</x:v>
      </x:c>
      <x:c r="AA38" t="n">
        <x:f>((IF(AA$30-$B$8&lt;0,0,$B$22*$B$15*INDEX($B$31:$B$51,AA$30-$B$8+1)*$B$5))*(1-$B$9))-IF(AA$30=0,$B$23*(1-$N38),0)-IF(AA$30&gt;0,$B$22*$B$17,0)-IF(AA$30&gt;0,$B$12*$B$18,0)</x:f>
        <x:v>42780.000000000015</x:v>
      </x:c>
      <x:c r="AB38" t="n">
        <x:f>((IF(AB$30-$B$8&lt;0,0,$B$22*$B$15*INDEX($B$31:$B$51,AB$30-$B$8+1)*$B$5))*(1-$B$9))-IF(AB$30=0,$B$23*(1-$N38),0)-IF(AB$30&gt;0,$B$22*$B$17,0)-IF(AB$30&gt;0,$B$12*$B$18,0)</x:f>
        <x:v>54300</x:v>
      </x:c>
      <x:c r="AC38" t="n">
        <x:f>((IF(AC$30-$B$8&lt;0,0,$B$22*$B$15*INDEX($B$31:$B$51,AC$30-$B$8+1)*$B$5))*(1-$B$9))-IF(AC$30=0,$B$23*(1-$N38),0)-IF(AC$30&gt;0,$B$22*$B$17,0)-IF(AC$30&gt;0,$B$12*$B$18,0)</x:f>
        <x:v>63900</x:v>
      </x:c>
      <x:c r="AD38" t="n">
        <x:f>((IF(AD$30-$B$8&lt;0,0,$B$22*$B$15*INDEX($B$31:$B$51,AD$30-$B$8+1)*$B$5))*(1-$B$9))-IF(AD$30=0,$B$23*(1-$N38),0)-IF(AD$30&gt;0,$B$22*$B$17,0)-IF(AD$30&gt;0,$B$12*$B$18,0)</x:f>
        <x:v>73500</x:v>
      </x:c>
      <x:c r="AE38" t="n">
        <x:f>((IF(AE$30-$B$8&lt;0,0,$B$22*$B$15*INDEX($B$31:$B$51,AE$30-$B$8+1)*$B$5))*(1-$B$9))-IF(AE$30=0,$B$23*(1-$N38),0)-IF(AE$30&gt;0,$B$22*$B$17,0)-IF(AE$30&gt;0,$B$12*$B$18,0)</x:f>
        <x:v>73500</x:v>
      </x:c>
      <x:c r="AF38" t="n">
        <x:f>((IF(AF$30-$B$8&lt;0,0,$B$22*$B$15*INDEX($B$31:$B$51,AF$30-$B$8+1)*$B$5))*(1-$B$9))-IF(AF$30=0,$B$23*(1-$N38),0)-IF(AF$30&gt;0,$B$22*$B$17,0)-IF(AF$30&gt;0,$B$12*$B$18,0)</x:f>
        <x:v>73500</x:v>
      </x:c>
      <x:c r="AG38" t="n">
        <x:f>((IF(AG$30-$B$8&lt;0,0,$B$22*$B$15*INDEX($B$31:$B$51,AG$30-$B$8+1)*$B$5))*(1-$B$9))-IF(AG$30=0,$B$23*(1-$N38),0)-IF(AG$30&gt;0,$B$22*$B$17,0)-IF(AG$30&gt;0,$B$12*$B$18,0)</x:f>
        <x:v>73500</x:v>
      </x:c>
      <x:c r="AH38" t="n">
        <x:f>((IF(AH$30-$B$8&lt;0,0,$B$22*$B$15*INDEX($B$31:$B$51,AH$30-$B$8+1)*$B$5))*(1-$B$9))-IF(AH$30=0,$B$23*(1-$N38),0)-IF(AH$30&gt;0,$B$22*$B$17,0)-IF(AH$30&gt;0,$B$12*$B$18,0)</x:f>
        <x:v>73500</x:v>
      </x:c>
      <x:c r="AI38" t="n">
        <x:f>((IF(AI$30-$B$8&lt;0,0,$B$22*$B$15*INDEX($B$31:$B$51,AI$30-$B$8+1)*$B$5))*(1-$B$9))-IF(AI$30=0,$B$23*(1-$N38),0)-IF(AI$30&gt;0,$B$22*$B$17,0)-IF(AI$30&gt;0,$B$12*$B$18,0)</x:f>
        <x:v>73500</x:v>
      </x:c>
      <x:c r="AJ38" t="n">
        <x:f>((IF(AJ$30-$B$8&lt;0,0,$B$22*$B$15*INDEX($B$31:$B$51,AJ$30-$B$8+1)*$B$5))*(1-$B$9))-IF(AJ$30=0,$B$23*(1-$N38),0)-IF(AJ$30&gt;0,$B$22*$B$17,0)-IF(AJ$30&gt;0,$B$12*$B$18,0)</x:f>
        <x:v>73500</x:v>
      </x:c>
      <x:c r="AK38" t="n">
        <x:f>((IF(AK$30-$B$8&lt;0,0,$B$22*$B$15*INDEX($B$31:$B$51,AK$30-$B$8+1)*$B$5))*(1-$B$9))-IF(AK$30=0,$B$23*(1-$N38),0)-IF(AK$30&gt;0,$B$22*$B$17,0)-IF(AK$30&gt;0,$B$12*$B$18,0)</x:f>
        <x:v>73500</x:v>
      </x:c>
    </x:row>
    <x:row r="39">
      <x:c r="A39" s="51" t="n">
        <x:v>8</x:v>
      </x:c>
      <x:c r="B39" s="55" t="n">
        <x:v>0.68</x:v>
      </x:c>
      <x:c r="C39" s="58" t="n">
        <x:f>$B$22*$B$15*B39</x:f>
        <x:v>1020.0000000000001</x:v>
      </x:c>
      <x:c r="D39" s="58" t="n">
        <x:f>C39*$B$5</x:f>
        <x:v>81600.00000000001</x:v>
      </x:c>
      <x:c r="E39" s="58" t="n">
        <x:f>IF(A39-$B$8&lt;0,0,INDEX($D$31:$D$51,A39-$B$8+1))</x:f>
        <x:v>48000</x:v>
      </x:c>
      <x:c r="F39" s="58" t="n">
        <x:f>E39*$B$9</x:f>
        <x:v>9600</x:v>
      </x:c>
      <x:c r="G39" s="58" t="n">
        <x:f>E39-F39</x:f>
        <x:v>38400</x:v>
      </x:c>
      <x:c r="H39" s="58" t="n">
        <x:f>IF(A39=0,$B$23*(1-$B$10),0)</x:f>
        <x:v>0</x:v>
      </x:c>
      <x:c r="I39" s="58" t="n">
        <x:f>IF(A39&gt;0,$B$22*$B$17,0)</x:f>
        <x:v>13500</x:v>
      </x:c>
      <x:c r="J39" s="58" t="n">
        <x:f>IF(A39&gt;0,$B$12*$B$18,0)</x:f>
        <x:v>9000</x:v>
      </x:c>
      <x:c r="K39" s="58" t="n">
        <x:f>G39-H39-I39-J39</x:f>
        <x:v>15900</x:v>
      </x:c>
      <x:c r="N39" s="18" t="n">
        <x:v>0.4</x:v>
      </x:c>
      <x:c r="O39" s="59" t="n">
        <x:f>IFERROR(IRR(Q39:AK39),"")</x:f>
        <x:v>0.11698306211161479</x:v>
      </x:c>
      <x:c r="P39" s="88" t="b">
        <x:f>IF(O39="","",O39&gt;=$B$7)</x:f>
        <x:v>0</x:v>
      </x:c>
      <x:c r="Q39" t="n">
        <x:f>((IF(Q$30-$B$8&lt;0,0,$B$22*$B$15*INDEX($B$31:$B$51,Q$30-$B$8+1)*$B$5))*(1-$B$9))-IF(Q$30=0,$B$23*(1-$N39),0)-IF(Q$30&gt;0,$B$22*$B$17,0)-IF(Q$30&gt;0,$B$12*$B$18,0)</x:f>
        <x:v>-90000</x:v>
      </x:c>
      <x:c r="R39" t="n">
        <x:f>((IF(R$30-$B$8&lt;0,0,$B$22*$B$15*INDEX($B$31:$B$51,R$30-$B$8+1)*$B$5))*(1-$B$9))-IF(R$30=0,$B$23*(1-$N39),0)-IF(R$30&gt;0,$B$22*$B$17,0)-IF(R$30&gt;0,$B$12*$B$18,0)</x:f>
        <x:v>-22500</x:v>
      </x:c>
      <x:c r="S39" t="n">
        <x:f>((IF(S$30-$B$8&lt;0,0,$B$22*$B$15*INDEX($B$31:$B$51,S$30-$B$8+1)*$B$5))*(1-$B$9))-IF(S$30=0,$B$23*(1-$N39),0)-IF(S$30&gt;0,$B$22*$B$17,0)-IF(S$30&gt;0,$B$12*$B$18,0)</x:f>
        <x:v>-22500</x:v>
      </x:c>
      <x:c r="T39" t="n">
        <x:f>((IF(T$30-$B$8&lt;0,0,$B$22*$B$15*INDEX($B$31:$B$51,T$30-$B$8+1)*$B$5))*(1-$B$9))-IF(T$30=0,$B$23*(1-$N39),0)-IF(T$30&gt;0,$B$22*$B$17,0)-IF(T$30&gt;0,$B$12*$B$18,0)</x:f>
        <x:v>-20580</x:v>
      </x:c>
      <x:c r="U39" t="n">
        <x:f>((IF(U$30-$B$8&lt;0,0,$B$22*$B$15*INDEX($B$31:$B$51,U$30-$B$8+1)*$B$5))*(1-$B$9))-IF(U$30=0,$B$23*(1-$N39),0)-IF(U$30&gt;0,$B$22*$B$17,0)-IF(U$30&gt;0,$B$12*$B$18,0)</x:f>
        <x:v>-17700</x:v>
      </x:c>
      <x:c r="V39" t="n">
        <x:f>((IF(V$30-$B$8&lt;0,0,$B$22*$B$15*INDEX($B$31:$B$51,V$30-$B$8+1)*$B$5))*(1-$B$9))-IF(V$30=0,$B$23*(1-$N39),0)-IF(V$30&gt;0,$B$22*$B$17,0)-IF(V$30&gt;0,$B$12*$B$18,0)</x:f>
        <x:v>-12900</x:v>
      </x:c>
      <x:c r="W39" t="n">
        <x:f>((IF(W$30-$B$8&lt;0,0,$B$22*$B$15*INDEX($B$31:$B$51,W$30-$B$8+1)*$B$5))*(1-$B$9))-IF(W$30=0,$B$23*(1-$N39),0)-IF(W$30&gt;0,$B$22*$B$17,0)-IF(W$30&gt;0,$B$12*$B$18,0)</x:f>
        <x:v>-5220</x:v>
      </x:c>
      <x:c r="X39" t="n">
        <x:f>((IF(X$30-$B$8&lt;0,0,$B$22*$B$15*INDEX($B$31:$B$51,X$30-$B$8+1)*$B$5))*(1-$B$9))-IF(X$30=0,$B$23*(1-$N39),0)-IF(X$30&gt;0,$B$22*$B$17,0)-IF(X$30&gt;0,$B$12*$B$18,0)</x:f>
        <x:v>4380.000000000007</x:v>
      </x:c>
      <x:c r="Y39" t="n">
        <x:f>((IF(Y$30-$B$8&lt;0,0,$B$22*$B$15*INDEX($B$31:$B$51,Y$30-$B$8+1)*$B$5))*(1-$B$9))-IF(Y$30=0,$B$23*(1-$N39),0)-IF(Y$30&gt;0,$B$22*$B$17,0)-IF(Y$30&gt;0,$B$12*$B$18,0)</x:f>
        <x:v>15900</x:v>
      </x:c>
      <x:c r="Z39" t="n">
        <x:f>((IF(Z$30-$B$8&lt;0,0,$B$22*$B$15*INDEX($B$31:$B$51,Z$30-$B$8+1)*$B$5))*(1-$B$9))-IF(Z$30=0,$B$23*(1-$N39),0)-IF(Z$30&gt;0,$B$22*$B$17,0)-IF(Z$30&gt;0,$B$12*$B$18,0)</x:f>
        <x:v>29340</x:v>
      </x:c>
      <x:c r="AA39" t="n">
        <x:f>((IF(AA$30-$B$8&lt;0,0,$B$22*$B$15*INDEX($B$31:$B$51,AA$30-$B$8+1)*$B$5))*(1-$B$9))-IF(AA$30=0,$B$23*(1-$N39),0)-IF(AA$30&gt;0,$B$22*$B$17,0)-IF(AA$30&gt;0,$B$12*$B$18,0)</x:f>
        <x:v>42780.000000000015</x:v>
      </x:c>
      <x:c r="AB39" t="n">
        <x:f>((IF(AB$30-$B$8&lt;0,0,$B$22*$B$15*INDEX($B$31:$B$51,AB$30-$B$8+1)*$B$5))*(1-$B$9))-IF(AB$30=0,$B$23*(1-$N39),0)-IF(AB$30&gt;0,$B$22*$B$17,0)-IF(AB$30&gt;0,$B$12*$B$18,0)</x:f>
        <x:v>54300</x:v>
      </x:c>
      <x:c r="AC39" t="n">
        <x:f>((IF(AC$30-$B$8&lt;0,0,$B$22*$B$15*INDEX($B$31:$B$51,AC$30-$B$8+1)*$B$5))*(1-$B$9))-IF(AC$30=0,$B$23*(1-$N39),0)-IF(AC$30&gt;0,$B$22*$B$17,0)-IF(AC$30&gt;0,$B$12*$B$18,0)</x:f>
        <x:v>63900</x:v>
      </x:c>
      <x:c r="AD39" t="n">
        <x:f>((IF(AD$30-$B$8&lt;0,0,$B$22*$B$15*INDEX($B$31:$B$51,AD$30-$B$8+1)*$B$5))*(1-$B$9))-IF(AD$30=0,$B$23*(1-$N39),0)-IF(AD$30&gt;0,$B$22*$B$17,0)-IF(AD$30&gt;0,$B$12*$B$18,0)</x:f>
        <x:v>73500</x:v>
      </x:c>
      <x:c r="AE39" t="n">
        <x:f>((IF(AE$30-$B$8&lt;0,0,$B$22*$B$15*INDEX($B$31:$B$51,AE$30-$B$8+1)*$B$5))*(1-$B$9))-IF(AE$30=0,$B$23*(1-$N39),0)-IF(AE$30&gt;0,$B$22*$B$17,0)-IF(AE$30&gt;0,$B$12*$B$18,0)</x:f>
        <x:v>73500</x:v>
      </x:c>
      <x:c r="AF39" t="n">
        <x:f>((IF(AF$30-$B$8&lt;0,0,$B$22*$B$15*INDEX($B$31:$B$51,AF$30-$B$8+1)*$B$5))*(1-$B$9))-IF(AF$30=0,$B$23*(1-$N39),0)-IF(AF$30&gt;0,$B$22*$B$17,0)-IF(AF$30&gt;0,$B$12*$B$18,0)</x:f>
        <x:v>73500</x:v>
      </x:c>
      <x:c r="AG39" t="n">
        <x:f>((IF(AG$30-$B$8&lt;0,0,$B$22*$B$15*INDEX($B$31:$B$51,AG$30-$B$8+1)*$B$5))*(1-$B$9))-IF(AG$30=0,$B$23*(1-$N39),0)-IF(AG$30&gt;0,$B$22*$B$17,0)-IF(AG$30&gt;0,$B$12*$B$18,0)</x:f>
        <x:v>73500</x:v>
      </x:c>
      <x:c r="AH39" t="n">
        <x:f>((IF(AH$30-$B$8&lt;0,0,$B$22*$B$15*INDEX($B$31:$B$51,AH$30-$B$8+1)*$B$5))*(1-$B$9))-IF(AH$30=0,$B$23*(1-$N39),0)-IF(AH$30&gt;0,$B$22*$B$17,0)-IF(AH$30&gt;0,$B$12*$B$18,0)</x:f>
        <x:v>73500</x:v>
      </x:c>
      <x:c r="AI39" t="n">
        <x:f>((IF(AI$30-$B$8&lt;0,0,$B$22*$B$15*INDEX($B$31:$B$51,AI$30-$B$8+1)*$B$5))*(1-$B$9))-IF(AI$30=0,$B$23*(1-$N39),0)-IF(AI$30&gt;0,$B$22*$B$17,0)-IF(AI$30&gt;0,$B$12*$B$18,0)</x:f>
        <x:v>73500</x:v>
      </x:c>
      <x:c r="AJ39" t="n">
        <x:f>((IF(AJ$30-$B$8&lt;0,0,$B$22*$B$15*INDEX($B$31:$B$51,AJ$30-$B$8+1)*$B$5))*(1-$B$9))-IF(AJ$30=0,$B$23*(1-$N39),0)-IF(AJ$30&gt;0,$B$22*$B$17,0)-IF(AJ$30&gt;0,$B$12*$B$18,0)</x:f>
        <x:v>73500</x:v>
      </x:c>
      <x:c r="AK39" t="n">
        <x:f>((IF(AK$30-$B$8&lt;0,0,$B$22*$B$15*INDEX($B$31:$B$51,AK$30-$B$8+1)*$B$5))*(1-$B$9))-IF(AK$30=0,$B$23*(1-$N39),0)-IF(AK$30&gt;0,$B$22*$B$17,0)-IF(AK$30&gt;0,$B$12*$B$18,0)</x:f>
        <x:v>73500</x:v>
      </x:c>
    </x:row>
    <x:row r="40">
      <x:c r="A40" s="51" t="n">
        <x:v>9</x:v>
      </x:c>
      <x:c r="B40" s="55" t="n">
        <x:v>0.8</x:v>
      </x:c>
      <x:c r="C40" s="58" t="n">
        <x:f>$B$22*$B$15*B40</x:f>
        <x:v>1200</x:v>
      </x:c>
      <x:c r="D40" s="58" t="n">
        <x:f>C40*$B$5</x:f>
        <x:v>96000</x:v>
      </x:c>
      <x:c r="E40" s="58" t="n">
        <x:f>IF(A40-$B$8&lt;0,0,INDEX($D$31:$D$51,A40-$B$8+1))</x:f>
        <x:v>64800</x:v>
      </x:c>
      <x:c r="F40" s="58" t="n">
        <x:f>E40*$B$9</x:f>
        <x:v>12960</x:v>
      </x:c>
      <x:c r="G40" s="58" t="n">
        <x:f>E40-F40</x:f>
        <x:v>51840</x:v>
      </x:c>
      <x:c r="H40" s="58" t="n">
        <x:f>IF(A40=0,$B$23*(1-$B$10),0)</x:f>
        <x:v>0</x:v>
      </x:c>
      <x:c r="I40" s="58" t="n">
        <x:f>IF(A40&gt;0,$B$22*$B$17,0)</x:f>
        <x:v>13500</x:v>
      </x:c>
      <x:c r="J40" s="58" t="n">
        <x:f>IF(A40&gt;0,$B$12*$B$18,0)</x:f>
        <x:v>9000</x:v>
      </x:c>
      <x:c r="K40" s="58" t="n">
        <x:f>G40-H40-I40-J40</x:f>
        <x:v>29340</x:v>
      </x:c>
      <x:c r="N40" s="18" t="n">
        <x:v>0.45</x:v>
      </x:c>
      <x:c r="O40" s="59" t="n">
        <x:f>IFERROR(IRR(Q40:AK40),"")</x:f>
        <x:v>0.12120961202491126</x:v>
      </x:c>
      <x:c r="P40" s="88" t="b">
        <x:f>IF(O40="","",O40&gt;=$B$7)</x:f>
        <x:v>0</x:v>
      </x:c>
      <x:c r="Q40" t="n">
        <x:f>((IF(Q$30-$B$8&lt;0,0,$B$22*$B$15*INDEX($B$31:$B$51,Q$30-$B$8+1)*$B$5))*(1-$B$9))-IF(Q$30=0,$B$23*(1-$N40),0)-IF(Q$30&gt;0,$B$22*$B$17,0)-IF(Q$30&gt;0,$B$12*$B$18,0)</x:f>
        <x:v>-82500</x:v>
      </x:c>
      <x:c r="R40" t="n">
        <x:f>((IF(R$30-$B$8&lt;0,0,$B$22*$B$15*INDEX($B$31:$B$51,R$30-$B$8+1)*$B$5))*(1-$B$9))-IF(R$30=0,$B$23*(1-$N40),0)-IF(R$30&gt;0,$B$22*$B$17,0)-IF(R$30&gt;0,$B$12*$B$18,0)</x:f>
        <x:v>-22500</x:v>
      </x:c>
      <x:c r="S40" t="n">
        <x:f>((IF(S$30-$B$8&lt;0,0,$B$22*$B$15*INDEX($B$31:$B$51,S$30-$B$8+1)*$B$5))*(1-$B$9))-IF(S$30=0,$B$23*(1-$N40),0)-IF(S$30&gt;0,$B$22*$B$17,0)-IF(S$30&gt;0,$B$12*$B$18,0)</x:f>
        <x:v>-22500</x:v>
      </x:c>
      <x:c r="T40" t="n">
        <x:f>((IF(T$30-$B$8&lt;0,0,$B$22*$B$15*INDEX($B$31:$B$51,T$30-$B$8+1)*$B$5))*(1-$B$9))-IF(T$30=0,$B$23*(1-$N40),0)-IF(T$30&gt;0,$B$22*$B$17,0)-IF(T$30&gt;0,$B$12*$B$18,0)</x:f>
        <x:v>-20580</x:v>
      </x:c>
      <x:c r="U40" t="n">
        <x:f>((IF(U$30-$B$8&lt;0,0,$B$22*$B$15*INDEX($B$31:$B$51,U$30-$B$8+1)*$B$5))*(1-$B$9))-IF(U$30=0,$B$23*(1-$N40),0)-IF(U$30&gt;0,$B$22*$B$17,0)-IF(U$30&gt;0,$B$12*$B$18,0)</x:f>
        <x:v>-17700</x:v>
      </x:c>
      <x:c r="V40" t="n">
        <x:f>((IF(V$30-$B$8&lt;0,0,$B$22*$B$15*INDEX($B$31:$B$51,V$30-$B$8+1)*$B$5))*(1-$B$9))-IF(V$30=0,$B$23*(1-$N40),0)-IF(V$30&gt;0,$B$22*$B$17,0)-IF(V$30&gt;0,$B$12*$B$18,0)</x:f>
        <x:v>-12900</x:v>
      </x:c>
      <x:c r="W40" t="n">
        <x:f>((IF(W$30-$B$8&lt;0,0,$B$22*$B$15*INDEX($B$31:$B$51,W$30-$B$8+1)*$B$5))*(1-$B$9))-IF(W$30=0,$B$23*(1-$N40),0)-IF(W$30&gt;0,$B$22*$B$17,0)-IF(W$30&gt;0,$B$12*$B$18,0)</x:f>
        <x:v>-5220</x:v>
      </x:c>
      <x:c r="X40" t="n">
        <x:f>((IF(X$30-$B$8&lt;0,0,$B$22*$B$15*INDEX($B$31:$B$51,X$30-$B$8+1)*$B$5))*(1-$B$9))-IF(X$30=0,$B$23*(1-$N40),0)-IF(X$30&gt;0,$B$22*$B$17,0)-IF(X$30&gt;0,$B$12*$B$18,0)</x:f>
        <x:v>4380.000000000007</x:v>
      </x:c>
      <x:c r="Y40" t="n">
        <x:f>((IF(Y$30-$B$8&lt;0,0,$B$22*$B$15*INDEX($B$31:$B$51,Y$30-$B$8+1)*$B$5))*(1-$B$9))-IF(Y$30=0,$B$23*(1-$N40),0)-IF(Y$30&gt;0,$B$22*$B$17,0)-IF(Y$30&gt;0,$B$12*$B$18,0)</x:f>
        <x:v>15900</x:v>
      </x:c>
      <x:c r="Z40" t="n">
        <x:f>((IF(Z$30-$B$8&lt;0,0,$B$22*$B$15*INDEX($B$31:$B$51,Z$30-$B$8+1)*$B$5))*(1-$B$9))-IF(Z$30=0,$B$23*(1-$N40),0)-IF(Z$30&gt;0,$B$22*$B$17,0)-IF(Z$30&gt;0,$B$12*$B$18,0)</x:f>
        <x:v>29340</x:v>
      </x:c>
      <x:c r="AA40" t="n">
        <x:f>((IF(AA$30-$B$8&lt;0,0,$B$22*$B$15*INDEX($B$31:$B$51,AA$30-$B$8+1)*$B$5))*(1-$B$9))-IF(AA$30=0,$B$23*(1-$N40),0)-IF(AA$30&gt;0,$B$22*$B$17,0)-IF(AA$30&gt;0,$B$12*$B$18,0)</x:f>
        <x:v>42780.000000000015</x:v>
      </x:c>
      <x:c r="AB40" t="n">
        <x:f>((IF(AB$30-$B$8&lt;0,0,$B$22*$B$15*INDEX($B$31:$B$51,AB$30-$B$8+1)*$B$5))*(1-$B$9))-IF(AB$30=0,$B$23*(1-$N40),0)-IF(AB$30&gt;0,$B$22*$B$17,0)-IF(AB$30&gt;0,$B$12*$B$18,0)</x:f>
        <x:v>54300</x:v>
      </x:c>
      <x:c r="AC40" t="n">
        <x:f>((IF(AC$30-$B$8&lt;0,0,$B$22*$B$15*INDEX($B$31:$B$51,AC$30-$B$8+1)*$B$5))*(1-$B$9))-IF(AC$30=0,$B$23*(1-$N40),0)-IF(AC$30&gt;0,$B$22*$B$17,0)-IF(AC$30&gt;0,$B$12*$B$18,0)</x:f>
        <x:v>63900</x:v>
      </x:c>
      <x:c r="AD40" t="n">
        <x:f>((IF(AD$30-$B$8&lt;0,0,$B$22*$B$15*INDEX($B$31:$B$51,AD$30-$B$8+1)*$B$5))*(1-$B$9))-IF(AD$30=0,$B$23*(1-$N40),0)-IF(AD$30&gt;0,$B$22*$B$17,0)-IF(AD$30&gt;0,$B$12*$B$18,0)</x:f>
        <x:v>73500</x:v>
      </x:c>
      <x:c r="AE40" t="n">
        <x:f>((IF(AE$30-$B$8&lt;0,0,$B$22*$B$15*INDEX($B$31:$B$51,AE$30-$B$8+1)*$B$5))*(1-$B$9))-IF(AE$30=0,$B$23*(1-$N40),0)-IF(AE$30&gt;0,$B$22*$B$17,0)-IF(AE$30&gt;0,$B$12*$B$18,0)</x:f>
        <x:v>73500</x:v>
      </x:c>
      <x:c r="AF40" t="n">
        <x:f>((IF(AF$30-$B$8&lt;0,0,$B$22*$B$15*INDEX($B$31:$B$51,AF$30-$B$8+1)*$B$5))*(1-$B$9))-IF(AF$30=0,$B$23*(1-$N40),0)-IF(AF$30&gt;0,$B$22*$B$17,0)-IF(AF$30&gt;0,$B$12*$B$18,0)</x:f>
        <x:v>73500</x:v>
      </x:c>
      <x:c r="AG40" t="n">
        <x:f>((IF(AG$30-$B$8&lt;0,0,$B$22*$B$15*INDEX($B$31:$B$51,AG$30-$B$8+1)*$B$5))*(1-$B$9))-IF(AG$30=0,$B$23*(1-$N40),0)-IF(AG$30&gt;0,$B$22*$B$17,0)-IF(AG$30&gt;0,$B$12*$B$18,0)</x:f>
        <x:v>73500</x:v>
      </x:c>
      <x:c r="AH40" t="n">
        <x:f>((IF(AH$30-$B$8&lt;0,0,$B$22*$B$15*INDEX($B$31:$B$51,AH$30-$B$8+1)*$B$5))*(1-$B$9))-IF(AH$30=0,$B$23*(1-$N40),0)-IF(AH$30&gt;0,$B$22*$B$17,0)-IF(AH$30&gt;0,$B$12*$B$18,0)</x:f>
        <x:v>73500</x:v>
      </x:c>
      <x:c r="AI40" t="n">
        <x:f>((IF(AI$30-$B$8&lt;0,0,$B$22*$B$15*INDEX($B$31:$B$51,AI$30-$B$8+1)*$B$5))*(1-$B$9))-IF(AI$30=0,$B$23*(1-$N40),0)-IF(AI$30&gt;0,$B$22*$B$17,0)-IF(AI$30&gt;0,$B$12*$B$18,0)</x:f>
        <x:v>73500</x:v>
      </x:c>
      <x:c r="AJ40" t="n">
        <x:f>((IF(AJ$30-$B$8&lt;0,0,$B$22*$B$15*INDEX($B$31:$B$51,AJ$30-$B$8+1)*$B$5))*(1-$B$9))-IF(AJ$30=0,$B$23*(1-$N40),0)-IF(AJ$30&gt;0,$B$22*$B$17,0)-IF(AJ$30&gt;0,$B$12*$B$18,0)</x:f>
        <x:v>73500</x:v>
      </x:c>
      <x:c r="AK40" t="n">
        <x:f>((IF(AK$30-$B$8&lt;0,0,$B$22*$B$15*INDEX($B$31:$B$51,AK$30-$B$8+1)*$B$5))*(1-$B$9))-IF(AK$30=0,$B$23*(1-$N40),0)-IF(AK$30&gt;0,$B$22*$B$17,0)-IF(AK$30&gt;0,$B$12*$B$18,0)</x:f>
        <x:v>73500</x:v>
      </x:c>
    </x:row>
    <x:row r="41">
      <x:c r="A41" s="51" t="n">
        <x:v>10</x:v>
      </x:c>
      <x:c r="B41" s="55" t="n">
        <x:v>0.9</x:v>
      </x:c>
      <x:c r="C41" s="58" t="n">
        <x:f>$B$22*$B$15*B41</x:f>
        <x:v>1350</x:v>
      </x:c>
      <x:c r="D41" s="58" t="n">
        <x:f>C41*$B$5</x:f>
        <x:v>108000</x:v>
      </x:c>
      <x:c r="E41" s="58" t="n">
        <x:f>IF(A41-$B$8&lt;0,0,INDEX($D$31:$D$51,A41-$B$8+1))</x:f>
        <x:v>81600.00000000001</x:v>
      </x:c>
      <x:c r="F41" s="58" t="n">
        <x:f>E41*$B$9</x:f>
        <x:v>16320.000000000004</x:v>
      </x:c>
      <x:c r="G41" s="58" t="n">
        <x:f>E41-F41</x:f>
        <x:v>65280.000000000015</x:v>
      </x:c>
      <x:c r="H41" s="58" t="n">
        <x:f>IF(A41=0,$B$23*(1-$B$10),0)</x:f>
        <x:v>0</x:v>
      </x:c>
      <x:c r="I41" s="58" t="n">
        <x:f>IF(A41&gt;0,$B$22*$B$17,0)</x:f>
        <x:v>13500</x:v>
      </x:c>
      <x:c r="J41" s="58" t="n">
        <x:f>IF(A41&gt;0,$B$12*$B$18,0)</x:f>
        <x:v>9000</x:v>
      </x:c>
      <x:c r="K41" s="58" t="n">
        <x:f>G41-H41-I41-J41</x:f>
        <x:v>42780.000000000015</x:v>
      </x:c>
      <x:c r="N41" s="18" t="n">
        <x:v>0.5</x:v>
      </x:c>
      <x:c r="O41" s="59" t="n">
        <x:f>IFERROR(IRR(Q41:AK41),"")</x:f>
        <x:v>0.1257177524306064</x:v>
      </x:c>
      <x:c r="P41" s="88" t="b">
        <x:f>IF(O41="","",O41&gt;=$B$7)</x:f>
        <x:v>0</x:v>
      </x:c>
      <x:c r="Q41" t="n">
        <x:f>((IF(Q$30-$B$8&lt;0,0,$B$22*$B$15*INDEX($B$31:$B$51,Q$30-$B$8+1)*$B$5))*(1-$B$9))-IF(Q$30=0,$B$23*(1-$N41),0)-IF(Q$30&gt;0,$B$22*$B$17,0)-IF(Q$30&gt;0,$B$12*$B$18,0)</x:f>
        <x:v>-75000</x:v>
      </x:c>
      <x:c r="R41" t="n">
        <x:f>((IF(R$30-$B$8&lt;0,0,$B$22*$B$15*INDEX($B$31:$B$51,R$30-$B$8+1)*$B$5))*(1-$B$9))-IF(R$30=0,$B$23*(1-$N41),0)-IF(R$30&gt;0,$B$22*$B$17,0)-IF(R$30&gt;0,$B$12*$B$18,0)</x:f>
        <x:v>-22500</x:v>
      </x:c>
      <x:c r="S41" t="n">
        <x:f>((IF(S$30-$B$8&lt;0,0,$B$22*$B$15*INDEX($B$31:$B$51,S$30-$B$8+1)*$B$5))*(1-$B$9))-IF(S$30=0,$B$23*(1-$N41),0)-IF(S$30&gt;0,$B$22*$B$17,0)-IF(S$30&gt;0,$B$12*$B$18,0)</x:f>
        <x:v>-22500</x:v>
      </x:c>
      <x:c r="T41" t="n">
        <x:f>((IF(T$30-$B$8&lt;0,0,$B$22*$B$15*INDEX($B$31:$B$51,T$30-$B$8+1)*$B$5))*(1-$B$9))-IF(T$30=0,$B$23*(1-$N41),0)-IF(T$30&gt;0,$B$22*$B$17,0)-IF(T$30&gt;0,$B$12*$B$18,0)</x:f>
        <x:v>-20580</x:v>
      </x:c>
      <x:c r="U41" t="n">
        <x:f>((IF(U$30-$B$8&lt;0,0,$B$22*$B$15*INDEX($B$31:$B$51,U$30-$B$8+1)*$B$5))*(1-$B$9))-IF(U$30=0,$B$23*(1-$N41),0)-IF(U$30&gt;0,$B$22*$B$17,0)-IF(U$30&gt;0,$B$12*$B$18,0)</x:f>
        <x:v>-17700</x:v>
      </x:c>
      <x:c r="V41" t="n">
        <x:f>((IF(V$30-$B$8&lt;0,0,$B$22*$B$15*INDEX($B$31:$B$51,V$30-$B$8+1)*$B$5))*(1-$B$9))-IF(V$30=0,$B$23*(1-$N41),0)-IF(V$30&gt;0,$B$22*$B$17,0)-IF(V$30&gt;0,$B$12*$B$18,0)</x:f>
        <x:v>-12900</x:v>
      </x:c>
      <x:c r="W41" t="n">
        <x:f>((IF(W$30-$B$8&lt;0,0,$B$22*$B$15*INDEX($B$31:$B$51,W$30-$B$8+1)*$B$5))*(1-$B$9))-IF(W$30=0,$B$23*(1-$N41),0)-IF(W$30&gt;0,$B$22*$B$17,0)-IF(W$30&gt;0,$B$12*$B$18,0)</x:f>
        <x:v>-5220</x:v>
      </x:c>
      <x:c r="X41" t="n">
        <x:f>((IF(X$30-$B$8&lt;0,0,$B$22*$B$15*INDEX($B$31:$B$51,X$30-$B$8+1)*$B$5))*(1-$B$9))-IF(X$30=0,$B$23*(1-$N41),0)-IF(X$30&gt;0,$B$22*$B$17,0)-IF(X$30&gt;0,$B$12*$B$18,0)</x:f>
        <x:v>4380.000000000007</x:v>
      </x:c>
      <x:c r="Y41" t="n">
        <x:f>((IF(Y$30-$B$8&lt;0,0,$B$22*$B$15*INDEX($B$31:$B$51,Y$30-$B$8+1)*$B$5))*(1-$B$9))-IF(Y$30=0,$B$23*(1-$N41),0)-IF(Y$30&gt;0,$B$22*$B$17,0)-IF(Y$30&gt;0,$B$12*$B$18,0)</x:f>
        <x:v>15900</x:v>
      </x:c>
      <x:c r="Z41" t="n">
        <x:f>((IF(Z$30-$B$8&lt;0,0,$B$22*$B$15*INDEX($B$31:$B$51,Z$30-$B$8+1)*$B$5))*(1-$B$9))-IF(Z$30=0,$B$23*(1-$N41),0)-IF(Z$30&gt;0,$B$22*$B$17,0)-IF(Z$30&gt;0,$B$12*$B$18,0)</x:f>
        <x:v>29340</x:v>
      </x:c>
      <x:c r="AA41" t="n">
        <x:f>((IF(AA$30-$B$8&lt;0,0,$B$22*$B$15*INDEX($B$31:$B$51,AA$30-$B$8+1)*$B$5))*(1-$B$9))-IF(AA$30=0,$B$23*(1-$N41),0)-IF(AA$30&gt;0,$B$22*$B$17,0)-IF(AA$30&gt;0,$B$12*$B$18,0)</x:f>
        <x:v>42780.000000000015</x:v>
      </x:c>
      <x:c r="AB41" t="n">
        <x:f>((IF(AB$30-$B$8&lt;0,0,$B$22*$B$15*INDEX($B$31:$B$51,AB$30-$B$8+1)*$B$5))*(1-$B$9))-IF(AB$30=0,$B$23*(1-$N41),0)-IF(AB$30&gt;0,$B$22*$B$17,0)-IF(AB$30&gt;0,$B$12*$B$18,0)</x:f>
        <x:v>54300</x:v>
      </x:c>
      <x:c r="AC41" t="n">
        <x:f>((IF(AC$30-$B$8&lt;0,0,$B$22*$B$15*INDEX($B$31:$B$51,AC$30-$B$8+1)*$B$5))*(1-$B$9))-IF(AC$30=0,$B$23*(1-$N41),0)-IF(AC$30&gt;0,$B$22*$B$17,0)-IF(AC$30&gt;0,$B$12*$B$18,0)</x:f>
        <x:v>63900</x:v>
      </x:c>
      <x:c r="AD41" t="n">
        <x:f>((IF(AD$30-$B$8&lt;0,0,$B$22*$B$15*INDEX($B$31:$B$51,AD$30-$B$8+1)*$B$5))*(1-$B$9))-IF(AD$30=0,$B$23*(1-$N41),0)-IF(AD$30&gt;0,$B$22*$B$17,0)-IF(AD$30&gt;0,$B$12*$B$18,0)</x:f>
        <x:v>73500</x:v>
      </x:c>
      <x:c r="AE41" t="n">
        <x:f>((IF(AE$30-$B$8&lt;0,0,$B$22*$B$15*INDEX($B$31:$B$51,AE$30-$B$8+1)*$B$5))*(1-$B$9))-IF(AE$30=0,$B$23*(1-$N41),0)-IF(AE$30&gt;0,$B$22*$B$17,0)-IF(AE$30&gt;0,$B$12*$B$18,0)</x:f>
        <x:v>73500</x:v>
      </x:c>
      <x:c r="AF41" t="n">
        <x:f>((IF(AF$30-$B$8&lt;0,0,$B$22*$B$15*INDEX($B$31:$B$51,AF$30-$B$8+1)*$B$5))*(1-$B$9))-IF(AF$30=0,$B$23*(1-$N41),0)-IF(AF$30&gt;0,$B$22*$B$17,0)-IF(AF$30&gt;0,$B$12*$B$18,0)</x:f>
        <x:v>73500</x:v>
      </x:c>
      <x:c r="AG41" t="n">
        <x:f>((IF(AG$30-$B$8&lt;0,0,$B$22*$B$15*INDEX($B$31:$B$51,AG$30-$B$8+1)*$B$5))*(1-$B$9))-IF(AG$30=0,$B$23*(1-$N41),0)-IF(AG$30&gt;0,$B$22*$B$17,0)-IF(AG$30&gt;0,$B$12*$B$18,0)</x:f>
        <x:v>73500</x:v>
      </x:c>
      <x:c r="AH41" t="n">
        <x:f>((IF(AH$30-$B$8&lt;0,0,$B$22*$B$15*INDEX($B$31:$B$51,AH$30-$B$8+1)*$B$5))*(1-$B$9))-IF(AH$30=0,$B$23*(1-$N41),0)-IF(AH$30&gt;0,$B$22*$B$17,0)-IF(AH$30&gt;0,$B$12*$B$18,0)</x:f>
        <x:v>73500</x:v>
      </x:c>
      <x:c r="AI41" t="n">
        <x:f>((IF(AI$30-$B$8&lt;0,0,$B$22*$B$15*INDEX($B$31:$B$51,AI$30-$B$8+1)*$B$5))*(1-$B$9))-IF(AI$30=0,$B$23*(1-$N41),0)-IF(AI$30&gt;0,$B$22*$B$17,0)-IF(AI$30&gt;0,$B$12*$B$18,0)</x:f>
        <x:v>73500</x:v>
      </x:c>
      <x:c r="AJ41" t="n">
        <x:f>((IF(AJ$30-$B$8&lt;0,0,$B$22*$B$15*INDEX($B$31:$B$51,AJ$30-$B$8+1)*$B$5))*(1-$B$9))-IF(AJ$30=0,$B$23*(1-$N41),0)-IF(AJ$30&gt;0,$B$22*$B$17,0)-IF(AJ$30&gt;0,$B$12*$B$18,0)</x:f>
        <x:v>73500</x:v>
      </x:c>
      <x:c r="AK41" t="n">
        <x:f>((IF(AK$30-$B$8&lt;0,0,$B$22*$B$15*INDEX($B$31:$B$51,AK$30-$B$8+1)*$B$5))*(1-$B$9))-IF(AK$30=0,$B$23*(1-$N41),0)-IF(AK$30&gt;0,$B$22*$B$17,0)-IF(AK$30&gt;0,$B$12*$B$18,0)</x:f>
        <x:v>73500</x:v>
      </x:c>
    </x:row>
    <x:row r="42">
      <x:c r="A42" s="51" t="n">
        <x:v>11</x:v>
      </x:c>
      <x:c r="B42" s="55" t="n">
        <x:v>1</x:v>
      </x:c>
      <x:c r="C42" s="58" t="n">
        <x:f>$B$22*$B$15*B42</x:f>
        <x:v>1500</x:v>
      </x:c>
      <x:c r="D42" s="58" t="n">
        <x:f>C42*$B$5</x:f>
        <x:v>120000</x:v>
      </x:c>
      <x:c r="E42" s="58" t="n">
        <x:f>IF(A42-$B$8&lt;0,0,INDEX($D$31:$D$51,A42-$B$8+1))</x:f>
        <x:v>96000</x:v>
      </x:c>
      <x:c r="F42" s="58" t="n">
        <x:f>E42*$B$9</x:f>
        <x:v>19200</x:v>
      </x:c>
      <x:c r="G42" s="58" t="n">
        <x:f>E42-F42</x:f>
        <x:v>76800</x:v>
      </x:c>
      <x:c r="H42" s="58" t="n">
        <x:f>IF(A42=0,$B$23*(1-$B$10),0)</x:f>
        <x:v>0</x:v>
      </x:c>
      <x:c r="I42" s="58" t="n">
        <x:f>IF(A42&gt;0,$B$22*$B$17,0)</x:f>
        <x:v>13500</x:v>
      </x:c>
      <x:c r="J42" s="58" t="n">
        <x:f>IF(A42&gt;0,$B$12*$B$18,0)</x:f>
        <x:v>9000</x:v>
      </x:c>
      <x:c r="K42" s="58" t="n">
        <x:f>G42-H42-I42-J42</x:f>
        <x:v>54300</x:v>
      </x:c>
      <x:c r="N42" s="18" t="n">
        <x:v>0.55</x:v>
      </x:c>
      <x:c r="O42" s="59" t="n">
        <x:f>IFERROR(IRR(Q42:AK42),"")</x:f>
        <x:v>0.13054646464908698</x:v>
      </x:c>
      <x:c r="P42" s="88" t="b">
        <x:f>IF(O42="","",O42&gt;=$B$7)</x:f>
        <x:v>0</x:v>
      </x:c>
      <x:c r="Q42" t="n">
        <x:f>((IF(Q$30-$B$8&lt;0,0,$B$22*$B$15*INDEX($B$31:$B$51,Q$30-$B$8+1)*$B$5))*(1-$B$9))-IF(Q$30=0,$B$23*(1-$N42),0)-IF(Q$30&gt;0,$B$22*$B$17,0)-IF(Q$30&gt;0,$B$12*$B$18,0)</x:f>
        <x:v>-67500</x:v>
      </x:c>
      <x:c r="R42" t="n">
        <x:f>((IF(R$30-$B$8&lt;0,0,$B$22*$B$15*INDEX($B$31:$B$51,R$30-$B$8+1)*$B$5))*(1-$B$9))-IF(R$30=0,$B$23*(1-$N42),0)-IF(R$30&gt;0,$B$22*$B$17,0)-IF(R$30&gt;0,$B$12*$B$18,0)</x:f>
        <x:v>-22500</x:v>
      </x:c>
      <x:c r="S42" t="n">
        <x:f>((IF(S$30-$B$8&lt;0,0,$B$22*$B$15*INDEX($B$31:$B$51,S$30-$B$8+1)*$B$5))*(1-$B$9))-IF(S$30=0,$B$23*(1-$N42),0)-IF(S$30&gt;0,$B$22*$B$17,0)-IF(S$30&gt;0,$B$12*$B$18,0)</x:f>
        <x:v>-22500</x:v>
      </x:c>
      <x:c r="T42" t="n">
        <x:f>((IF(T$30-$B$8&lt;0,0,$B$22*$B$15*INDEX($B$31:$B$51,T$30-$B$8+1)*$B$5))*(1-$B$9))-IF(T$30=0,$B$23*(1-$N42),0)-IF(T$30&gt;0,$B$22*$B$17,0)-IF(T$30&gt;0,$B$12*$B$18,0)</x:f>
        <x:v>-20580</x:v>
      </x:c>
      <x:c r="U42" t="n">
        <x:f>((IF(U$30-$B$8&lt;0,0,$B$22*$B$15*INDEX($B$31:$B$51,U$30-$B$8+1)*$B$5))*(1-$B$9))-IF(U$30=0,$B$23*(1-$N42),0)-IF(U$30&gt;0,$B$22*$B$17,0)-IF(U$30&gt;0,$B$12*$B$18,0)</x:f>
        <x:v>-17700</x:v>
      </x:c>
      <x:c r="V42" t="n">
        <x:f>((IF(V$30-$B$8&lt;0,0,$B$22*$B$15*INDEX($B$31:$B$51,V$30-$B$8+1)*$B$5))*(1-$B$9))-IF(V$30=0,$B$23*(1-$N42),0)-IF(V$30&gt;0,$B$22*$B$17,0)-IF(V$30&gt;0,$B$12*$B$18,0)</x:f>
        <x:v>-12900</x:v>
      </x:c>
      <x:c r="W42" t="n">
        <x:f>((IF(W$30-$B$8&lt;0,0,$B$22*$B$15*INDEX($B$31:$B$51,W$30-$B$8+1)*$B$5))*(1-$B$9))-IF(W$30=0,$B$23*(1-$N42),0)-IF(W$30&gt;0,$B$22*$B$17,0)-IF(W$30&gt;0,$B$12*$B$18,0)</x:f>
        <x:v>-5220</x:v>
      </x:c>
      <x:c r="X42" t="n">
        <x:f>((IF(X$30-$B$8&lt;0,0,$B$22*$B$15*INDEX($B$31:$B$51,X$30-$B$8+1)*$B$5))*(1-$B$9))-IF(X$30=0,$B$23*(1-$N42),0)-IF(X$30&gt;0,$B$22*$B$17,0)-IF(X$30&gt;0,$B$12*$B$18,0)</x:f>
        <x:v>4380.000000000007</x:v>
      </x:c>
      <x:c r="Y42" t="n">
        <x:f>((IF(Y$30-$B$8&lt;0,0,$B$22*$B$15*INDEX($B$31:$B$51,Y$30-$B$8+1)*$B$5))*(1-$B$9))-IF(Y$30=0,$B$23*(1-$N42),0)-IF(Y$30&gt;0,$B$22*$B$17,0)-IF(Y$30&gt;0,$B$12*$B$18,0)</x:f>
        <x:v>15900</x:v>
      </x:c>
      <x:c r="Z42" t="n">
        <x:f>((IF(Z$30-$B$8&lt;0,0,$B$22*$B$15*INDEX($B$31:$B$51,Z$30-$B$8+1)*$B$5))*(1-$B$9))-IF(Z$30=0,$B$23*(1-$N42),0)-IF(Z$30&gt;0,$B$22*$B$17,0)-IF(Z$30&gt;0,$B$12*$B$18,0)</x:f>
        <x:v>29340</x:v>
      </x:c>
      <x:c r="AA42" t="n">
        <x:f>((IF(AA$30-$B$8&lt;0,0,$B$22*$B$15*INDEX($B$31:$B$51,AA$30-$B$8+1)*$B$5))*(1-$B$9))-IF(AA$30=0,$B$23*(1-$N42),0)-IF(AA$30&gt;0,$B$22*$B$17,0)-IF(AA$30&gt;0,$B$12*$B$18,0)</x:f>
        <x:v>42780.000000000015</x:v>
      </x:c>
      <x:c r="AB42" t="n">
        <x:f>((IF(AB$30-$B$8&lt;0,0,$B$22*$B$15*INDEX($B$31:$B$51,AB$30-$B$8+1)*$B$5))*(1-$B$9))-IF(AB$30=0,$B$23*(1-$N42),0)-IF(AB$30&gt;0,$B$22*$B$17,0)-IF(AB$30&gt;0,$B$12*$B$18,0)</x:f>
        <x:v>54300</x:v>
      </x:c>
      <x:c r="AC42" t="n">
        <x:f>((IF(AC$30-$B$8&lt;0,0,$B$22*$B$15*INDEX($B$31:$B$51,AC$30-$B$8+1)*$B$5))*(1-$B$9))-IF(AC$30=0,$B$23*(1-$N42),0)-IF(AC$30&gt;0,$B$22*$B$17,0)-IF(AC$30&gt;0,$B$12*$B$18,0)</x:f>
        <x:v>63900</x:v>
      </x:c>
      <x:c r="AD42" t="n">
        <x:f>((IF(AD$30-$B$8&lt;0,0,$B$22*$B$15*INDEX($B$31:$B$51,AD$30-$B$8+1)*$B$5))*(1-$B$9))-IF(AD$30=0,$B$23*(1-$N42),0)-IF(AD$30&gt;0,$B$22*$B$17,0)-IF(AD$30&gt;0,$B$12*$B$18,0)</x:f>
        <x:v>73500</x:v>
      </x:c>
      <x:c r="AE42" t="n">
        <x:f>((IF(AE$30-$B$8&lt;0,0,$B$22*$B$15*INDEX($B$31:$B$51,AE$30-$B$8+1)*$B$5))*(1-$B$9))-IF(AE$30=0,$B$23*(1-$N42),0)-IF(AE$30&gt;0,$B$22*$B$17,0)-IF(AE$30&gt;0,$B$12*$B$18,0)</x:f>
        <x:v>73500</x:v>
      </x:c>
      <x:c r="AF42" t="n">
        <x:f>((IF(AF$30-$B$8&lt;0,0,$B$22*$B$15*INDEX($B$31:$B$51,AF$30-$B$8+1)*$B$5))*(1-$B$9))-IF(AF$30=0,$B$23*(1-$N42),0)-IF(AF$30&gt;0,$B$22*$B$17,0)-IF(AF$30&gt;0,$B$12*$B$18,0)</x:f>
        <x:v>73500</x:v>
      </x:c>
      <x:c r="AG42" t="n">
        <x:f>((IF(AG$30-$B$8&lt;0,0,$B$22*$B$15*INDEX($B$31:$B$51,AG$30-$B$8+1)*$B$5))*(1-$B$9))-IF(AG$30=0,$B$23*(1-$N42),0)-IF(AG$30&gt;0,$B$22*$B$17,0)-IF(AG$30&gt;0,$B$12*$B$18,0)</x:f>
        <x:v>73500</x:v>
      </x:c>
      <x:c r="AH42" t="n">
        <x:f>((IF(AH$30-$B$8&lt;0,0,$B$22*$B$15*INDEX($B$31:$B$51,AH$30-$B$8+1)*$B$5))*(1-$B$9))-IF(AH$30=0,$B$23*(1-$N42),0)-IF(AH$30&gt;0,$B$22*$B$17,0)-IF(AH$30&gt;0,$B$12*$B$18,0)</x:f>
        <x:v>73500</x:v>
      </x:c>
      <x:c r="AI42" t="n">
        <x:f>((IF(AI$30-$B$8&lt;0,0,$B$22*$B$15*INDEX($B$31:$B$51,AI$30-$B$8+1)*$B$5))*(1-$B$9))-IF(AI$30=0,$B$23*(1-$N42),0)-IF(AI$30&gt;0,$B$22*$B$17,0)-IF(AI$30&gt;0,$B$12*$B$18,0)</x:f>
        <x:v>73500</x:v>
      </x:c>
      <x:c r="AJ42" t="n">
        <x:f>((IF(AJ$30-$B$8&lt;0,0,$B$22*$B$15*INDEX($B$31:$B$51,AJ$30-$B$8+1)*$B$5))*(1-$B$9))-IF(AJ$30=0,$B$23*(1-$N42),0)-IF(AJ$30&gt;0,$B$22*$B$17,0)-IF(AJ$30&gt;0,$B$12*$B$18,0)</x:f>
        <x:v>73500</x:v>
      </x:c>
      <x:c r="AK42" t="n">
        <x:f>((IF(AK$30-$B$8&lt;0,0,$B$22*$B$15*INDEX($B$31:$B$51,AK$30-$B$8+1)*$B$5))*(1-$B$9))-IF(AK$30=0,$B$23*(1-$N42),0)-IF(AK$30&gt;0,$B$22*$B$17,0)-IF(AK$30&gt;0,$B$12*$B$18,0)</x:f>
        <x:v>73500</x:v>
      </x:c>
    </x:row>
    <x:row r="43">
      <x:c r="A43" s="51" t="n">
        <x:v>12</x:v>
      </x:c>
      <x:c r="B43" s="55" t="n">
        <x:v>1</x:v>
      </x:c>
      <x:c r="C43" s="58" t="n">
        <x:f>$B$22*$B$15*B43</x:f>
        <x:v>1500</x:v>
      </x:c>
      <x:c r="D43" s="58" t="n">
        <x:f>C43*$B$5</x:f>
        <x:v>120000</x:v>
      </x:c>
      <x:c r="E43" s="58" t="n">
        <x:f>IF(A43-$B$8&lt;0,0,INDEX($D$31:$D$51,A43-$B$8+1))</x:f>
        <x:v>108000</x:v>
      </x:c>
      <x:c r="F43" s="58" t="n">
        <x:f>E43*$B$9</x:f>
        <x:v>21600</x:v>
      </x:c>
      <x:c r="G43" s="58" t="n">
        <x:f>E43-F43</x:f>
        <x:v>86400</x:v>
      </x:c>
      <x:c r="H43" s="58" t="n">
        <x:f>IF(A43=0,$B$23*(1-$B$10),0)</x:f>
        <x:v>0</x:v>
      </x:c>
      <x:c r="I43" s="58" t="n">
        <x:f>IF(A43&gt;0,$B$22*$B$17,0)</x:f>
        <x:v>13500</x:v>
      </x:c>
      <x:c r="J43" s="58" t="n">
        <x:f>IF(A43&gt;0,$B$12*$B$18,0)</x:f>
        <x:v>9000</x:v>
      </x:c>
      <x:c r="K43" s="58" t="n">
        <x:f>G43-H43-I43-J43</x:f>
        <x:v>63900</x:v>
      </x:c>
      <x:c r="N43" s="18" t="n">
        <x:v>0.6</x:v>
      </x:c>
      <x:c r="O43" s="59" t="n">
        <x:f>IFERROR(IRR(Q43:AK43),"")</x:f>
        <x:v>0.13574339762889087</x:v>
      </x:c>
      <x:c r="P43" s="88" t="b">
        <x:f>IF(O43="","",O43&gt;=$B$7)</x:f>
        <x:v>0</x:v>
      </x:c>
      <x:c r="Q43" t="n">
        <x:f>((IF(Q$30-$B$8&lt;0,0,$B$22*$B$15*INDEX($B$31:$B$51,Q$30-$B$8+1)*$B$5))*(1-$B$9))-IF(Q$30=0,$B$23*(1-$N43),0)-IF(Q$30&gt;0,$B$22*$B$17,0)-IF(Q$30&gt;0,$B$12*$B$18,0)</x:f>
        <x:v>-60000</x:v>
      </x:c>
      <x:c r="R43" t="n">
        <x:f>((IF(R$30-$B$8&lt;0,0,$B$22*$B$15*INDEX($B$31:$B$51,R$30-$B$8+1)*$B$5))*(1-$B$9))-IF(R$30=0,$B$23*(1-$N43),0)-IF(R$30&gt;0,$B$22*$B$17,0)-IF(R$30&gt;0,$B$12*$B$18,0)</x:f>
        <x:v>-22500</x:v>
      </x:c>
      <x:c r="S43" t="n">
        <x:f>((IF(S$30-$B$8&lt;0,0,$B$22*$B$15*INDEX($B$31:$B$51,S$30-$B$8+1)*$B$5))*(1-$B$9))-IF(S$30=0,$B$23*(1-$N43),0)-IF(S$30&gt;0,$B$22*$B$17,0)-IF(S$30&gt;0,$B$12*$B$18,0)</x:f>
        <x:v>-22500</x:v>
      </x:c>
      <x:c r="T43" t="n">
        <x:f>((IF(T$30-$B$8&lt;0,0,$B$22*$B$15*INDEX($B$31:$B$51,T$30-$B$8+1)*$B$5))*(1-$B$9))-IF(T$30=0,$B$23*(1-$N43),0)-IF(T$30&gt;0,$B$22*$B$17,0)-IF(T$30&gt;0,$B$12*$B$18,0)</x:f>
        <x:v>-20580</x:v>
      </x:c>
      <x:c r="U43" t="n">
        <x:f>((IF(U$30-$B$8&lt;0,0,$B$22*$B$15*INDEX($B$31:$B$51,U$30-$B$8+1)*$B$5))*(1-$B$9))-IF(U$30=0,$B$23*(1-$N43),0)-IF(U$30&gt;0,$B$22*$B$17,0)-IF(U$30&gt;0,$B$12*$B$18,0)</x:f>
        <x:v>-17700</x:v>
      </x:c>
      <x:c r="V43" t="n">
        <x:f>((IF(V$30-$B$8&lt;0,0,$B$22*$B$15*INDEX($B$31:$B$51,V$30-$B$8+1)*$B$5))*(1-$B$9))-IF(V$30=0,$B$23*(1-$N43),0)-IF(V$30&gt;0,$B$22*$B$17,0)-IF(V$30&gt;0,$B$12*$B$18,0)</x:f>
        <x:v>-12900</x:v>
      </x:c>
      <x:c r="W43" t="n">
        <x:f>((IF(W$30-$B$8&lt;0,0,$B$22*$B$15*INDEX($B$31:$B$51,W$30-$B$8+1)*$B$5))*(1-$B$9))-IF(W$30=0,$B$23*(1-$N43),0)-IF(W$30&gt;0,$B$22*$B$17,0)-IF(W$30&gt;0,$B$12*$B$18,0)</x:f>
        <x:v>-5220</x:v>
      </x:c>
      <x:c r="X43" t="n">
        <x:f>((IF(X$30-$B$8&lt;0,0,$B$22*$B$15*INDEX($B$31:$B$51,X$30-$B$8+1)*$B$5))*(1-$B$9))-IF(X$30=0,$B$23*(1-$N43),0)-IF(X$30&gt;0,$B$22*$B$17,0)-IF(X$30&gt;0,$B$12*$B$18,0)</x:f>
        <x:v>4380.000000000007</x:v>
      </x:c>
      <x:c r="Y43" t="n">
        <x:f>((IF(Y$30-$B$8&lt;0,0,$B$22*$B$15*INDEX($B$31:$B$51,Y$30-$B$8+1)*$B$5))*(1-$B$9))-IF(Y$30=0,$B$23*(1-$N43),0)-IF(Y$30&gt;0,$B$22*$B$17,0)-IF(Y$30&gt;0,$B$12*$B$18,0)</x:f>
        <x:v>15900</x:v>
      </x:c>
      <x:c r="Z43" t="n">
        <x:f>((IF(Z$30-$B$8&lt;0,0,$B$22*$B$15*INDEX($B$31:$B$51,Z$30-$B$8+1)*$B$5))*(1-$B$9))-IF(Z$30=0,$B$23*(1-$N43),0)-IF(Z$30&gt;0,$B$22*$B$17,0)-IF(Z$30&gt;0,$B$12*$B$18,0)</x:f>
        <x:v>29340</x:v>
      </x:c>
      <x:c r="AA43" t="n">
        <x:f>((IF(AA$30-$B$8&lt;0,0,$B$22*$B$15*INDEX($B$31:$B$51,AA$30-$B$8+1)*$B$5))*(1-$B$9))-IF(AA$30=0,$B$23*(1-$N43),0)-IF(AA$30&gt;0,$B$22*$B$17,0)-IF(AA$30&gt;0,$B$12*$B$18,0)</x:f>
        <x:v>42780.000000000015</x:v>
      </x:c>
      <x:c r="AB43" t="n">
        <x:f>((IF(AB$30-$B$8&lt;0,0,$B$22*$B$15*INDEX($B$31:$B$51,AB$30-$B$8+1)*$B$5))*(1-$B$9))-IF(AB$30=0,$B$23*(1-$N43),0)-IF(AB$30&gt;0,$B$22*$B$17,0)-IF(AB$30&gt;0,$B$12*$B$18,0)</x:f>
        <x:v>54300</x:v>
      </x:c>
      <x:c r="AC43" t="n">
        <x:f>((IF(AC$30-$B$8&lt;0,0,$B$22*$B$15*INDEX($B$31:$B$51,AC$30-$B$8+1)*$B$5))*(1-$B$9))-IF(AC$30=0,$B$23*(1-$N43),0)-IF(AC$30&gt;0,$B$22*$B$17,0)-IF(AC$30&gt;0,$B$12*$B$18,0)</x:f>
        <x:v>63900</x:v>
      </x:c>
      <x:c r="AD43" t="n">
        <x:f>((IF(AD$30-$B$8&lt;0,0,$B$22*$B$15*INDEX($B$31:$B$51,AD$30-$B$8+1)*$B$5))*(1-$B$9))-IF(AD$30=0,$B$23*(1-$N43),0)-IF(AD$30&gt;0,$B$22*$B$17,0)-IF(AD$30&gt;0,$B$12*$B$18,0)</x:f>
        <x:v>73500</x:v>
      </x:c>
      <x:c r="AE43" t="n">
        <x:f>((IF(AE$30-$B$8&lt;0,0,$B$22*$B$15*INDEX($B$31:$B$51,AE$30-$B$8+1)*$B$5))*(1-$B$9))-IF(AE$30=0,$B$23*(1-$N43),0)-IF(AE$30&gt;0,$B$22*$B$17,0)-IF(AE$30&gt;0,$B$12*$B$18,0)</x:f>
        <x:v>73500</x:v>
      </x:c>
      <x:c r="AF43" t="n">
        <x:f>((IF(AF$30-$B$8&lt;0,0,$B$22*$B$15*INDEX($B$31:$B$51,AF$30-$B$8+1)*$B$5))*(1-$B$9))-IF(AF$30=0,$B$23*(1-$N43),0)-IF(AF$30&gt;0,$B$22*$B$17,0)-IF(AF$30&gt;0,$B$12*$B$18,0)</x:f>
        <x:v>73500</x:v>
      </x:c>
      <x:c r="AG43" t="n">
        <x:f>((IF(AG$30-$B$8&lt;0,0,$B$22*$B$15*INDEX($B$31:$B$51,AG$30-$B$8+1)*$B$5))*(1-$B$9))-IF(AG$30=0,$B$23*(1-$N43),0)-IF(AG$30&gt;0,$B$22*$B$17,0)-IF(AG$30&gt;0,$B$12*$B$18,0)</x:f>
        <x:v>73500</x:v>
      </x:c>
      <x:c r="AH43" t="n">
        <x:f>((IF(AH$30-$B$8&lt;0,0,$B$22*$B$15*INDEX($B$31:$B$51,AH$30-$B$8+1)*$B$5))*(1-$B$9))-IF(AH$30=0,$B$23*(1-$N43),0)-IF(AH$30&gt;0,$B$22*$B$17,0)-IF(AH$30&gt;0,$B$12*$B$18,0)</x:f>
        <x:v>73500</x:v>
      </x:c>
      <x:c r="AI43" t="n">
        <x:f>((IF(AI$30-$B$8&lt;0,0,$B$22*$B$15*INDEX($B$31:$B$51,AI$30-$B$8+1)*$B$5))*(1-$B$9))-IF(AI$30=0,$B$23*(1-$N43),0)-IF(AI$30&gt;0,$B$22*$B$17,0)-IF(AI$30&gt;0,$B$12*$B$18,0)</x:f>
        <x:v>73500</x:v>
      </x:c>
      <x:c r="AJ43" t="n">
        <x:f>((IF(AJ$30-$B$8&lt;0,0,$B$22*$B$15*INDEX($B$31:$B$51,AJ$30-$B$8+1)*$B$5))*(1-$B$9))-IF(AJ$30=0,$B$23*(1-$N43),0)-IF(AJ$30&gt;0,$B$22*$B$17,0)-IF(AJ$30&gt;0,$B$12*$B$18,0)</x:f>
        <x:v>73500</x:v>
      </x:c>
      <x:c r="AK43" t="n">
        <x:f>((IF(AK$30-$B$8&lt;0,0,$B$22*$B$15*INDEX($B$31:$B$51,AK$30-$B$8+1)*$B$5))*(1-$B$9))-IF(AK$30=0,$B$23*(1-$N43),0)-IF(AK$30&gt;0,$B$22*$B$17,0)-IF(AK$30&gt;0,$B$12*$B$18,0)</x:f>
        <x:v>73500</x:v>
      </x:c>
    </x:row>
    <x:row r="44">
      <x:c r="A44" s="51" t="n">
        <x:v>13</x:v>
      </x:c>
      <x:c r="B44" s="55" t="n">
        <x:v>1</x:v>
      </x:c>
      <x:c r="C44" s="58" t="n">
        <x:f>$B$22*$B$15*B44</x:f>
        <x:v>1500</x:v>
      </x:c>
      <x:c r="D44" s="58" t="n">
        <x:f>C44*$B$5</x:f>
        <x:v>120000</x:v>
      </x:c>
      <x:c r="E44" s="58" t="n">
        <x:f>IF(A44-$B$8&lt;0,0,INDEX($D$31:$D$51,A44-$B$8+1))</x:f>
        <x:v>120000</x:v>
      </x:c>
      <x:c r="F44" s="58" t="n">
        <x:f>E44*$B$9</x:f>
        <x:v>24000</x:v>
      </x:c>
      <x:c r="G44" s="58" t="n">
        <x:f>E44-F44</x:f>
        <x:v>96000</x:v>
      </x:c>
      <x:c r="H44" s="58" t="n">
        <x:f>IF(A44=0,$B$23*(1-$B$10),0)</x:f>
        <x:v>0</x:v>
      </x:c>
      <x:c r="I44" s="58" t="n">
        <x:f>IF(A44&gt;0,$B$22*$B$17,0)</x:f>
        <x:v>13500</x:v>
      </x:c>
      <x:c r="J44" s="58" t="n">
        <x:f>IF(A44&gt;0,$B$12*$B$18,0)</x:f>
        <x:v>9000</x:v>
      </x:c>
      <x:c r="K44" s="58" t="n">
        <x:f>G44-H44-I44-J44</x:f>
        <x:v>73500</x:v>
      </x:c>
      <x:c r="N44" s="18" t="n">
        <x:v>0.65</x:v>
      </x:c>
      <x:c r="O44" s="59" t="n">
        <x:f>IFERROR(IRR(Q44:AK44),"")</x:f>
        <x:v>0.14136765013161107</x:v>
      </x:c>
      <x:c r="P44" s="88" t="b">
        <x:f>IF(O44="","",O44&gt;=$B$7)</x:f>
        <x:v>0</x:v>
      </x:c>
      <x:c r="Q44" t="n">
        <x:f>((IF(Q$30-$B$8&lt;0,0,$B$22*$B$15*INDEX($B$31:$B$51,Q$30-$B$8+1)*$B$5))*(1-$B$9))-IF(Q$30=0,$B$23*(1-$N44),0)-IF(Q$30&gt;0,$B$22*$B$17,0)-IF(Q$30&gt;0,$B$12*$B$18,0)</x:f>
        <x:v>-52500</x:v>
      </x:c>
      <x:c r="R44" t="n">
        <x:f>((IF(R$30-$B$8&lt;0,0,$B$22*$B$15*INDEX($B$31:$B$51,R$30-$B$8+1)*$B$5))*(1-$B$9))-IF(R$30=0,$B$23*(1-$N44),0)-IF(R$30&gt;0,$B$22*$B$17,0)-IF(R$30&gt;0,$B$12*$B$18,0)</x:f>
        <x:v>-22500</x:v>
      </x:c>
      <x:c r="S44" t="n">
        <x:f>((IF(S$30-$B$8&lt;0,0,$B$22*$B$15*INDEX($B$31:$B$51,S$30-$B$8+1)*$B$5))*(1-$B$9))-IF(S$30=0,$B$23*(1-$N44),0)-IF(S$30&gt;0,$B$22*$B$17,0)-IF(S$30&gt;0,$B$12*$B$18,0)</x:f>
        <x:v>-22500</x:v>
      </x:c>
      <x:c r="T44" t="n">
        <x:f>((IF(T$30-$B$8&lt;0,0,$B$22*$B$15*INDEX($B$31:$B$51,T$30-$B$8+1)*$B$5))*(1-$B$9))-IF(T$30=0,$B$23*(1-$N44),0)-IF(T$30&gt;0,$B$22*$B$17,0)-IF(T$30&gt;0,$B$12*$B$18,0)</x:f>
        <x:v>-20580</x:v>
      </x:c>
      <x:c r="U44" t="n">
        <x:f>((IF(U$30-$B$8&lt;0,0,$B$22*$B$15*INDEX($B$31:$B$51,U$30-$B$8+1)*$B$5))*(1-$B$9))-IF(U$30=0,$B$23*(1-$N44),0)-IF(U$30&gt;0,$B$22*$B$17,0)-IF(U$30&gt;0,$B$12*$B$18,0)</x:f>
        <x:v>-17700</x:v>
      </x:c>
      <x:c r="V44" t="n">
        <x:f>((IF(V$30-$B$8&lt;0,0,$B$22*$B$15*INDEX($B$31:$B$51,V$30-$B$8+1)*$B$5))*(1-$B$9))-IF(V$30=0,$B$23*(1-$N44),0)-IF(V$30&gt;0,$B$22*$B$17,0)-IF(V$30&gt;0,$B$12*$B$18,0)</x:f>
        <x:v>-12900</x:v>
      </x:c>
      <x:c r="W44" t="n">
        <x:f>((IF(W$30-$B$8&lt;0,0,$B$22*$B$15*INDEX($B$31:$B$51,W$30-$B$8+1)*$B$5))*(1-$B$9))-IF(W$30=0,$B$23*(1-$N44),0)-IF(W$30&gt;0,$B$22*$B$17,0)-IF(W$30&gt;0,$B$12*$B$18,0)</x:f>
        <x:v>-5220</x:v>
      </x:c>
      <x:c r="X44" t="n">
        <x:f>((IF(X$30-$B$8&lt;0,0,$B$22*$B$15*INDEX($B$31:$B$51,X$30-$B$8+1)*$B$5))*(1-$B$9))-IF(X$30=0,$B$23*(1-$N44),0)-IF(X$30&gt;0,$B$22*$B$17,0)-IF(X$30&gt;0,$B$12*$B$18,0)</x:f>
        <x:v>4380.000000000007</x:v>
      </x:c>
      <x:c r="Y44" t="n">
        <x:f>((IF(Y$30-$B$8&lt;0,0,$B$22*$B$15*INDEX($B$31:$B$51,Y$30-$B$8+1)*$B$5))*(1-$B$9))-IF(Y$30=0,$B$23*(1-$N44),0)-IF(Y$30&gt;0,$B$22*$B$17,0)-IF(Y$30&gt;0,$B$12*$B$18,0)</x:f>
        <x:v>15900</x:v>
      </x:c>
      <x:c r="Z44" t="n">
        <x:f>((IF(Z$30-$B$8&lt;0,0,$B$22*$B$15*INDEX($B$31:$B$51,Z$30-$B$8+1)*$B$5))*(1-$B$9))-IF(Z$30=0,$B$23*(1-$N44),0)-IF(Z$30&gt;0,$B$22*$B$17,0)-IF(Z$30&gt;0,$B$12*$B$18,0)</x:f>
        <x:v>29340</x:v>
      </x:c>
      <x:c r="AA44" t="n">
        <x:f>((IF(AA$30-$B$8&lt;0,0,$B$22*$B$15*INDEX($B$31:$B$51,AA$30-$B$8+1)*$B$5))*(1-$B$9))-IF(AA$30=0,$B$23*(1-$N44),0)-IF(AA$30&gt;0,$B$22*$B$17,0)-IF(AA$30&gt;0,$B$12*$B$18,0)</x:f>
        <x:v>42780.000000000015</x:v>
      </x:c>
      <x:c r="AB44" t="n">
        <x:f>((IF(AB$30-$B$8&lt;0,0,$B$22*$B$15*INDEX($B$31:$B$51,AB$30-$B$8+1)*$B$5))*(1-$B$9))-IF(AB$30=0,$B$23*(1-$N44),0)-IF(AB$30&gt;0,$B$22*$B$17,0)-IF(AB$30&gt;0,$B$12*$B$18,0)</x:f>
        <x:v>54300</x:v>
      </x:c>
      <x:c r="AC44" t="n">
        <x:f>((IF(AC$30-$B$8&lt;0,0,$B$22*$B$15*INDEX($B$31:$B$51,AC$30-$B$8+1)*$B$5))*(1-$B$9))-IF(AC$30=0,$B$23*(1-$N44),0)-IF(AC$30&gt;0,$B$22*$B$17,0)-IF(AC$30&gt;0,$B$12*$B$18,0)</x:f>
        <x:v>63900</x:v>
      </x:c>
      <x:c r="AD44" t="n">
        <x:f>((IF(AD$30-$B$8&lt;0,0,$B$22*$B$15*INDEX($B$31:$B$51,AD$30-$B$8+1)*$B$5))*(1-$B$9))-IF(AD$30=0,$B$23*(1-$N44),0)-IF(AD$30&gt;0,$B$22*$B$17,0)-IF(AD$30&gt;0,$B$12*$B$18,0)</x:f>
        <x:v>73500</x:v>
      </x:c>
      <x:c r="AE44" t="n">
        <x:f>((IF(AE$30-$B$8&lt;0,0,$B$22*$B$15*INDEX($B$31:$B$51,AE$30-$B$8+1)*$B$5))*(1-$B$9))-IF(AE$30=0,$B$23*(1-$N44),0)-IF(AE$30&gt;0,$B$22*$B$17,0)-IF(AE$30&gt;0,$B$12*$B$18,0)</x:f>
        <x:v>73500</x:v>
      </x:c>
      <x:c r="AF44" t="n">
        <x:f>((IF(AF$30-$B$8&lt;0,0,$B$22*$B$15*INDEX($B$31:$B$51,AF$30-$B$8+1)*$B$5))*(1-$B$9))-IF(AF$30=0,$B$23*(1-$N44),0)-IF(AF$30&gt;0,$B$22*$B$17,0)-IF(AF$30&gt;0,$B$12*$B$18,0)</x:f>
        <x:v>73500</x:v>
      </x:c>
      <x:c r="AG44" t="n">
        <x:f>((IF(AG$30-$B$8&lt;0,0,$B$22*$B$15*INDEX($B$31:$B$51,AG$30-$B$8+1)*$B$5))*(1-$B$9))-IF(AG$30=0,$B$23*(1-$N44),0)-IF(AG$30&gt;0,$B$22*$B$17,0)-IF(AG$30&gt;0,$B$12*$B$18,0)</x:f>
        <x:v>73500</x:v>
      </x:c>
      <x:c r="AH44" t="n">
        <x:f>((IF(AH$30-$B$8&lt;0,0,$B$22*$B$15*INDEX($B$31:$B$51,AH$30-$B$8+1)*$B$5))*(1-$B$9))-IF(AH$30=0,$B$23*(1-$N44),0)-IF(AH$30&gt;0,$B$22*$B$17,0)-IF(AH$30&gt;0,$B$12*$B$18,0)</x:f>
        <x:v>73500</x:v>
      </x:c>
      <x:c r="AI44" t="n">
        <x:f>((IF(AI$30-$B$8&lt;0,0,$B$22*$B$15*INDEX($B$31:$B$51,AI$30-$B$8+1)*$B$5))*(1-$B$9))-IF(AI$30=0,$B$23*(1-$N44),0)-IF(AI$30&gt;0,$B$22*$B$17,0)-IF(AI$30&gt;0,$B$12*$B$18,0)</x:f>
        <x:v>73500</x:v>
      </x:c>
      <x:c r="AJ44" t="n">
        <x:f>((IF(AJ$30-$B$8&lt;0,0,$B$22*$B$15*INDEX($B$31:$B$51,AJ$30-$B$8+1)*$B$5))*(1-$B$9))-IF(AJ$30=0,$B$23*(1-$N44),0)-IF(AJ$30&gt;0,$B$22*$B$17,0)-IF(AJ$30&gt;0,$B$12*$B$18,0)</x:f>
        <x:v>73500</x:v>
      </x:c>
      <x:c r="AK44" t="n">
        <x:f>((IF(AK$30-$B$8&lt;0,0,$B$22*$B$15*INDEX($B$31:$B$51,AK$30-$B$8+1)*$B$5))*(1-$B$9))-IF(AK$30=0,$B$23*(1-$N44),0)-IF(AK$30&gt;0,$B$22*$B$17,0)-IF(AK$30&gt;0,$B$12*$B$18,0)</x:f>
        <x:v>73500</x:v>
      </x:c>
    </x:row>
    <x:row r="45">
      <x:c r="A45" s="51" t="n">
        <x:v>14</x:v>
      </x:c>
      <x:c r="B45" s="55" t="n">
        <x:v>1</x:v>
      </x:c>
      <x:c r="C45" s="58" t="n">
        <x:f>$B$22*$B$15*B45</x:f>
        <x:v>1500</x:v>
      </x:c>
      <x:c r="D45" s="58" t="n">
        <x:f>C45*$B$5</x:f>
        <x:v>120000</x:v>
      </x:c>
      <x:c r="E45" s="58" t="n">
        <x:f>IF(A45-$B$8&lt;0,0,INDEX($D$31:$D$51,A45-$B$8+1))</x:f>
        <x:v>120000</x:v>
      </x:c>
      <x:c r="F45" s="58" t="n">
        <x:f>E45*$B$9</x:f>
        <x:v>24000</x:v>
      </x:c>
      <x:c r="G45" s="58" t="n">
        <x:f>E45-F45</x:f>
        <x:v>96000</x:v>
      </x:c>
      <x:c r="H45" s="58" t="n">
        <x:f>IF(A45=0,$B$23*(1-$B$10),0)</x:f>
        <x:v>0</x:v>
      </x:c>
      <x:c r="I45" s="58" t="n">
        <x:f>IF(A45&gt;0,$B$22*$B$17,0)</x:f>
        <x:v>13500</x:v>
      </x:c>
      <x:c r="J45" s="58" t="n">
        <x:f>IF(A45&gt;0,$B$12*$B$18,0)</x:f>
        <x:v>9000</x:v>
      </x:c>
      <x:c r="K45" s="58" t="n">
        <x:f>G45-H45-I45-J45</x:f>
        <x:v>73500</x:v>
      </x:c>
      <x:c r="N45" s="18" t="n">
        <x:v>0.7</x:v>
      </x:c>
      <x:c r="O45" s="59" t="n">
        <x:f>IFERROR(IRR(Q45:AK45),"")</x:f>
        <x:v>0.14749377313623263</x:v>
      </x:c>
      <x:c r="P45" s="88" t="b">
        <x:f>IF(O45="","",O45&gt;=$B$7)</x:f>
        <x:v>0</x:v>
      </x:c>
      <x:c r="Q45" t="n">
        <x:f>((IF(Q$30-$B$8&lt;0,0,$B$22*$B$15*INDEX($B$31:$B$51,Q$30-$B$8+1)*$B$5))*(1-$B$9))-IF(Q$30=0,$B$23*(1-$N45),0)-IF(Q$30&gt;0,$B$22*$B$17,0)-IF(Q$30&gt;0,$B$12*$B$18,0)</x:f>
        <x:v>-45000.00000000001</x:v>
      </x:c>
      <x:c r="R45" t="n">
        <x:f>((IF(R$30-$B$8&lt;0,0,$B$22*$B$15*INDEX($B$31:$B$51,R$30-$B$8+1)*$B$5))*(1-$B$9))-IF(R$30=0,$B$23*(1-$N45),0)-IF(R$30&gt;0,$B$22*$B$17,0)-IF(R$30&gt;0,$B$12*$B$18,0)</x:f>
        <x:v>-22500</x:v>
      </x:c>
      <x:c r="S45" t="n">
        <x:f>((IF(S$30-$B$8&lt;0,0,$B$22*$B$15*INDEX($B$31:$B$51,S$30-$B$8+1)*$B$5))*(1-$B$9))-IF(S$30=0,$B$23*(1-$N45),0)-IF(S$30&gt;0,$B$22*$B$17,0)-IF(S$30&gt;0,$B$12*$B$18,0)</x:f>
        <x:v>-22500</x:v>
      </x:c>
      <x:c r="T45" t="n">
        <x:f>((IF(T$30-$B$8&lt;0,0,$B$22*$B$15*INDEX($B$31:$B$51,T$30-$B$8+1)*$B$5))*(1-$B$9))-IF(T$30=0,$B$23*(1-$N45),0)-IF(T$30&gt;0,$B$22*$B$17,0)-IF(T$30&gt;0,$B$12*$B$18,0)</x:f>
        <x:v>-20580</x:v>
      </x:c>
      <x:c r="U45" t="n">
        <x:f>((IF(U$30-$B$8&lt;0,0,$B$22*$B$15*INDEX($B$31:$B$51,U$30-$B$8+1)*$B$5))*(1-$B$9))-IF(U$30=0,$B$23*(1-$N45),0)-IF(U$30&gt;0,$B$22*$B$17,0)-IF(U$30&gt;0,$B$12*$B$18,0)</x:f>
        <x:v>-17700</x:v>
      </x:c>
      <x:c r="V45" t="n">
        <x:f>((IF(V$30-$B$8&lt;0,0,$B$22*$B$15*INDEX($B$31:$B$51,V$30-$B$8+1)*$B$5))*(1-$B$9))-IF(V$30=0,$B$23*(1-$N45),0)-IF(V$30&gt;0,$B$22*$B$17,0)-IF(V$30&gt;0,$B$12*$B$18,0)</x:f>
        <x:v>-12900</x:v>
      </x:c>
      <x:c r="W45" t="n">
        <x:f>((IF(W$30-$B$8&lt;0,0,$B$22*$B$15*INDEX($B$31:$B$51,W$30-$B$8+1)*$B$5))*(1-$B$9))-IF(W$30=0,$B$23*(1-$N45),0)-IF(W$30&gt;0,$B$22*$B$17,0)-IF(W$30&gt;0,$B$12*$B$18,0)</x:f>
        <x:v>-5220</x:v>
      </x:c>
      <x:c r="X45" t="n">
        <x:f>((IF(X$30-$B$8&lt;0,0,$B$22*$B$15*INDEX($B$31:$B$51,X$30-$B$8+1)*$B$5))*(1-$B$9))-IF(X$30=0,$B$23*(1-$N45),0)-IF(X$30&gt;0,$B$22*$B$17,0)-IF(X$30&gt;0,$B$12*$B$18,0)</x:f>
        <x:v>4380.000000000007</x:v>
      </x:c>
      <x:c r="Y45" t="n">
        <x:f>((IF(Y$30-$B$8&lt;0,0,$B$22*$B$15*INDEX($B$31:$B$51,Y$30-$B$8+1)*$B$5))*(1-$B$9))-IF(Y$30=0,$B$23*(1-$N45),0)-IF(Y$30&gt;0,$B$22*$B$17,0)-IF(Y$30&gt;0,$B$12*$B$18,0)</x:f>
        <x:v>15900</x:v>
      </x:c>
      <x:c r="Z45" t="n">
        <x:f>((IF(Z$30-$B$8&lt;0,0,$B$22*$B$15*INDEX($B$31:$B$51,Z$30-$B$8+1)*$B$5))*(1-$B$9))-IF(Z$30=0,$B$23*(1-$N45),0)-IF(Z$30&gt;0,$B$22*$B$17,0)-IF(Z$30&gt;0,$B$12*$B$18,0)</x:f>
        <x:v>29340</x:v>
      </x:c>
      <x:c r="AA45" t="n">
        <x:f>((IF(AA$30-$B$8&lt;0,0,$B$22*$B$15*INDEX($B$31:$B$51,AA$30-$B$8+1)*$B$5))*(1-$B$9))-IF(AA$30=0,$B$23*(1-$N45),0)-IF(AA$30&gt;0,$B$22*$B$17,0)-IF(AA$30&gt;0,$B$12*$B$18,0)</x:f>
        <x:v>42780.000000000015</x:v>
      </x:c>
      <x:c r="AB45" t="n">
        <x:f>((IF(AB$30-$B$8&lt;0,0,$B$22*$B$15*INDEX($B$31:$B$51,AB$30-$B$8+1)*$B$5))*(1-$B$9))-IF(AB$30=0,$B$23*(1-$N45),0)-IF(AB$30&gt;0,$B$22*$B$17,0)-IF(AB$30&gt;0,$B$12*$B$18,0)</x:f>
        <x:v>54300</x:v>
      </x:c>
      <x:c r="AC45" t="n">
        <x:f>((IF(AC$30-$B$8&lt;0,0,$B$22*$B$15*INDEX($B$31:$B$51,AC$30-$B$8+1)*$B$5))*(1-$B$9))-IF(AC$30=0,$B$23*(1-$N45),0)-IF(AC$30&gt;0,$B$22*$B$17,0)-IF(AC$30&gt;0,$B$12*$B$18,0)</x:f>
        <x:v>63900</x:v>
      </x:c>
      <x:c r="AD45" t="n">
        <x:f>((IF(AD$30-$B$8&lt;0,0,$B$22*$B$15*INDEX($B$31:$B$51,AD$30-$B$8+1)*$B$5))*(1-$B$9))-IF(AD$30=0,$B$23*(1-$N45),0)-IF(AD$30&gt;0,$B$22*$B$17,0)-IF(AD$30&gt;0,$B$12*$B$18,0)</x:f>
        <x:v>73500</x:v>
      </x:c>
      <x:c r="AE45" t="n">
        <x:f>((IF(AE$30-$B$8&lt;0,0,$B$22*$B$15*INDEX($B$31:$B$51,AE$30-$B$8+1)*$B$5))*(1-$B$9))-IF(AE$30=0,$B$23*(1-$N45),0)-IF(AE$30&gt;0,$B$22*$B$17,0)-IF(AE$30&gt;0,$B$12*$B$18,0)</x:f>
        <x:v>73500</x:v>
      </x:c>
      <x:c r="AF45" t="n">
        <x:f>((IF(AF$30-$B$8&lt;0,0,$B$22*$B$15*INDEX($B$31:$B$51,AF$30-$B$8+1)*$B$5))*(1-$B$9))-IF(AF$30=0,$B$23*(1-$N45),0)-IF(AF$30&gt;0,$B$22*$B$17,0)-IF(AF$30&gt;0,$B$12*$B$18,0)</x:f>
        <x:v>73500</x:v>
      </x:c>
      <x:c r="AG45" t="n">
        <x:f>((IF(AG$30-$B$8&lt;0,0,$B$22*$B$15*INDEX($B$31:$B$51,AG$30-$B$8+1)*$B$5))*(1-$B$9))-IF(AG$30=0,$B$23*(1-$N45),0)-IF(AG$30&gt;0,$B$22*$B$17,0)-IF(AG$30&gt;0,$B$12*$B$18,0)</x:f>
        <x:v>73500</x:v>
      </x:c>
      <x:c r="AH45" t="n">
        <x:f>((IF(AH$30-$B$8&lt;0,0,$B$22*$B$15*INDEX($B$31:$B$51,AH$30-$B$8+1)*$B$5))*(1-$B$9))-IF(AH$30=0,$B$23*(1-$N45),0)-IF(AH$30&gt;0,$B$22*$B$17,0)-IF(AH$30&gt;0,$B$12*$B$18,0)</x:f>
        <x:v>73500</x:v>
      </x:c>
      <x:c r="AI45" t="n">
        <x:f>((IF(AI$30-$B$8&lt;0,0,$B$22*$B$15*INDEX($B$31:$B$51,AI$30-$B$8+1)*$B$5))*(1-$B$9))-IF(AI$30=0,$B$23*(1-$N45),0)-IF(AI$30&gt;0,$B$22*$B$17,0)-IF(AI$30&gt;0,$B$12*$B$18,0)</x:f>
        <x:v>73500</x:v>
      </x:c>
      <x:c r="AJ45" t="n">
        <x:f>((IF(AJ$30-$B$8&lt;0,0,$B$22*$B$15*INDEX($B$31:$B$51,AJ$30-$B$8+1)*$B$5))*(1-$B$9))-IF(AJ$30=0,$B$23*(1-$N45),0)-IF(AJ$30&gt;0,$B$22*$B$17,0)-IF(AJ$30&gt;0,$B$12*$B$18,0)</x:f>
        <x:v>73500</x:v>
      </x:c>
      <x:c r="AK45" t="n">
        <x:f>((IF(AK$30-$B$8&lt;0,0,$B$22*$B$15*INDEX($B$31:$B$51,AK$30-$B$8+1)*$B$5))*(1-$B$9))-IF(AK$30=0,$B$23*(1-$N45),0)-IF(AK$30&gt;0,$B$22*$B$17,0)-IF(AK$30&gt;0,$B$12*$B$18,0)</x:f>
        <x:v>73500</x:v>
      </x:c>
    </x:row>
    <x:row r="46">
      <x:c r="A46" s="51" t="n">
        <x:v>15</x:v>
      </x:c>
      <x:c r="B46" s="55" t="n">
        <x:v>1</x:v>
      </x:c>
      <x:c r="C46" s="58" t="n">
        <x:f>$B$22*$B$15*B46</x:f>
        <x:v>1500</x:v>
      </x:c>
      <x:c r="D46" s="58" t="n">
        <x:f>C46*$B$5</x:f>
        <x:v>120000</x:v>
      </x:c>
      <x:c r="E46" s="58" t="n">
        <x:f>IF(A46-$B$8&lt;0,0,INDEX($D$31:$D$51,A46-$B$8+1))</x:f>
        <x:v>120000</x:v>
      </x:c>
      <x:c r="F46" s="58" t="n">
        <x:f>E46*$B$9</x:f>
        <x:v>24000</x:v>
      </x:c>
      <x:c r="G46" s="58" t="n">
        <x:f>E46-F46</x:f>
        <x:v>96000</x:v>
      </x:c>
      <x:c r="H46" s="58" t="n">
        <x:f>IF(A46=0,$B$23*(1-$B$10),0)</x:f>
        <x:v>0</x:v>
      </x:c>
      <x:c r="I46" s="58" t="n">
        <x:f>IF(A46&gt;0,$B$22*$B$17,0)</x:f>
        <x:v>13500</x:v>
      </x:c>
      <x:c r="J46" s="58" t="n">
        <x:f>IF(A46&gt;0,$B$12*$B$18,0)</x:f>
        <x:v>9000</x:v>
      </x:c>
      <x:c r="K46" s="58" t="n">
        <x:f>G46-H46-I46-J46</x:f>
        <x:v>73500</x:v>
      </x:c>
      <x:c r="N46" s="18" t="n">
        <x:v>0.75</x:v>
      </x:c>
      <x:c r="O46" s="59" t="n">
        <x:f>IFERROR(IRR(Q46:AK46),"")</x:f>
        <x:v>0.15421769751547282</x:v>
      </x:c>
      <x:c r="P46" s="88" t="b">
        <x:f>IF(O46="","",O46&gt;=$B$7)</x:f>
        <x:v>1</x:v>
      </x:c>
      <x:c r="Q46" t="n">
        <x:f>((IF(Q$30-$B$8&lt;0,0,$B$22*$B$15*INDEX($B$31:$B$51,Q$30-$B$8+1)*$B$5))*(1-$B$9))-IF(Q$30=0,$B$23*(1-$N46),0)-IF(Q$30&gt;0,$B$22*$B$17,0)-IF(Q$30&gt;0,$B$12*$B$18,0)</x:f>
        <x:v>-37500</x:v>
      </x:c>
      <x:c r="R46" t="n">
        <x:f>((IF(R$30-$B$8&lt;0,0,$B$22*$B$15*INDEX($B$31:$B$51,R$30-$B$8+1)*$B$5))*(1-$B$9))-IF(R$30=0,$B$23*(1-$N46),0)-IF(R$30&gt;0,$B$22*$B$17,0)-IF(R$30&gt;0,$B$12*$B$18,0)</x:f>
        <x:v>-22500</x:v>
      </x:c>
      <x:c r="S46" t="n">
        <x:f>((IF(S$30-$B$8&lt;0,0,$B$22*$B$15*INDEX($B$31:$B$51,S$30-$B$8+1)*$B$5))*(1-$B$9))-IF(S$30=0,$B$23*(1-$N46),0)-IF(S$30&gt;0,$B$22*$B$17,0)-IF(S$30&gt;0,$B$12*$B$18,0)</x:f>
        <x:v>-22500</x:v>
      </x:c>
      <x:c r="T46" t="n">
        <x:f>((IF(T$30-$B$8&lt;0,0,$B$22*$B$15*INDEX($B$31:$B$51,T$30-$B$8+1)*$B$5))*(1-$B$9))-IF(T$30=0,$B$23*(1-$N46),0)-IF(T$30&gt;0,$B$22*$B$17,0)-IF(T$30&gt;0,$B$12*$B$18,0)</x:f>
        <x:v>-20580</x:v>
      </x:c>
      <x:c r="U46" t="n">
        <x:f>((IF(U$30-$B$8&lt;0,0,$B$22*$B$15*INDEX($B$31:$B$51,U$30-$B$8+1)*$B$5))*(1-$B$9))-IF(U$30=0,$B$23*(1-$N46),0)-IF(U$30&gt;0,$B$22*$B$17,0)-IF(U$30&gt;0,$B$12*$B$18,0)</x:f>
        <x:v>-17700</x:v>
      </x:c>
      <x:c r="V46" t="n">
        <x:f>((IF(V$30-$B$8&lt;0,0,$B$22*$B$15*INDEX($B$31:$B$51,V$30-$B$8+1)*$B$5))*(1-$B$9))-IF(V$30=0,$B$23*(1-$N46),0)-IF(V$30&gt;0,$B$22*$B$17,0)-IF(V$30&gt;0,$B$12*$B$18,0)</x:f>
        <x:v>-12900</x:v>
      </x:c>
      <x:c r="W46" t="n">
        <x:f>((IF(W$30-$B$8&lt;0,0,$B$22*$B$15*INDEX($B$31:$B$51,W$30-$B$8+1)*$B$5))*(1-$B$9))-IF(W$30=0,$B$23*(1-$N46),0)-IF(W$30&gt;0,$B$22*$B$17,0)-IF(W$30&gt;0,$B$12*$B$18,0)</x:f>
        <x:v>-5220</x:v>
      </x:c>
      <x:c r="X46" t="n">
        <x:f>((IF(X$30-$B$8&lt;0,0,$B$22*$B$15*INDEX($B$31:$B$51,X$30-$B$8+1)*$B$5))*(1-$B$9))-IF(X$30=0,$B$23*(1-$N46),0)-IF(X$30&gt;0,$B$22*$B$17,0)-IF(X$30&gt;0,$B$12*$B$18,0)</x:f>
        <x:v>4380.000000000007</x:v>
      </x:c>
      <x:c r="Y46" t="n">
        <x:f>((IF(Y$30-$B$8&lt;0,0,$B$22*$B$15*INDEX($B$31:$B$51,Y$30-$B$8+1)*$B$5))*(1-$B$9))-IF(Y$30=0,$B$23*(1-$N46),0)-IF(Y$30&gt;0,$B$22*$B$17,0)-IF(Y$30&gt;0,$B$12*$B$18,0)</x:f>
        <x:v>15900</x:v>
      </x:c>
      <x:c r="Z46" t="n">
        <x:f>((IF(Z$30-$B$8&lt;0,0,$B$22*$B$15*INDEX($B$31:$B$51,Z$30-$B$8+1)*$B$5))*(1-$B$9))-IF(Z$30=0,$B$23*(1-$N46),0)-IF(Z$30&gt;0,$B$22*$B$17,0)-IF(Z$30&gt;0,$B$12*$B$18,0)</x:f>
        <x:v>29340</x:v>
      </x:c>
      <x:c r="AA46" t="n">
        <x:f>((IF(AA$30-$B$8&lt;0,0,$B$22*$B$15*INDEX($B$31:$B$51,AA$30-$B$8+1)*$B$5))*(1-$B$9))-IF(AA$30=0,$B$23*(1-$N46),0)-IF(AA$30&gt;0,$B$22*$B$17,0)-IF(AA$30&gt;0,$B$12*$B$18,0)</x:f>
        <x:v>42780.000000000015</x:v>
      </x:c>
      <x:c r="AB46" t="n">
        <x:f>((IF(AB$30-$B$8&lt;0,0,$B$22*$B$15*INDEX($B$31:$B$51,AB$30-$B$8+1)*$B$5))*(1-$B$9))-IF(AB$30=0,$B$23*(1-$N46),0)-IF(AB$30&gt;0,$B$22*$B$17,0)-IF(AB$30&gt;0,$B$12*$B$18,0)</x:f>
        <x:v>54300</x:v>
      </x:c>
      <x:c r="AC46" t="n">
        <x:f>((IF(AC$30-$B$8&lt;0,0,$B$22*$B$15*INDEX($B$31:$B$51,AC$30-$B$8+1)*$B$5))*(1-$B$9))-IF(AC$30=0,$B$23*(1-$N46),0)-IF(AC$30&gt;0,$B$22*$B$17,0)-IF(AC$30&gt;0,$B$12*$B$18,0)</x:f>
        <x:v>63900</x:v>
      </x:c>
      <x:c r="AD46" t="n">
        <x:f>((IF(AD$30-$B$8&lt;0,0,$B$22*$B$15*INDEX($B$31:$B$51,AD$30-$B$8+1)*$B$5))*(1-$B$9))-IF(AD$30=0,$B$23*(1-$N46),0)-IF(AD$30&gt;0,$B$22*$B$17,0)-IF(AD$30&gt;0,$B$12*$B$18,0)</x:f>
        <x:v>73500</x:v>
      </x:c>
      <x:c r="AE46" t="n">
        <x:f>((IF(AE$30-$B$8&lt;0,0,$B$22*$B$15*INDEX($B$31:$B$51,AE$30-$B$8+1)*$B$5))*(1-$B$9))-IF(AE$30=0,$B$23*(1-$N46),0)-IF(AE$30&gt;0,$B$22*$B$17,0)-IF(AE$30&gt;0,$B$12*$B$18,0)</x:f>
        <x:v>73500</x:v>
      </x:c>
      <x:c r="AF46" t="n">
        <x:f>((IF(AF$30-$B$8&lt;0,0,$B$22*$B$15*INDEX($B$31:$B$51,AF$30-$B$8+1)*$B$5))*(1-$B$9))-IF(AF$30=0,$B$23*(1-$N46),0)-IF(AF$30&gt;0,$B$22*$B$17,0)-IF(AF$30&gt;0,$B$12*$B$18,0)</x:f>
        <x:v>73500</x:v>
      </x:c>
      <x:c r="AG46" t="n">
        <x:f>((IF(AG$30-$B$8&lt;0,0,$B$22*$B$15*INDEX($B$31:$B$51,AG$30-$B$8+1)*$B$5))*(1-$B$9))-IF(AG$30=0,$B$23*(1-$N46),0)-IF(AG$30&gt;0,$B$22*$B$17,0)-IF(AG$30&gt;0,$B$12*$B$18,0)</x:f>
        <x:v>73500</x:v>
      </x:c>
      <x:c r="AH46" t="n">
        <x:f>((IF(AH$30-$B$8&lt;0,0,$B$22*$B$15*INDEX($B$31:$B$51,AH$30-$B$8+1)*$B$5))*(1-$B$9))-IF(AH$30=0,$B$23*(1-$N46),0)-IF(AH$30&gt;0,$B$22*$B$17,0)-IF(AH$30&gt;0,$B$12*$B$18,0)</x:f>
        <x:v>73500</x:v>
      </x:c>
      <x:c r="AI46" t="n">
        <x:f>((IF(AI$30-$B$8&lt;0,0,$B$22*$B$15*INDEX($B$31:$B$51,AI$30-$B$8+1)*$B$5))*(1-$B$9))-IF(AI$30=0,$B$23*(1-$N46),0)-IF(AI$30&gt;0,$B$22*$B$17,0)-IF(AI$30&gt;0,$B$12*$B$18,0)</x:f>
        <x:v>73500</x:v>
      </x:c>
      <x:c r="AJ46" t="n">
        <x:f>((IF(AJ$30-$B$8&lt;0,0,$B$22*$B$15*INDEX($B$31:$B$51,AJ$30-$B$8+1)*$B$5))*(1-$B$9))-IF(AJ$30=0,$B$23*(1-$N46),0)-IF(AJ$30&gt;0,$B$22*$B$17,0)-IF(AJ$30&gt;0,$B$12*$B$18,0)</x:f>
        <x:v>73500</x:v>
      </x:c>
      <x:c r="AK46" t="n">
        <x:f>((IF(AK$30-$B$8&lt;0,0,$B$22*$B$15*INDEX($B$31:$B$51,AK$30-$B$8+1)*$B$5))*(1-$B$9))-IF(AK$30=0,$B$23*(1-$N46),0)-IF(AK$30&gt;0,$B$22*$B$17,0)-IF(AK$30&gt;0,$B$12*$B$18,0)</x:f>
        <x:v>73500</x:v>
      </x:c>
    </x:row>
    <x:row r="47">
      <x:c r="A47" s="51" t="n">
        <x:v>16</x:v>
      </x:c>
      <x:c r="B47" s="55" t="n">
        <x:v>1</x:v>
      </x:c>
      <x:c r="C47" s="58" t="n">
        <x:f>$B$22*$B$15*B47</x:f>
        <x:v>1500</x:v>
      </x:c>
      <x:c r="D47" s="58" t="n">
        <x:f>C47*$B$5</x:f>
        <x:v>120000</x:v>
      </x:c>
      <x:c r="E47" s="58" t="n">
        <x:f>IF(A47-$B$8&lt;0,0,INDEX($D$31:$D$51,A47-$B$8+1))</x:f>
        <x:v>120000</x:v>
      </x:c>
      <x:c r="F47" s="58" t="n">
        <x:f>E47*$B$9</x:f>
        <x:v>24000</x:v>
      </x:c>
      <x:c r="G47" s="58" t="n">
        <x:f>E47-F47</x:f>
        <x:v>96000</x:v>
      </x:c>
      <x:c r="H47" s="58" t="n">
        <x:f>IF(A47=0,$B$23*(1-$B$10),0)</x:f>
        <x:v>0</x:v>
      </x:c>
      <x:c r="I47" s="58" t="n">
        <x:f>IF(A47&gt;0,$B$22*$B$17,0)</x:f>
        <x:v>13500</x:v>
      </x:c>
      <x:c r="J47" s="58" t="n">
        <x:f>IF(A47&gt;0,$B$12*$B$18,0)</x:f>
        <x:v>9000</x:v>
      </x:c>
      <x:c r="K47" s="58" t="n">
        <x:f>G47-H47-I47-J47</x:f>
        <x:v>73500</x:v>
      </x:c>
      <x:c r="N47" s="18" t="n">
        <x:v>0.8</x:v>
      </x:c>
      <x:c r="O47" s="59" t="n">
        <x:f>IFERROR(IRR(Q47:AK47),"")</x:f>
        <x:v>0.1616658267069473</x:v>
      </x:c>
      <x:c r="P47" s="88" t="b">
        <x:f>IF(O47="","",O47&gt;=$B$7)</x:f>
        <x:v>1</x:v>
      </x:c>
      <x:c r="Q47" t="n">
        <x:f>((IF(Q$30-$B$8&lt;0,0,$B$22*$B$15*INDEX($B$31:$B$51,Q$30-$B$8+1)*$B$5))*(1-$B$9))-IF(Q$30=0,$B$23*(1-$N47),0)-IF(Q$30&gt;0,$B$22*$B$17,0)-IF(Q$30&gt;0,$B$12*$B$18,0)</x:f>
        <x:v>-29999.999999999993</x:v>
      </x:c>
      <x:c r="R47" t="n">
        <x:f>((IF(R$30-$B$8&lt;0,0,$B$22*$B$15*INDEX($B$31:$B$51,R$30-$B$8+1)*$B$5))*(1-$B$9))-IF(R$30=0,$B$23*(1-$N47),0)-IF(R$30&gt;0,$B$22*$B$17,0)-IF(R$30&gt;0,$B$12*$B$18,0)</x:f>
        <x:v>-22500</x:v>
      </x:c>
      <x:c r="S47" t="n">
        <x:f>((IF(S$30-$B$8&lt;0,0,$B$22*$B$15*INDEX($B$31:$B$51,S$30-$B$8+1)*$B$5))*(1-$B$9))-IF(S$30=0,$B$23*(1-$N47),0)-IF(S$30&gt;0,$B$22*$B$17,0)-IF(S$30&gt;0,$B$12*$B$18,0)</x:f>
        <x:v>-22500</x:v>
      </x:c>
      <x:c r="T47" t="n">
        <x:f>((IF(T$30-$B$8&lt;0,0,$B$22*$B$15*INDEX($B$31:$B$51,T$30-$B$8+1)*$B$5))*(1-$B$9))-IF(T$30=0,$B$23*(1-$N47),0)-IF(T$30&gt;0,$B$22*$B$17,0)-IF(T$30&gt;0,$B$12*$B$18,0)</x:f>
        <x:v>-20580</x:v>
      </x:c>
      <x:c r="U47" t="n">
        <x:f>((IF(U$30-$B$8&lt;0,0,$B$22*$B$15*INDEX($B$31:$B$51,U$30-$B$8+1)*$B$5))*(1-$B$9))-IF(U$30=0,$B$23*(1-$N47),0)-IF(U$30&gt;0,$B$22*$B$17,0)-IF(U$30&gt;0,$B$12*$B$18,0)</x:f>
        <x:v>-17700</x:v>
      </x:c>
      <x:c r="V47" t="n">
        <x:f>((IF(V$30-$B$8&lt;0,0,$B$22*$B$15*INDEX($B$31:$B$51,V$30-$B$8+1)*$B$5))*(1-$B$9))-IF(V$30=0,$B$23*(1-$N47),0)-IF(V$30&gt;0,$B$22*$B$17,0)-IF(V$30&gt;0,$B$12*$B$18,0)</x:f>
        <x:v>-12900</x:v>
      </x:c>
      <x:c r="W47" t="n">
        <x:f>((IF(W$30-$B$8&lt;0,0,$B$22*$B$15*INDEX($B$31:$B$51,W$30-$B$8+1)*$B$5))*(1-$B$9))-IF(W$30=0,$B$23*(1-$N47),0)-IF(W$30&gt;0,$B$22*$B$17,0)-IF(W$30&gt;0,$B$12*$B$18,0)</x:f>
        <x:v>-5220</x:v>
      </x:c>
      <x:c r="X47" t="n">
        <x:f>((IF(X$30-$B$8&lt;0,0,$B$22*$B$15*INDEX($B$31:$B$51,X$30-$B$8+1)*$B$5))*(1-$B$9))-IF(X$30=0,$B$23*(1-$N47),0)-IF(X$30&gt;0,$B$22*$B$17,0)-IF(X$30&gt;0,$B$12*$B$18,0)</x:f>
        <x:v>4380.000000000007</x:v>
      </x:c>
      <x:c r="Y47" t="n">
        <x:f>((IF(Y$30-$B$8&lt;0,0,$B$22*$B$15*INDEX($B$31:$B$51,Y$30-$B$8+1)*$B$5))*(1-$B$9))-IF(Y$30=0,$B$23*(1-$N47),0)-IF(Y$30&gt;0,$B$22*$B$17,0)-IF(Y$30&gt;0,$B$12*$B$18,0)</x:f>
        <x:v>15900</x:v>
      </x:c>
      <x:c r="Z47" t="n">
        <x:f>((IF(Z$30-$B$8&lt;0,0,$B$22*$B$15*INDEX($B$31:$B$51,Z$30-$B$8+1)*$B$5))*(1-$B$9))-IF(Z$30=0,$B$23*(1-$N47),0)-IF(Z$30&gt;0,$B$22*$B$17,0)-IF(Z$30&gt;0,$B$12*$B$18,0)</x:f>
        <x:v>29340</x:v>
      </x:c>
      <x:c r="AA47" t="n">
        <x:f>((IF(AA$30-$B$8&lt;0,0,$B$22*$B$15*INDEX($B$31:$B$51,AA$30-$B$8+1)*$B$5))*(1-$B$9))-IF(AA$30=0,$B$23*(1-$N47),0)-IF(AA$30&gt;0,$B$22*$B$17,0)-IF(AA$30&gt;0,$B$12*$B$18,0)</x:f>
        <x:v>42780.000000000015</x:v>
      </x:c>
      <x:c r="AB47" t="n">
        <x:f>((IF(AB$30-$B$8&lt;0,0,$B$22*$B$15*INDEX($B$31:$B$51,AB$30-$B$8+1)*$B$5))*(1-$B$9))-IF(AB$30=0,$B$23*(1-$N47),0)-IF(AB$30&gt;0,$B$22*$B$17,0)-IF(AB$30&gt;0,$B$12*$B$18,0)</x:f>
        <x:v>54300</x:v>
      </x:c>
      <x:c r="AC47" t="n">
        <x:f>((IF(AC$30-$B$8&lt;0,0,$B$22*$B$15*INDEX($B$31:$B$51,AC$30-$B$8+1)*$B$5))*(1-$B$9))-IF(AC$30=0,$B$23*(1-$N47),0)-IF(AC$30&gt;0,$B$22*$B$17,0)-IF(AC$30&gt;0,$B$12*$B$18,0)</x:f>
        <x:v>63900</x:v>
      </x:c>
      <x:c r="AD47" t="n">
        <x:f>((IF(AD$30-$B$8&lt;0,0,$B$22*$B$15*INDEX($B$31:$B$51,AD$30-$B$8+1)*$B$5))*(1-$B$9))-IF(AD$30=0,$B$23*(1-$N47),0)-IF(AD$30&gt;0,$B$22*$B$17,0)-IF(AD$30&gt;0,$B$12*$B$18,0)</x:f>
        <x:v>73500</x:v>
      </x:c>
      <x:c r="AE47" t="n">
        <x:f>((IF(AE$30-$B$8&lt;0,0,$B$22*$B$15*INDEX($B$31:$B$51,AE$30-$B$8+1)*$B$5))*(1-$B$9))-IF(AE$30=0,$B$23*(1-$N47),0)-IF(AE$30&gt;0,$B$22*$B$17,0)-IF(AE$30&gt;0,$B$12*$B$18,0)</x:f>
        <x:v>73500</x:v>
      </x:c>
      <x:c r="AF47" t="n">
        <x:f>((IF(AF$30-$B$8&lt;0,0,$B$22*$B$15*INDEX($B$31:$B$51,AF$30-$B$8+1)*$B$5))*(1-$B$9))-IF(AF$30=0,$B$23*(1-$N47),0)-IF(AF$30&gt;0,$B$22*$B$17,0)-IF(AF$30&gt;0,$B$12*$B$18,0)</x:f>
        <x:v>73500</x:v>
      </x:c>
      <x:c r="AG47" t="n">
        <x:f>((IF(AG$30-$B$8&lt;0,0,$B$22*$B$15*INDEX($B$31:$B$51,AG$30-$B$8+1)*$B$5))*(1-$B$9))-IF(AG$30=0,$B$23*(1-$N47),0)-IF(AG$30&gt;0,$B$22*$B$17,0)-IF(AG$30&gt;0,$B$12*$B$18,0)</x:f>
        <x:v>73500</x:v>
      </x:c>
      <x:c r="AH47" t="n">
        <x:f>((IF(AH$30-$B$8&lt;0,0,$B$22*$B$15*INDEX($B$31:$B$51,AH$30-$B$8+1)*$B$5))*(1-$B$9))-IF(AH$30=0,$B$23*(1-$N47),0)-IF(AH$30&gt;0,$B$22*$B$17,0)-IF(AH$30&gt;0,$B$12*$B$18,0)</x:f>
        <x:v>73500</x:v>
      </x:c>
      <x:c r="AI47" t="n">
        <x:f>((IF(AI$30-$B$8&lt;0,0,$B$22*$B$15*INDEX($B$31:$B$51,AI$30-$B$8+1)*$B$5))*(1-$B$9))-IF(AI$30=0,$B$23*(1-$N47),0)-IF(AI$30&gt;0,$B$22*$B$17,0)-IF(AI$30&gt;0,$B$12*$B$18,0)</x:f>
        <x:v>73500</x:v>
      </x:c>
      <x:c r="AJ47" t="n">
        <x:f>((IF(AJ$30-$B$8&lt;0,0,$B$22*$B$15*INDEX($B$31:$B$51,AJ$30-$B$8+1)*$B$5))*(1-$B$9))-IF(AJ$30=0,$B$23*(1-$N47),0)-IF(AJ$30&gt;0,$B$22*$B$17,0)-IF(AJ$30&gt;0,$B$12*$B$18,0)</x:f>
        <x:v>73500</x:v>
      </x:c>
      <x:c r="AK47" t="n">
        <x:f>((IF(AK$30-$B$8&lt;0,0,$B$22*$B$15*INDEX($B$31:$B$51,AK$30-$B$8+1)*$B$5))*(1-$B$9))-IF(AK$30=0,$B$23*(1-$N47),0)-IF(AK$30&gt;0,$B$22*$B$17,0)-IF(AK$30&gt;0,$B$12*$B$18,0)</x:f>
        <x:v>73500</x:v>
      </x:c>
    </x:row>
    <x:row r="48">
      <x:c r="A48" s="51" t="n">
        <x:v>17</x:v>
      </x:c>
      <x:c r="B48" s="55" t="n">
        <x:v>1</x:v>
      </x:c>
      <x:c r="C48" s="58" t="n">
        <x:f>$B$22*$B$15*B48</x:f>
        <x:v>1500</x:v>
      </x:c>
      <x:c r="D48" s="58" t="n">
        <x:f>C48*$B$5</x:f>
        <x:v>120000</x:v>
      </x:c>
      <x:c r="E48" s="58" t="n">
        <x:f>IF(A48-$B$8&lt;0,0,INDEX($D$31:$D$51,A48-$B$8+1))</x:f>
        <x:v>120000</x:v>
      </x:c>
      <x:c r="F48" s="58" t="n">
        <x:f>E48*$B$9</x:f>
        <x:v>24000</x:v>
      </x:c>
      <x:c r="G48" s="58" t="n">
        <x:f>E48-F48</x:f>
        <x:v>96000</x:v>
      </x:c>
      <x:c r="H48" s="58" t="n">
        <x:f>IF(A48=0,$B$23*(1-$B$10),0)</x:f>
        <x:v>0</x:v>
      </x:c>
      <x:c r="I48" s="58" t="n">
        <x:f>IF(A48&gt;0,$B$22*$B$17,0)</x:f>
        <x:v>13500</x:v>
      </x:c>
      <x:c r="J48" s="58" t="n">
        <x:f>IF(A48&gt;0,$B$12*$B$18,0)</x:f>
        <x:v>9000</x:v>
      </x:c>
      <x:c r="K48" s="58" t="n">
        <x:f>G48-H48-I48-J48</x:f>
        <x:v>73500</x:v>
      </x:c>
      <x:c r="N48" s="18" t="n">
        <x:v>0.85</x:v>
      </x:c>
      <x:c r="O48" s="59" t="n">
        <x:f>IFERROR(IRR(Q48:AK48),"")</x:f>
        <x:v>0.1700095813622109</x:v>
      </x:c>
      <x:c r="P48" s="88" t="b">
        <x:f>IF(O48="","",O48&gt;=$B$7)</x:f>
        <x:v>1</x:v>
      </x:c>
      <x:c r="Q48" t="n">
        <x:f>((IF(Q$30-$B$8&lt;0,0,$B$22*$B$15*INDEX($B$31:$B$51,Q$30-$B$8+1)*$B$5))*(1-$B$9))-IF(Q$30=0,$B$23*(1-$N48),0)-IF(Q$30&gt;0,$B$22*$B$17,0)-IF(Q$30&gt;0,$B$12*$B$18,0)</x:f>
        <x:v>-22500.000000000004</x:v>
      </x:c>
      <x:c r="R48" t="n">
        <x:f>((IF(R$30-$B$8&lt;0,0,$B$22*$B$15*INDEX($B$31:$B$51,R$30-$B$8+1)*$B$5))*(1-$B$9))-IF(R$30=0,$B$23*(1-$N48),0)-IF(R$30&gt;0,$B$22*$B$17,0)-IF(R$30&gt;0,$B$12*$B$18,0)</x:f>
        <x:v>-22500</x:v>
      </x:c>
      <x:c r="S48" t="n">
        <x:f>((IF(S$30-$B$8&lt;0,0,$B$22*$B$15*INDEX($B$31:$B$51,S$30-$B$8+1)*$B$5))*(1-$B$9))-IF(S$30=0,$B$23*(1-$N48),0)-IF(S$30&gt;0,$B$22*$B$17,0)-IF(S$30&gt;0,$B$12*$B$18,0)</x:f>
        <x:v>-22500</x:v>
      </x:c>
      <x:c r="T48" t="n">
        <x:f>((IF(T$30-$B$8&lt;0,0,$B$22*$B$15*INDEX($B$31:$B$51,T$30-$B$8+1)*$B$5))*(1-$B$9))-IF(T$30=0,$B$23*(1-$N48),0)-IF(T$30&gt;0,$B$22*$B$17,0)-IF(T$30&gt;0,$B$12*$B$18,0)</x:f>
        <x:v>-20580</x:v>
      </x:c>
      <x:c r="U48" t="n">
        <x:f>((IF(U$30-$B$8&lt;0,0,$B$22*$B$15*INDEX($B$31:$B$51,U$30-$B$8+1)*$B$5))*(1-$B$9))-IF(U$30=0,$B$23*(1-$N48),0)-IF(U$30&gt;0,$B$22*$B$17,0)-IF(U$30&gt;0,$B$12*$B$18,0)</x:f>
        <x:v>-17700</x:v>
      </x:c>
      <x:c r="V48" t="n">
        <x:f>((IF(V$30-$B$8&lt;0,0,$B$22*$B$15*INDEX($B$31:$B$51,V$30-$B$8+1)*$B$5))*(1-$B$9))-IF(V$30=0,$B$23*(1-$N48),0)-IF(V$30&gt;0,$B$22*$B$17,0)-IF(V$30&gt;0,$B$12*$B$18,0)</x:f>
        <x:v>-12900</x:v>
      </x:c>
      <x:c r="W48" t="n">
        <x:f>((IF(W$30-$B$8&lt;0,0,$B$22*$B$15*INDEX($B$31:$B$51,W$30-$B$8+1)*$B$5))*(1-$B$9))-IF(W$30=0,$B$23*(1-$N48),0)-IF(W$30&gt;0,$B$22*$B$17,0)-IF(W$30&gt;0,$B$12*$B$18,0)</x:f>
        <x:v>-5220</x:v>
      </x:c>
      <x:c r="X48" t="n">
        <x:f>((IF(X$30-$B$8&lt;0,0,$B$22*$B$15*INDEX($B$31:$B$51,X$30-$B$8+1)*$B$5))*(1-$B$9))-IF(X$30=0,$B$23*(1-$N48),0)-IF(X$30&gt;0,$B$22*$B$17,0)-IF(X$30&gt;0,$B$12*$B$18,0)</x:f>
        <x:v>4380.000000000007</x:v>
      </x:c>
      <x:c r="Y48" t="n">
        <x:f>((IF(Y$30-$B$8&lt;0,0,$B$22*$B$15*INDEX($B$31:$B$51,Y$30-$B$8+1)*$B$5))*(1-$B$9))-IF(Y$30=0,$B$23*(1-$N48),0)-IF(Y$30&gt;0,$B$22*$B$17,0)-IF(Y$30&gt;0,$B$12*$B$18,0)</x:f>
        <x:v>15900</x:v>
      </x:c>
      <x:c r="Z48" t="n">
        <x:f>((IF(Z$30-$B$8&lt;0,0,$B$22*$B$15*INDEX($B$31:$B$51,Z$30-$B$8+1)*$B$5))*(1-$B$9))-IF(Z$30=0,$B$23*(1-$N48),0)-IF(Z$30&gt;0,$B$22*$B$17,0)-IF(Z$30&gt;0,$B$12*$B$18,0)</x:f>
        <x:v>29340</x:v>
      </x:c>
      <x:c r="AA48" t="n">
        <x:f>((IF(AA$30-$B$8&lt;0,0,$B$22*$B$15*INDEX($B$31:$B$51,AA$30-$B$8+1)*$B$5))*(1-$B$9))-IF(AA$30=0,$B$23*(1-$N48),0)-IF(AA$30&gt;0,$B$22*$B$17,0)-IF(AA$30&gt;0,$B$12*$B$18,0)</x:f>
        <x:v>42780.000000000015</x:v>
      </x:c>
      <x:c r="AB48" t="n">
        <x:f>((IF(AB$30-$B$8&lt;0,0,$B$22*$B$15*INDEX($B$31:$B$51,AB$30-$B$8+1)*$B$5))*(1-$B$9))-IF(AB$30=0,$B$23*(1-$N48),0)-IF(AB$30&gt;0,$B$22*$B$17,0)-IF(AB$30&gt;0,$B$12*$B$18,0)</x:f>
        <x:v>54300</x:v>
      </x:c>
      <x:c r="AC48" t="n">
        <x:f>((IF(AC$30-$B$8&lt;0,0,$B$22*$B$15*INDEX($B$31:$B$51,AC$30-$B$8+1)*$B$5))*(1-$B$9))-IF(AC$30=0,$B$23*(1-$N48),0)-IF(AC$30&gt;0,$B$22*$B$17,0)-IF(AC$30&gt;0,$B$12*$B$18,0)</x:f>
        <x:v>63900</x:v>
      </x:c>
      <x:c r="AD48" t="n">
        <x:f>((IF(AD$30-$B$8&lt;0,0,$B$22*$B$15*INDEX($B$31:$B$51,AD$30-$B$8+1)*$B$5))*(1-$B$9))-IF(AD$30=0,$B$23*(1-$N48),0)-IF(AD$30&gt;0,$B$22*$B$17,0)-IF(AD$30&gt;0,$B$12*$B$18,0)</x:f>
        <x:v>73500</x:v>
      </x:c>
      <x:c r="AE48" t="n">
        <x:f>((IF(AE$30-$B$8&lt;0,0,$B$22*$B$15*INDEX($B$31:$B$51,AE$30-$B$8+1)*$B$5))*(1-$B$9))-IF(AE$30=0,$B$23*(1-$N48),0)-IF(AE$30&gt;0,$B$22*$B$17,0)-IF(AE$30&gt;0,$B$12*$B$18,0)</x:f>
        <x:v>73500</x:v>
      </x:c>
      <x:c r="AF48" t="n">
        <x:f>((IF(AF$30-$B$8&lt;0,0,$B$22*$B$15*INDEX($B$31:$B$51,AF$30-$B$8+1)*$B$5))*(1-$B$9))-IF(AF$30=0,$B$23*(1-$N48),0)-IF(AF$30&gt;0,$B$22*$B$17,0)-IF(AF$30&gt;0,$B$12*$B$18,0)</x:f>
        <x:v>73500</x:v>
      </x:c>
      <x:c r="AG48" t="n">
        <x:f>((IF(AG$30-$B$8&lt;0,0,$B$22*$B$15*INDEX($B$31:$B$51,AG$30-$B$8+1)*$B$5))*(1-$B$9))-IF(AG$30=0,$B$23*(1-$N48),0)-IF(AG$30&gt;0,$B$22*$B$17,0)-IF(AG$30&gt;0,$B$12*$B$18,0)</x:f>
        <x:v>73500</x:v>
      </x:c>
      <x:c r="AH48" t="n">
        <x:f>((IF(AH$30-$B$8&lt;0,0,$B$22*$B$15*INDEX($B$31:$B$51,AH$30-$B$8+1)*$B$5))*(1-$B$9))-IF(AH$30=0,$B$23*(1-$N48),0)-IF(AH$30&gt;0,$B$22*$B$17,0)-IF(AH$30&gt;0,$B$12*$B$18,0)</x:f>
        <x:v>73500</x:v>
      </x:c>
      <x:c r="AI48" t="n">
        <x:f>((IF(AI$30-$B$8&lt;0,0,$B$22*$B$15*INDEX($B$31:$B$51,AI$30-$B$8+1)*$B$5))*(1-$B$9))-IF(AI$30=0,$B$23*(1-$N48),0)-IF(AI$30&gt;0,$B$22*$B$17,0)-IF(AI$30&gt;0,$B$12*$B$18,0)</x:f>
        <x:v>73500</x:v>
      </x:c>
      <x:c r="AJ48" t="n">
        <x:f>((IF(AJ$30-$B$8&lt;0,0,$B$22*$B$15*INDEX($B$31:$B$51,AJ$30-$B$8+1)*$B$5))*(1-$B$9))-IF(AJ$30=0,$B$23*(1-$N48),0)-IF(AJ$30&gt;0,$B$22*$B$17,0)-IF(AJ$30&gt;0,$B$12*$B$18,0)</x:f>
        <x:v>73500</x:v>
      </x:c>
      <x:c r="AK48" t="n">
        <x:f>((IF(AK$30-$B$8&lt;0,0,$B$22*$B$15*INDEX($B$31:$B$51,AK$30-$B$8+1)*$B$5))*(1-$B$9))-IF(AK$30=0,$B$23*(1-$N48),0)-IF(AK$30&gt;0,$B$22*$B$17,0)-IF(AK$30&gt;0,$B$12*$B$18,0)</x:f>
        <x:v>73500</x:v>
      </x:c>
    </x:row>
    <x:row r="49">
      <x:c r="A49" s="51" t="n">
        <x:v>18</x:v>
      </x:c>
      <x:c r="B49" s="55" t="n">
        <x:v>1</x:v>
      </x:c>
      <x:c r="C49" s="58" t="n">
        <x:f>$B$22*$B$15*B49</x:f>
        <x:v>1500</x:v>
      </x:c>
      <x:c r="D49" s="58" t="n">
        <x:f>C49*$B$5</x:f>
        <x:v>120000</x:v>
      </x:c>
      <x:c r="E49" s="58" t="n">
        <x:f>IF(A49-$B$8&lt;0,0,INDEX($D$31:$D$51,A49-$B$8+1))</x:f>
        <x:v>120000</x:v>
      </x:c>
      <x:c r="F49" s="58" t="n">
        <x:f>E49*$B$9</x:f>
        <x:v>24000</x:v>
      </x:c>
      <x:c r="G49" s="58" t="n">
        <x:f>E49-F49</x:f>
        <x:v>96000</x:v>
      </x:c>
      <x:c r="H49" s="58" t="n">
        <x:f>IF(A49=0,$B$23*(1-$B$10),0)</x:f>
        <x:v>0</x:v>
      </x:c>
      <x:c r="I49" s="58" t="n">
        <x:f>IF(A49&gt;0,$B$22*$B$17,0)</x:f>
        <x:v>13500</x:v>
      </x:c>
      <x:c r="J49" s="58" t="n">
        <x:f>IF(A49&gt;0,$B$12*$B$18,0)</x:f>
        <x:v>9000</x:v>
      </x:c>
      <x:c r="K49" s="58" t="n">
        <x:f>G49-H49-I49-J49</x:f>
        <x:v>73500</x:v>
      </x:c>
      <x:c r="N49" s="18" t="n">
        <x:v>0.9</x:v>
      </x:c>
      <x:c r="O49" s="59" t="n">
        <x:f>IFERROR(IRR(Q49:AK49),"")</x:f>
        <x:v>0.17948989315544006</x:v>
      </x:c>
      <x:c r="P49" s="88" t="b">
        <x:f>IF(O49="","",O49&gt;=$B$7)</x:f>
        <x:v>1</x:v>
      </x:c>
      <x:c r="Q49" t="n">
        <x:f>((IF(Q$30-$B$8&lt;0,0,$B$22*$B$15*INDEX($B$31:$B$51,Q$30-$B$8+1)*$B$5))*(1-$B$9))-IF(Q$30=0,$B$23*(1-$N49),0)-IF(Q$30&gt;0,$B$22*$B$17,0)-IF(Q$30&gt;0,$B$12*$B$18,0)</x:f>
        <x:v>-14999.999999999996</x:v>
      </x:c>
      <x:c r="R49" t="n">
        <x:f>((IF(R$30-$B$8&lt;0,0,$B$22*$B$15*INDEX($B$31:$B$51,R$30-$B$8+1)*$B$5))*(1-$B$9))-IF(R$30=0,$B$23*(1-$N49),0)-IF(R$30&gt;0,$B$22*$B$17,0)-IF(R$30&gt;0,$B$12*$B$18,0)</x:f>
        <x:v>-22500</x:v>
      </x:c>
      <x:c r="S49" t="n">
        <x:f>((IF(S$30-$B$8&lt;0,0,$B$22*$B$15*INDEX($B$31:$B$51,S$30-$B$8+1)*$B$5))*(1-$B$9))-IF(S$30=0,$B$23*(1-$N49),0)-IF(S$30&gt;0,$B$22*$B$17,0)-IF(S$30&gt;0,$B$12*$B$18,0)</x:f>
        <x:v>-22500</x:v>
      </x:c>
      <x:c r="T49" t="n">
        <x:f>((IF(T$30-$B$8&lt;0,0,$B$22*$B$15*INDEX($B$31:$B$51,T$30-$B$8+1)*$B$5))*(1-$B$9))-IF(T$30=0,$B$23*(1-$N49),0)-IF(T$30&gt;0,$B$22*$B$17,0)-IF(T$30&gt;0,$B$12*$B$18,0)</x:f>
        <x:v>-20580</x:v>
      </x:c>
      <x:c r="U49" t="n">
        <x:f>((IF(U$30-$B$8&lt;0,0,$B$22*$B$15*INDEX($B$31:$B$51,U$30-$B$8+1)*$B$5))*(1-$B$9))-IF(U$30=0,$B$23*(1-$N49),0)-IF(U$30&gt;0,$B$22*$B$17,0)-IF(U$30&gt;0,$B$12*$B$18,0)</x:f>
        <x:v>-17700</x:v>
      </x:c>
      <x:c r="V49" t="n">
        <x:f>((IF(V$30-$B$8&lt;0,0,$B$22*$B$15*INDEX($B$31:$B$51,V$30-$B$8+1)*$B$5))*(1-$B$9))-IF(V$30=0,$B$23*(1-$N49),0)-IF(V$30&gt;0,$B$22*$B$17,0)-IF(V$30&gt;0,$B$12*$B$18,0)</x:f>
        <x:v>-12900</x:v>
      </x:c>
      <x:c r="W49" t="n">
        <x:f>((IF(W$30-$B$8&lt;0,0,$B$22*$B$15*INDEX($B$31:$B$51,W$30-$B$8+1)*$B$5))*(1-$B$9))-IF(W$30=0,$B$23*(1-$N49),0)-IF(W$30&gt;0,$B$22*$B$17,0)-IF(W$30&gt;0,$B$12*$B$18,0)</x:f>
        <x:v>-5220</x:v>
      </x:c>
      <x:c r="X49" t="n">
        <x:f>((IF(X$30-$B$8&lt;0,0,$B$22*$B$15*INDEX($B$31:$B$51,X$30-$B$8+1)*$B$5))*(1-$B$9))-IF(X$30=0,$B$23*(1-$N49),0)-IF(X$30&gt;0,$B$22*$B$17,0)-IF(X$30&gt;0,$B$12*$B$18,0)</x:f>
        <x:v>4380.000000000007</x:v>
      </x:c>
      <x:c r="Y49" t="n">
        <x:f>((IF(Y$30-$B$8&lt;0,0,$B$22*$B$15*INDEX($B$31:$B$51,Y$30-$B$8+1)*$B$5))*(1-$B$9))-IF(Y$30=0,$B$23*(1-$N49),0)-IF(Y$30&gt;0,$B$22*$B$17,0)-IF(Y$30&gt;0,$B$12*$B$18,0)</x:f>
        <x:v>15900</x:v>
      </x:c>
      <x:c r="Z49" t="n">
        <x:f>((IF(Z$30-$B$8&lt;0,0,$B$22*$B$15*INDEX($B$31:$B$51,Z$30-$B$8+1)*$B$5))*(1-$B$9))-IF(Z$30=0,$B$23*(1-$N49),0)-IF(Z$30&gt;0,$B$22*$B$17,0)-IF(Z$30&gt;0,$B$12*$B$18,0)</x:f>
        <x:v>29340</x:v>
      </x:c>
      <x:c r="AA49" t="n">
        <x:f>((IF(AA$30-$B$8&lt;0,0,$B$22*$B$15*INDEX($B$31:$B$51,AA$30-$B$8+1)*$B$5))*(1-$B$9))-IF(AA$30=0,$B$23*(1-$N49),0)-IF(AA$30&gt;0,$B$22*$B$17,0)-IF(AA$30&gt;0,$B$12*$B$18,0)</x:f>
        <x:v>42780.000000000015</x:v>
      </x:c>
      <x:c r="AB49" t="n">
        <x:f>((IF(AB$30-$B$8&lt;0,0,$B$22*$B$15*INDEX($B$31:$B$51,AB$30-$B$8+1)*$B$5))*(1-$B$9))-IF(AB$30=0,$B$23*(1-$N49),0)-IF(AB$30&gt;0,$B$22*$B$17,0)-IF(AB$30&gt;0,$B$12*$B$18,0)</x:f>
        <x:v>54300</x:v>
      </x:c>
      <x:c r="AC49" t="n">
        <x:f>((IF(AC$30-$B$8&lt;0,0,$B$22*$B$15*INDEX($B$31:$B$51,AC$30-$B$8+1)*$B$5))*(1-$B$9))-IF(AC$30=0,$B$23*(1-$N49),0)-IF(AC$30&gt;0,$B$22*$B$17,0)-IF(AC$30&gt;0,$B$12*$B$18,0)</x:f>
        <x:v>63900</x:v>
      </x:c>
      <x:c r="AD49" t="n">
        <x:f>((IF(AD$30-$B$8&lt;0,0,$B$22*$B$15*INDEX($B$31:$B$51,AD$30-$B$8+1)*$B$5))*(1-$B$9))-IF(AD$30=0,$B$23*(1-$N49),0)-IF(AD$30&gt;0,$B$22*$B$17,0)-IF(AD$30&gt;0,$B$12*$B$18,0)</x:f>
        <x:v>73500</x:v>
      </x:c>
      <x:c r="AE49" t="n">
        <x:f>((IF(AE$30-$B$8&lt;0,0,$B$22*$B$15*INDEX($B$31:$B$51,AE$30-$B$8+1)*$B$5))*(1-$B$9))-IF(AE$30=0,$B$23*(1-$N49),0)-IF(AE$30&gt;0,$B$22*$B$17,0)-IF(AE$30&gt;0,$B$12*$B$18,0)</x:f>
        <x:v>73500</x:v>
      </x:c>
      <x:c r="AF49" t="n">
        <x:f>((IF(AF$30-$B$8&lt;0,0,$B$22*$B$15*INDEX($B$31:$B$51,AF$30-$B$8+1)*$B$5))*(1-$B$9))-IF(AF$30=0,$B$23*(1-$N49),0)-IF(AF$30&gt;0,$B$22*$B$17,0)-IF(AF$30&gt;0,$B$12*$B$18,0)</x:f>
        <x:v>73500</x:v>
      </x:c>
      <x:c r="AG49" t="n">
        <x:f>((IF(AG$30-$B$8&lt;0,0,$B$22*$B$15*INDEX($B$31:$B$51,AG$30-$B$8+1)*$B$5))*(1-$B$9))-IF(AG$30=0,$B$23*(1-$N49),0)-IF(AG$30&gt;0,$B$22*$B$17,0)-IF(AG$30&gt;0,$B$12*$B$18,0)</x:f>
        <x:v>73500</x:v>
      </x:c>
      <x:c r="AH49" t="n">
        <x:f>((IF(AH$30-$B$8&lt;0,0,$B$22*$B$15*INDEX($B$31:$B$51,AH$30-$B$8+1)*$B$5))*(1-$B$9))-IF(AH$30=0,$B$23*(1-$N49),0)-IF(AH$30&gt;0,$B$22*$B$17,0)-IF(AH$30&gt;0,$B$12*$B$18,0)</x:f>
        <x:v>73500</x:v>
      </x:c>
      <x:c r="AI49" t="n">
        <x:f>((IF(AI$30-$B$8&lt;0,0,$B$22*$B$15*INDEX($B$31:$B$51,AI$30-$B$8+1)*$B$5))*(1-$B$9))-IF(AI$30=0,$B$23*(1-$N49),0)-IF(AI$30&gt;0,$B$22*$B$17,0)-IF(AI$30&gt;0,$B$12*$B$18,0)</x:f>
        <x:v>73500</x:v>
      </x:c>
      <x:c r="AJ49" t="n">
        <x:f>((IF(AJ$30-$B$8&lt;0,0,$B$22*$B$15*INDEX($B$31:$B$51,AJ$30-$B$8+1)*$B$5))*(1-$B$9))-IF(AJ$30=0,$B$23*(1-$N49),0)-IF(AJ$30&gt;0,$B$22*$B$17,0)-IF(AJ$30&gt;0,$B$12*$B$18,0)</x:f>
        <x:v>73500</x:v>
      </x:c>
      <x:c r="AK49" t="n">
        <x:f>((IF(AK$30-$B$8&lt;0,0,$B$22*$B$15*INDEX($B$31:$B$51,AK$30-$B$8+1)*$B$5))*(1-$B$9))-IF(AK$30=0,$B$23*(1-$N49),0)-IF(AK$30&gt;0,$B$22*$B$17,0)-IF(AK$30&gt;0,$B$12*$B$18,0)</x:f>
        <x:v>73500</x:v>
      </x:c>
    </x:row>
    <x:row r="50">
      <x:c r="A50" s="51" t="n">
        <x:v>19</x:v>
      </x:c>
      <x:c r="B50" s="55" t="n">
        <x:v>1</x:v>
      </x:c>
      <x:c r="C50" s="58" t="n">
        <x:f>$B$22*$B$15*B50</x:f>
        <x:v>1500</x:v>
      </x:c>
      <x:c r="D50" s="58" t="n">
        <x:f>C50*$B$5</x:f>
        <x:v>120000</x:v>
      </x:c>
      <x:c r="E50" s="58" t="n">
        <x:f>IF(A50-$B$8&lt;0,0,INDEX($D$31:$D$51,A50-$B$8+1))</x:f>
        <x:v>120000</x:v>
      </x:c>
      <x:c r="F50" s="58" t="n">
        <x:f>E50*$B$9</x:f>
        <x:v>24000</x:v>
      </x:c>
      <x:c r="G50" s="58" t="n">
        <x:f>E50-F50</x:f>
        <x:v>96000</x:v>
      </x:c>
      <x:c r="H50" s="58" t="n">
        <x:f>IF(A50=0,$B$23*(1-$B$10),0)</x:f>
        <x:v>0</x:v>
      </x:c>
      <x:c r="I50" s="58" t="n">
        <x:f>IF(A50&gt;0,$B$22*$B$17,0)</x:f>
        <x:v>13500</x:v>
      </x:c>
      <x:c r="J50" s="58" t="n">
        <x:f>IF(A50&gt;0,$B$12*$B$18,0)</x:f>
        <x:v>9000</x:v>
      </x:c>
      <x:c r="K50" s="58" t="n">
        <x:f>G50-H50-I50-J50</x:f>
        <x:v>73500</x:v>
      </x:c>
      <x:c r="N50" s="18" t="n">
        <x:v>0.95</x:v>
      </x:c>
      <x:c r="O50" s="59" t="n">
        <x:f>IFERROR(IRR(Q50:AK50),"")</x:f>
        <x:v>0.1904612153629145</x:v>
      </x:c>
      <x:c r="P50" s="88" t="b">
        <x:f>IF(O50="","",O50&gt;=$B$7)</x:f>
        <x:v>1</x:v>
      </x:c>
      <x:c r="Q50" t="n">
        <x:f>((IF(Q$30-$B$8&lt;0,0,$B$22*$B$15*INDEX($B$31:$B$51,Q$30-$B$8+1)*$B$5))*(1-$B$9))-IF(Q$30=0,$B$23*(1-$N50),0)-IF(Q$30&gt;0,$B$22*$B$17,0)-IF(Q$30&gt;0,$B$12*$B$18,0)</x:f>
        <x:v>-7500.000000000006</x:v>
      </x:c>
      <x:c r="R50" t="n">
        <x:f>((IF(R$30-$B$8&lt;0,0,$B$22*$B$15*INDEX($B$31:$B$51,R$30-$B$8+1)*$B$5))*(1-$B$9))-IF(R$30=0,$B$23*(1-$N50),0)-IF(R$30&gt;0,$B$22*$B$17,0)-IF(R$30&gt;0,$B$12*$B$18,0)</x:f>
        <x:v>-22500</x:v>
      </x:c>
      <x:c r="S50" t="n">
        <x:f>((IF(S$30-$B$8&lt;0,0,$B$22*$B$15*INDEX($B$31:$B$51,S$30-$B$8+1)*$B$5))*(1-$B$9))-IF(S$30=0,$B$23*(1-$N50),0)-IF(S$30&gt;0,$B$22*$B$17,0)-IF(S$30&gt;0,$B$12*$B$18,0)</x:f>
        <x:v>-22500</x:v>
      </x:c>
      <x:c r="T50" t="n">
        <x:f>((IF(T$30-$B$8&lt;0,0,$B$22*$B$15*INDEX($B$31:$B$51,T$30-$B$8+1)*$B$5))*(1-$B$9))-IF(T$30=0,$B$23*(1-$N50),0)-IF(T$30&gt;0,$B$22*$B$17,0)-IF(T$30&gt;0,$B$12*$B$18,0)</x:f>
        <x:v>-20580</x:v>
      </x:c>
      <x:c r="U50" t="n">
        <x:f>((IF(U$30-$B$8&lt;0,0,$B$22*$B$15*INDEX($B$31:$B$51,U$30-$B$8+1)*$B$5))*(1-$B$9))-IF(U$30=0,$B$23*(1-$N50),0)-IF(U$30&gt;0,$B$22*$B$17,0)-IF(U$30&gt;0,$B$12*$B$18,0)</x:f>
        <x:v>-17700</x:v>
      </x:c>
      <x:c r="V50" t="n">
        <x:f>((IF(V$30-$B$8&lt;0,0,$B$22*$B$15*INDEX($B$31:$B$51,V$30-$B$8+1)*$B$5))*(1-$B$9))-IF(V$30=0,$B$23*(1-$N50),0)-IF(V$30&gt;0,$B$22*$B$17,0)-IF(V$30&gt;0,$B$12*$B$18,0)</x:f>
        <x:v>-12900</x:v>
      </x:c>
      <x:c r="W50" t="n">
        <x:f>((IF(W$30-$B$8&lt;0,0,$B$22*$B$15*INDEX($B$31:$B$51,W$30-$B$8+1)*$B$5))*(1-$B$9))-IF(W$30=0,$B$23*(1-$N50),0)-IF(W$30&gt;0,$B$22*$B$17,0)-IF(W$30&gt;0,$B$12*$B$18,0)</x:f>
        <x:v>-5220</x:v>
      </x:c>
      <x:c r="X50" t="n">
        <x:f>((IF(X$30-$B$8&lt;0,0,$B$22*$B$15*INDEX($B$31:$B$51,X$30-$B$8+1)*$B$5))*(1-$B$9))-IF(X$30=0,$B$23*(1-$N50),0)-IF(X$30&gt;0,$B$22*$B$17,0)-IF(X$30&gt;0,$B$12*$B$18,0)</x:f>
        <x:v>4380.000000000007</x:v>
      </x:c>
      <x:c r="Y50" t="n">
        <x:f>((IF(Y$30-$B$8&lt;0,0,$B$22*$B$15*INDEX($B$31:$B$51,Y$30-$B$8+1)*$B$5))*(1-$B$9))-IF(Y$30=0,$B$23*(1-$N50),0)-IF(Y$30&gt;0,$B$22*$B$17,0)-IF(Y$30&gt;0,$B$12*$B$18,0)</x:f>
        <x:v>15900</x:v>
      </x:c>
      <x:c r="Z50" t="n">
        <x:f>((IF(Z$30-$B$8&lt;0,0,$B$22*$B$15*INDEX($B$31:$B$51,Z$30-$B$8+1)*$B$5))*(1-$B$9))-IF(Z$30=0,$B$23*(1-$N50),0)-IF(Z$30&gt;0,$B$22*$B$17,0)-IF(Z$30&gt;0,$B$12*$B$18,0)</x:f>
        <x:v>29340</x:v>
      </x:c>
      <x:c r="AA50" t="n">
        <x:f>((IF(AA$30-$B$8&lt;0,0,$B$22*$B$15*INDEX($B$31:$B$51,AA$30-$B$8+1)*$B$5))*(1-$B$9))-IF(AA$30=0,$B$23*(1-$N50),0)-IF(AA$30&gt;0,$B$22*$B$17,0)-IF(AA$30&gt;0,$B$12*$B$18,0)</x:f>
        <x:v>42780.000000000015</x:v>
      </x:c>
      <x:c r="AB50" t="n">
        <x:f>((IF(AB$30-$B$8&lt;0,0,$B$22*$B$15*INDEX($B$31:$B$51,AB$30-$B$8+1)*$B$5))*(1-$B$9))-IF(AB$30=0,$B$23*(1-$N50),0)-IF(AB$30&gt;0,$B$22*$B$17,0)-IF(AB$30&gt;0,$B$12*$B$18,0)</x:f>
        <x:v>54300</x:v>
      </x:c>
      <x:c r="AC50" t="n">
        <x:f>((IF(AC$30-$B$8&lt;0,0,$B$22*$B$15*INDEX($B$31:$B$51,AC$30-$B$8+1)*$B$5))*(1-$B$9))-IF(AC$30=0,$B$23*(1-$N50),0)-IF(AC$30&gt;0,$B$22*$B$17,0)-IF(AC$30&gt;0,$B$12*$B$18,0)</x:f>
        <x:v>63900</x:v>
      </x:c>
      <x:c r="AD50" t="n">
        <x:f>((IF(AD$30-$B$8&lt;0,0,$B$22*$B$15*INDEX($B$31:$B$51,AD$30-$B$8+1)*$B$5))*(1-$B$9))-IF(AD$30=0,$B$23*(1-$N50),0)-IF(AD$30&gt;0,$B$22*$B$17,0)-IF(AD$30&gt;0,$B$12*$B$18,0)</x:f>
        <x:v>73500</x:v>
      </x:c>
      <x:c r="AE50" t="n">
        <x:f>((IF(AE$30-$B$8&lt;0,0,$B$22*$B$15*INDEX($B$31:$B$51,AE$30-$B$8+1)*$B$5))*(1-$B$9))-IF(AE$30=0,$B$23*(1-$N50),0)-IF(AE$30&gt;0,$B$22*$B$17,0)-IF(AE$30&gt;0,$B$12*$B$18,0)</x:f>
        <x:v>73500</x:v>
      </x:c>
      <x:c r="AF50" t="n">
        <x:f>((IF(AF$30-$B$8&lt;0,0,$B$22*$B$15*INDEX($B$31:$B$51,AF$30-$B$8+1)*$B$5))*(1-$B$9))-IF(AF$30=0,$B$23*(1-$N50),0)-IF(AF$30&gt;0,$B$22*$B$17,0)-IF(AF$30&gt;0,$B$12*$B$18,0)</x:f>
        <x:v>73500</x:v>
      </x:c>
      <x:c r="AG50" t="n">
        <x:f>((IF(AG$30-$B$8&lt;0,0,$B$22*$B$15*INDEX($B$31:$B$51,AG$30-$B$8+1)*$B$5))*(1-$B$9))-IF(AG$30=0,$B$23*(1-$N50),0)-IF(AG$30&gt;0,$B$22*$B$17,0)-IF(AG$30&gt;0,$B$12*$B$18,0)</x:f>
        <x:v>73500</x:v>
      </x:c>
      <x:c r="AH50" t="n">
        <x:f>((IF(AH$30-$B$8&lt;0,0,$B$22*$B$15*INDEX($B$31:$B$51,AH$30-$B$8+1)*$B$5))*(1-$B$9))-IF(AH$30=0,$B$23*(1-$N50),0)-IF(AH$30&gt;0,$B$22*$B$17,0)-IF(AH$30&gt;0,$B$12*$B$18,0)</x:f>
        <x:v>73500</x:v>
      </x:c>
      <x:c r="AI50" t="n">
        <x:f>((IF(AI$30-$B$8&lt;0,0,$B$22*$B$15*INDEX($B$31:$B$51,AI$30-$B$8+1)*$B$5))*(1-$B$9))-IF(AI$30=0,$B$23*(1-$N50),0)-IF(AI$30&gt;0,$B$22*$B$17,0)-IF(AI$30&gt;0,$B$12*$B$18,0)</x:f>
        <x:v>73500</x:v>
      </x:c>
      <x:c r="AJ50" t="n">
        <x:f>((IF(AJ$30-$B$8&lt;0,0,$B$22*$B$15*INDEX($B$31:$B$51,AJ$30-$B$8+1)*$B$5))*(1-$B$9))-IF(AJ$30=0,$B$23*(1-$N50),0)-IF(AJ$30&gt;0,$B$22*$B$17,0)-IF(AJ$30&gt;0,$B$12*$B$18,0)</x:f>
        <x:v>73500</x:v>
      </x:c>
      <x:c r="AK50" t="n">
        <x:f>((IF(AK$30-$B$8&lt;0,0,$B$22*$B$15*INDEX($B$31:$B$51,AK$30-$B$8+1)*$B$5))*(1-$B$9))-IF(AK$30=0,$B$23*(1-$N50),0)-IF(AK$30&gt;0,$B$22*$B$17,0)-IF(AK$30&gt;0,$B$12*$B$18,0)</x:f>
        <x:v>73500</x:v>
      </x:c>
    </x:row>
    <x:row r="51">
      <x:c r="A51" s="51" t="n">
        <x:v>20</x:v>
      </x:c>
      <x:c r="B51" s="55" t="n">
        <x:v>1</x:v>
      </x:c>
      <x:c r="C51" s="58" t="n">
        <x:f>$B$22*$B$15*B51</x:f>
        <x:v>1500</x:v>
      </x:c>
      <x:c r="D51" s="58" t="n">
        <x:f>C51*$B$5</x:f>
        <x:v>120000</x:v>
      </x:c>
      <x:c r="E51" s="58" t="n">
        <x:f>IF(A51-$B$8&lt;0,0,INDEX($D$31:$D$51,A51-$B$8+1))</x:f>
        <x:v>120000</x:v>
      </x:c>
      <x:c r="F51" s="58" t="n">
        <x:f>E51*$B$9</x:f>
        <x:v>24000</x:v>
      </x:c>
      <x:c r="G51" s="58" t="n">
        <x:f>E51-F51</x:f>
        <x:v>96000</x:v>
      </x:c>
      <x:c r="H51" s="58" t="n">
        <x:f>IF(A51=0,$B$23*(1-$B$10),0)</x:f>
        <x:v>0</x:v>
      </x:c>
      <x:c r="I51" s="58" t="n">
        <x:f>IF(A51&gt;0,$B$22*$B$17,0)</x:f>
        <x:v>13500</x:v>
      </x:c>
      <x:c r="J51" s="58" t="n">
        <x:f>IF(A51&gt;0,$B$12*$B$18,0)</x:f>
        <x:v>9000</x:v>
      </x:c>
      <x:c r="K51" s="58" t="n">
        <x:f>G51-H51-I51-J51</x:f>
        <x:v>73500</x:v>
      </x:c>
      <x:c r="N51" s="18" t="n">
        <x:v>1</x:v>
      </x:c>
      <x:c r="O51" s="59" t="n">
        <x:f>IFERROR(IRR(Q51:AK51),"")</x:f>
        <x:v>0.20347757745134887</x:v>
      </x:c>
      <x:c r="P51" s="88" t="b">
        <x:f>IF(O51="","",O51&gt;=$B$7)</x:f>
        <x:v>1</x:v>
      </x:c>
      <x:c r="Q51" t="n">
        <x:f>((IF(Q$30-$B$8&lt;0,0,$B$22*$B$15*INDEX($B$31:$B$51,Q$30-$B$8+1)*$B$5))*(1-$B$9))-IF(Q$30=0,$B$23*(1-$N51),0)-IF(Q$30&gt;0,$B$22*$B$17,0)-IF(Q$30&gt;0,$B$12*$B$18,0)</x:f>
        <x:v>0</x:v>
      </x:c>
      <x:c r="R51" t="n">
        <x:f>((IF(R$30-$B$8&lt;0,0,$B$22*$B$15*INDEX($B$31:$B$51,R$30-$B$8+1)*$B$5))*(1-$B$9))-IF(R$30=0,$B$23*(1-$N51),0)-IF(R$30&gt;0,$B$22*$B$17,0)-IF(R$30&gt;0,$B$12*$B$18,0)</x:f>
        <x:v>-22500</x:v>
      </x:c>
      <x:c r="S51" t="n">
        <x:f>((IF(S$30-$B$8&lt;0,0,$B$22*$B$15*INDEX($B$31:$B$51,S$30-$B$8+1)*$B$5))*(1-$B$9))-IF(S$30=0,$B$23*(1-$N51),0)-IF(S$30&gt;0,$B$22*$B$17,0)-IF(S$30&gt;0,$B$12*$B$18,0)</x:f>
        <x:v>-22500</x:v>
      </x:c>
      <x:c r="T51" t="n">
        <x:f>((IF(T$30-$B$8&lt;0,0,$B$22*$B$15*INDEX($B$31:$B$51,T$30-$B$8+1)*$B$5))*(1-$B$9))-IF(T$30=0,$B$23*(1-$N51),0)-IF(T$30&gt;0,$B$22*$B$17,0)-IF(T$30&gt;0,$B$12*$B$18,0)</x:f>
        <x:v>-20580</x:v>
      </x:c>
      <x:c r="U51" t="n">
        <x:f>((IF(U$30-$B$8&lt;0,0,$B$22*$B$15*INDEX($B$31:$B$51,U$30-$B$8+1)*$B$5))*(1-$B$9))-IF(U$30=0,$B$23*(1-$N51),0)-IF(U$30&gt;0,$B$22*$B$17,0)-IF(U$30&gt;0,$B$12*$B$18,0)</x:f>
        <x:v>-17700</x:v>
      </x:c>
      <x:c r="V51" t="n">
        <x:f>((IF(V$30-$B$8&lt;0,0,$B$22*$B$15*INDEX($B$31:$B$51,V$30-$B$8+1)*$B$5))*(1-$B$9))-IF(V$30=0,$B$23*(1-$N51),0)-IF(V$30&gt;0,$B$22*$B$17,0)-IF(V$30&gt;0,$B$12*$B$18,0)</x:f>
        <x:v>-12900</x:v>
      </x:c>
      <x:c r="W51" t="n">
        <x:f>((IF(W$30-$B$8&lt;0,0,$B$22*$B$15*INDEX($B$31:$B$51,W$30-$B$8+1)*$B$5))*(1-$B$9))-IF(W$30=0,$B$23*(1-$N51),0)-IF(W$30&gt;0,$B$22*$B$17,0)-IF(W$30&gt;0,$B$12*$B$18,0)</x:f>
        <x:v>-5220</x:v>
      </x:c>
      <x:c r="X51" t="n">
        <x:f>((IF(X$30-$B$8&lt;0,0,$B$22*$B$15*INDEX($B$31:$B$51,X$30-$B$8+1)*$B$5))*(1-$B$9))-IF(X$30=0,$B$23*(1-$N51),0)-IF(X$30&gt;0,$B$22*$B$17,0)-IF(X$30&gt;0,$B$12*$B$18,0)</x:f>
        <x:v>4380.000000000007</x:v>
      </x:c>
      <x:c r="Y51" t="n">
        <x:f>((IF(Y$30-$B$8&lt;0,0,$B$22*$B$15*INDEX($B$31:$B$51,Y$30-$B$8+1)*$B$5))*(1-$B$9))-IF(Y$30=0,$B$23*(1-$N51),0)-IF(Y$30&gt;0,$B$22*$B$17,0)-IF(Y$30&gt;0,$B$12*$B$18,0)</x:f>
        <x:v>15900</x:v>
      </x:c>
      <x:c r="Z51" t="n">
        <x:f>((IF(Z$30-$B$8&lt;0,0,$B$22*$B$15*INDEX($B$31:$B$51,Z$30-$B$8+1)*$B$5))*(1-$B$9))-IF(Z$30=0,$B$23*(1-$N51),0)-IF(Z$30&gt;0,$B$22*$B$17,0)-IF(Z$30&gt;0,$B$12*$B$18,0)</x:f>
        <x:v>29340</x:v>
      </x:c>
      <x:c r="AA51" t="n">
        <x:f>((IF(AA$30-$B$8&lt;0,0,$B$22*$B$15*INDEX($B$31:$B$51,AA$30-$B$8+1)*$B$5))*(1-$B$9))-IF(AA$30=0,$B$23*(1-$N51),0)-IF(AA$30&gt;0,$B$22*$B$17,0)-IF(AA$30&gt;0,$B$12*$B$18,0)</x:f>
        <x:v>42780.000000000015</x:v>
      </x:c>
      <x:c r="AB51" t="n">
        <x:f>((IF(AB$30-$B$8&lt;0,0,$B$22*$B$15*INDEX($B$31:$B$51,AB$30-$B$8+1)*$B$5))*(1-$B$9))-IF(AB$30=0,$B$23*(1-$N51),0)-IF(AB$30&gt;0,$B$22*$B$17,0)-IF(AB$30&gt;0,$B$12*$B$18,0)</x:f>
        <x:v>54300</x:v>
      </x:c>
      <x:c r="AC51" t="n">
        <x:f>((IF(AC$30-$B$8&lt;0,0,$B$22*$B$15*INDEX($B$31:$B$51,AC$30-$B$8+1)*$B$5))*(1-$B$9))-IF(AC$30=0,$B$23*(1-$N51),0)-IF(AC$30&gt;0,$B$22*$B$17,0)-IF(AC$30&gt;0,$B$12*$B$18,0)</x:f>
        <x:v>63900</x:v>
      </x:c>
      <x:c r="AD51" t="n">
        <x:f>((IF(AD$30-$B$8&lt;0,0,$B$22*$B$15*INDEX($B$31:$B$51,AD$30-$B$8+1)*$B$5))*(1-$B$9))-IF(AD$30=0,$B$23*(1-$N51),0)-IF(AD$30&gt;0,$B$22*$B$17,0)-IF(AD$30&gt;0,$B$12*$B$18,0)</x:f>
        <x:v>73500</x:v>
      </x:c>
      <x:c r="AE51" t="n">
        <x:f>((IF(AE$30-$B$8&lt;0,0,$B$22*$B$15*INDEX($B$31:$B$51,AE$30-$B$8+1)*$B$5))*(1-$B$9))-IF(AE$30=0,$B$23*(1-$N51),0)-IF(AE$30&gt;0,$B$22*$B$17,0)-IF(AE$30&gt;0,$B$12*$B$18,0)</x:f>
        <x:v>73500</x:v>
      </x:c>
      <x:c r="AF51" t="n">
        <x:f>((IF(AF$30-$B$8&lt;0,0,$B$22*$B$15*INDEX($B$31:$B$51,AF$30-$B$8+1)*$B$5))*(1-$B$9))-IF(AF$30=0,$B$23*(1-$N51),0)-IF(AF$30&gt;0,$B$22*$B$17,0)-IF(AF$30&gt;0,$B$12*$B$18,0)</x:f>
        <x:v>73500</x:v>
      </x:c>
      <x:c r="AG51" t="n">
        <x:f>((IF(AG$30-$B$8&lt;0,0,$B$22*$B$15*INDEX($B$31:$B$51,AG$30-$B$8+1)*$B$5))*(1-$B$9))-IF(AG$30=0,$B$23*(1-$N51),0)-IF(AG$30&gt;0,$B$22*$B$17,0)-IF(AG$30&gt;0,$B$12*$B$18,0)</x:f>
        <x:v>73500</x:v>
      </x:c>
      <x:c r="AH51" t="n">
        <x:f>((IF(AH$30-$B$8&lt;0,0,$B$22*$B$15*INDEX($B$31:$B$51,AH$30-$B$8+1)*$B$5))*(1-$B$9))-IF(AH$30=0,$B$23*(1-$N51),0)-IF(AH$30&gt;0,$B$22*$B$17,0)-IF(AH$30&gt;0,$B$12*$B$18,0)</x:f>
        <x:v>73500</x:v>
      </x:c>
      <x:c r="AI51" t="n">
        <x:f>((IF(AI$30-$B$8&lt;0,0,$B$22*$B$15*INDEX($B$31:$B$51,AI$30-$B$8+1)*$B$5))*(1-$B$9))-IF(AI$30=0,$B$23*(1-$N51),0)-IF(AI$30&gt;0,$B$22*$B$17,0)-IF(AI$30&gt;0,$B$12*$B$18,0)</x:f>
        <x:v>73500</x:v>
      </x:c>
      <x:c r="AJ51" t="n">
        <x:f>((IF(AJ$30-$B$8&lt;0,0,$B$22*$B$15*INDEX($B$31:$B$51,AJ$30-$B$8+1)*$B$5))*(1-$B$9))-IF(AJ$30=0,$B$23*(1-$N51),0)-IF(AJ$30&gt;0,$B$22*$B$17,0)-IF(AJ$30&gt;0,$B$12*$B$18,0)</x:f>
        <x:v>73500</x:v>
      </x:c>
      <x:c r="AK51" t="n">
        <x:f>((IF(AK$30-$B$8&lt;0,0,$B$22*$B$15*INDEX($B$31:$B$51,AK$30-$B$8+1)*$B$5))*(1-$B$9))-IF(AK$30=0,$B$23*(1-$N51),0)-IF(AK$30&gt;0,$B$22*$B$17,0)-IF(AK$30&gt;0,$B$12*$B$18,0)</x:f>
        <x:v>73500</x:v>
      </x:c>
    </x:row>
    <x:row r="55">
      <x:c r="A55" s="47" t="str">
        <x:v>Farmer share sensitivity</x:v>
      </x:c>
      <x:c r="B55" s="47"/>
      <x:c r="C55" s="47"/>
      <x:c r="D55" s="47"/>
    </x:row>
    <x:row r="56">
      <x:c r="A56" s="45" t="str">
        <x:v>Farmer share</x:v>
      </x:c>
      <x:c r="B56" s="45" t="str">
        <x:v>IRR with no grant</x:v>
      </x:c>
      <x:c r="C56" s="45" t="str">
        <x:v>Grant needed for target IRR</x:v>
      </x:c>
      <x:c r="D56" s="45" t="str">
        <x:v>Farmer payments</x:v>
      </x:c>
    </x:row>
    <x:row r="57">
      <x:c r="A57" s="18" t="n">
        <x:v>0</x:v>
      </x:c>
      <x:c r="B57" s="59" t="n">
        <x:f>SUMIFS('Mechanics Helper'!$X:$X,'Mechanics Helper'!$A:$A,A57,'Mechanics Helper'!$B:$B,0)</x:f>
        <x:v>0.11909389693926446</x:v>
      </x:c>
      <x:c r="C57" s="59" t="str">
        <x:f>IFERROR(MINIFS('Mechanics Helper'!$B:$B,'Mechanics Helper'!$A:$A,A57,'Mechanics Helper'!$X:$X,"&gt;="&amp;$B$7),"Above 100%")</x:f>
        <x:v>Above 100%</x:v>
      </x:c>
      <x:c r="D57" s="60" t="n">
        <x:f>A57*SUM($E$31:$E$51)</x:f>
        <x:v>0</x:v>
      </x:c>
    </x:row>
    <x:row r="58">
      <x:c r="A58" s="18" t="n">
        <x:v>0.1</x:v>
      </x:c>
      <x:c r="B58" s="59" t="n">
        <x:f>SUMIFS('Mechanics Helper'!$X:$X,'Mechanics Helper'!$A:$A,A58,'Mechanics Helper'!$B:$B,0)</x:f>
        <x:v>0.10554269353604391</x:v>
      </x:c>
      <x:c r="C58" s="59" t="str">
        <x:f>IFERROR(MINIFS('Mechanics Helper'!$B:$B,'Mechanics Helper'!$A:$A,A58,'Mechanics Helper'!$X:$X,"&gt;="&amp;$B$7),"Above 100%")</x:f>
        <x:v>Above 100%</x:v>
      </x:c>
      <x:c r="D58" s="60" t="n">
        <x:f>A58*SUM($E$31:$E$51)</x:f>
        <x:v>143400</x:v>
      </x:c>
    </x:row>
    <x:row r="59">
      <x:c r="A59" s="18" t="n">
        <x:v>0.2</x:v>
      </x:c>
      <x:c r="B59" s="59" t="n">
        <x:f>SUMIFS('Mechanics Helper'!$X:$X,'Mechanics Helper'!$A:$A,A59,'Mechanics Helper'!$B:$B,0)</x:f>
        <x:v>0.09030844574588892</x:v>
      </x:c>
      <x:c r="C59" s="59" t="str">
        <x:f>IFERROR(MINIFS('Mechanics Helper'!$B:$B,'Mechanics Helper'!$A:$A,A59,'Mechanics Helper'!$X:$X,"&gt;="&amp;$B$7),"Above 100%")</x:f>
        <x:v>Above 100%</x:v>
      </x:c>
      <x:c r="D59" s="60" t="n">
        <x:f>A59*SUM($E$31:$E$51)</x:f>
        <x:v>286800</x:v>
      </x:c>
    </x:row>
    <x:row r="60">
      <x:c r="A60" s="18" t="n">
        <x:v>0.3</x:v>
      </x:c>
      <x:c r="B60" s="59" t="n">
        <x:f>SUMIFS('Mechanics Helper'!$X:$X,'Mechanics Helper'!$A:$A,A60,'Mechanics Helper'!$B:$B,0)</x:f>
        <x:v>0.07282807176353144</x:v>
      </x:c>
      <x:c r="C60" s="59" t="str">
        <x:f>IFERROR(MINIFS('Mechanics Helper'!$B:$B,'Mechanics Helper'!$A:$A,A60,'Mechanics Helper'!$X:$X,"&gt;="&amp;$B$7),"Above 100%")</x:f>
        <x:v>Above 100%</x:v>
      </x:c>
      <x:c r="D60" s="60" t="n">
        <x:f>A60*SUM($E$31:$E$51)</x:f>
        <x:v>430200</x:v>
      </x:c>
    </x:row>
    <x:row r="61">
      <x:c r="A61" s="18" t="n">
        <x:v>0.4</x:v>
      </x:c>
      <x:c r="B61" s="59" t="n">
        <x:f>SUMIFS('Mechanics Helper'!$X:$X,'Mechanics Helper'!$A:$A,A61,'Mechanics Helper'!$B:$B,0)</x:f>
        <x:v>0.05218277297796935</x:v>
      </x:c>
      <x:c r="C61" s="59" t="str">
        <x:f>IFERROR(MINIFS('Mechanics Helper'!$B:$B,'Mechanics Helper'!$A:$A,A61,'Mechanics Helper'!$X:$X,"&gt;="&amp;$B$7),"Above 100%")</x:f>
        <x:v>Above 100%</x:v>
      </x:c>
      <x:c r="D61" s="60" t="n">
        <x:f>A61*SUM($E$31:$E$51)</x:f>
        <x:v>573600</x:v>
      </x:c>
    </x:row>
    <x:row r="62">
      <x:c r="A62" s="18" t="n">
        <x:v>0.5</x:v>
      </x:c>
      <x:c r="B62" s="59" t="n">
        <x:f>SUMIFS('Mechanics Helper'!$X:$X,'Mechanics Helper'!$A:$A,A62,'Mechanics Helper'!$B:$B,0)</x:f>
        <x:v>0.026707486748378393</x:v>
      </x:c>
      <x:c r="C62" s="59" t="str">
        <x:f>IFERROR(MINIFS('Mechanics Helper'!$B:$B,'Mechanics Helper'!$A:$A,A62,'Mechanics Helper'!$X:$X,"&gt;="&amp;$B$7),"Above 100%")</x:f>
        <x:v>Above 100%</x:v>
      </x:c>
      <x:c r="D62" s="60" t="n">
        <x:f>A62*SUM($E$31:$E$51)</x:f>
        <x:v>717000</x:v>
      </x:c>
    </x:row>
    <x:row r="63">
      <x:c r="A63" s="18" t="n">
        <x:v>0.6</x:v>
      </x:c>
      <x:c r="B63" s="59" t="n">
        <x:f>SUMIFS('Mechanics Helper'!$X:$X,'Mechanics Helper'!$A:$A,A63,'Mechanics Helper'!$B:$B,0)</x:f>
        <x:v>-0.007159412530088638</x:v>
      </x:c>
      <x:c r="C63" s="59" t="str">
        <x:f>IFERROR(MINIFS('Mechanics Helper'!$B:$B,'Mechanics Helper'!$A:$A,A63,'Mechanics Helper'!$X:$X,"&gt;="&amp;$B$7),"Above 100%")</x:f>
        <x:v>Above 100%</x:v>
      </x:c>
      <x:c r="D63" s="60" t="n">
        <x:f>A63*SUM($E$31:$E$51)</x:f>
        <x:v>860400</x:v>
      </x:c>
    </x:row>
    <x:row r="64">
      <x:c r="A64" s="18" t="n">
        <x:v>0.7</x:v>
      </x:c>
      <x:c r="B64" s="59" t="n">
        <x:f>SUMIFS('Mechanics Helper'!$X:$X,'Mechanics Helper'!$A:$A,A64,'Mechanics Helper'!$B:$B,0)</x:f>
        <x:v>-0.059831812509336404</x:v>
      </x:c>
      <x:c r="C64" s="59" t="str">
        <x:f>IFERROR(MINIFS('Mechanics Helper'!$B:$B,'Mechanics Helper'!$A:$A,A64,'Mechanics Helper'!$X:$X,"&gt;="&amp;$B$7),"Above 100%")</x:f>
        <x:v>Above 100%</x:v>
      </x:c>
      <x:c r="D64" s="60" t="n">
        <x:f>A64*SUM($E$31:$E$51)</x:f>
        <x:v>1003799.9999999999</x:v>
      </x:c>
    </x:row>
    <x:row r="66">
      <x:c r="A66" s="49" t="str">
        <x:v>Note: The active model above is controlled by B9 and B10. This table uses the helper sheet to calculate grant support needed for each farmer-share scenario.</x:v>
      </x:c>
      <x:c r="B66" s="49"/>
      <x:c r="C66" s="49"/>
      <x:c r="D66" s="49"/>
    </x:row>
  </x:sheetData>
  <x:mergeCells>
    <x:mergeCell ref="A1:H1"/>
    <x:mergeCell ref="A2:H2"/>
    <x:mergeCell ref="N29:P29"/>
    <x:mergeCell ref="A55:D55"/>
    <x:mergeCell ref="A66:D66"/>
  </x:mergeCells>
  <x:conditionalFormatting sqref="O31:O51">
    <x:cfRule type="cellIs" dxfId="4" priority="1" operator="greaterThanOrEqual">
      <x:formula>$B$7</x:formula>
    </x:cfRule>
    <x:cfRule type="cellIs" dxfId="5" priority="2" operator="lessThan">
      <x:formula>$B$7</x:formula>
    </x:cfRule>
  </x:conditionalFormatting>
  <x:conditionalFormatting sqref="B57:B64">
    <x:cfRule type="cellIs" dxfId="6" priority="3" operator="greaterThanOrEqual">
      <x:formula>$B$7</x:formula>
    </x:cfRule>
    <x:cfRule type="cellIs" dxfId="7" priority="4" operator="lessThan">
      <x:formula>$B$7</x:formula>
    </x:cfRule>
  </x:conditionalFormatting>
  <x:pageMargins left="0.7" right="0.7" top="0.75" bottom="0.75" header="0.3" footer="0.3"/>
  <x:drawing xmlns:r="http://schemas.openxmlformats.org/officeDocument/2006/relationships" r:id="R015512497d6d4fd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24" max="24" width="1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</x:cols>
  <x:sheetData>
    <x:row r="1">
      <x:c r="A1" s="61" t="str">
        <x:v>Farmer share</x:v>
      </x:c>
      <x:c r="B1" s="61" t="str">
        <x:v>Grant support share</x:v>
      </x:c>
      <x:c r="C1" s="62" t="n">
        <x:v>0</x:v>
      </x:c>
      <x:c r="D1" s="62" t="n">
        <x:v>1</x:v>
      </x:c>
      <x:c r="E1" s="62" t="n">
        <x:v>2</x:v>
      </x:c>
      <x:c r="F1" s="62" t="n">
        <x:v>3</x:v>
      </x:c>
      <x:c r="G1" s="62" t="n">
        <x:v>4</x:v>
      </x:c>
      <x:c r="H1" s="62" t="n">
        <x:v>5</x:v>
      </x:c>
      <x:c r="I1" s="62" t="n">
        <x:v>6</x:v>
      </x:c>
      <x:c r="J1" s="62" t="n">
        <x:v>7</x:v>
      </x:c>
      <x:c r="K1" s="62" t="n">
        <x:v>8</x:v>
      </x:c>
      <x:c r="L1" s="62" t="n">
        <x:v>9</x:v>
      </x:c>
      <x:c r="M1" s="62" t="n">
        <x:v>10</x:v>
      </x:c>
      <x:c r="N1" s="62" t="n">
        <x:v>11</x:v>
      </x:c>
      <x:c r="O1" s="62" t="n">
        <x:v>12</x:v>
      </x:c>
      <x:c r="P1" s="62" t="n">
        <x:v>13</x:v>
      </x:c>
      <x:c r="Q1" s="62" t="n">
        <x:v>14</x:v>
      </x:c>
      <x:c r="R1" s="62" t="n">
        <x:v>15</x:v>
      </x:c>
      <x:c r="S1" s="62" t="n">
        <x:v>16</x:v>
      </x:c>
      <x:c r="T1" s="62" t="n">
        <x:v>17</x:v>
      </x:c>
      <x:c r="U1" s="62" t="n">
        <x:v>18</x:v>
      </x:c>
      <x:c r="V1" s="62" t="n">
        <x:v>19</x:v>
      </x:c>
      <x:c r="W1" s="62" t="n">
        <x:v>20</x:v>
      </x:c>
      <x:c r="X1" s="63" t="str">
        <x:v>IRR</x:v>
      </x:c>
    </x:row>
    <x:row r="2">
      <x:c r="A2" t="n">
        <x:v>0</x:v>
      </x:c>
      <x:c r="B2" t="n">
        <x:v>0</x:v>
      </x:c>
      <x:c r="C2" t="n">
        <x:f>((IF(C$1-'Underlying Mechanics'!$B$8&lt;0,0,'Underlying Mechanics'!$B$22*'Underlying Mechanics'!$B$15*INDEX('Underlying Mechanics'!$B$31:$B$51,C$1-'Underlying Mechanics'!$B$8+1)*'Underlying Mechanics'!$B$5))*(1-$A2))-IF(C$1=0,'Underlying Mechanics'!$B$23*(1-$B2),0)-IF(C$1&gt;0,'Underlying Mechanics'!$B$22*'Underlying Mechanics'!$B$17,0)-IF(C$1&gt;0,'Underlying Mechanics'!$B$12*'Underlying Mechanics'!$B$18,0)</x:f>
        <x:v>-150000</x:v>
      </x:c>
      <x:c r="D2" t="n">
        <x:f>((IF(D$1-'Underlying Mechanics'!$B$8&lt;0,0,'Underlying Mechanics'!$B$22*'Underlying Mechanics'!$B$15*INDEX('Underlying Mechanics'!$B$31:$B$51,D$1-'Underlying Mechanics'!$B$8+1)*'Underlying Mechanics'!$B$5))*(1-$A2))-IF(D$1=0,'Underlying Mechanics'!$B$23*(1-$B2),0)-IF(D$1&gt;0,'Underlying Mechanics'!$B$22*'Underlying Mechanics'!$B$17,0)-IF(D$1&gt;0,'Underlying Mechanics'!$B$12*'Underlying Mechanics'!$B$18,0)</x:f>
        <x:v>-22500</x:v>
      </x:c>
      <x:c r="E2" t="n">
        <x:f>((IF(E$1-'Underlying Mechanics'!$B$8&lt;0,0,'Underlying Mechanics'!$B$22*'Underlying Mechanics'!$B$15*INDEX('Underlying Mechanics'!$B$31:$B$51,E$1-'Underlying Mechanics'!$B$8+1)*'Underlying Mechanics'!$B$5))*(1-$A2))-IF(E$1=0,'Underlying Mechanics'!$B$23*(1-$B2),0)-IF(E$1&gt;0,'Underlying Mechanics'!$B$22*'Underlying Mechanics'!$B$17,0)-IF(E$1&gt;0,'Underlying Mechanics'!$B$12*'Underlying Mechanics'!$B$18,0)</x:f>
        <x:v>-22500</x:v>
      </x:c>
      <x:c r="F2" t="n">
        <x:f>((IF(F$1-'Underlying Mechanics'!$B$8&lt;0,0,'Underlying Mechanics'!$B$22*'Underlying Mechanics'!$B$15*INDEX('Underlying Mechanics'!$B$31:$B$51,F$1-'Underlying Mechanics'!$B$8+1)*'Underlying Mechanics'!$B$5))*(1-$A2))-IF(F$1=0,'Underlying Mechanics'!$B$23*(1-$B2),0)-IF(F$1&gt;0,'Underlying Mechanics'!$B$22*'Underlying Mechanics'!$B$17,0)-IF(F$1&gt;0,'Underlying Mechanics'!$B$12*'Underlying Mechanics'!$B$18,0)</x:f>
        <x:v>-20100</x:v>
      </x:c>
      <x:c r="G2" t="n">
        <x:f>((IF(G$1-'Underlying Mechanics'!$B$8&lt;0,0,'Underlying Mechanics'!$B$22*'Underlying Mechanics'!$B$15*INDEX('Underlying Mechanics'!$B$31:$B$51,G$1-'Underlying Mechanics'!$B$8+1)*'Underlying Mechanics'!$B$5))*(1-$A2))-IF(G$1=0,'Underlying Mechanics'!$B$23*(1-$B2),0)-IF(G$1&gt;0,'Underlying Mechanics'!$B$22*'Underlying Mechanics'!$B$17,0)-IF(G$1&gt;0,'Underlying Mechanics'!$B$12*'Underlying Mechanics'!$B$18,0)</x:f>
        <x:v>-16500</x:v>
      </x:c>
      <x:c r="H2" t="n">
        <x:f>((IF(H$1-'Underlying Mechanics'!$B$8&lt;0,0,'Underlying Mechanics'!$B$22*'Underlying Mechanics'!$B$15*INDEX('Underlying Mechanics'!$B$31:$B$51,H$1-'Underlying Mechanics'!$B$8+1)*'Underlying Mechanics'!$B$5))*(1-$A2))-IF(H$1=0,'Underlying Mechanics'!$B$23*(1-$B2),0)-IF(H$1&gt;0,'Underlying Mechanics'!$B$22*'Underlying Mechanics'!$B$17,0)-IF(H$1&gt;0,'Underlying Mechanics'!$B$12*'Underlying Mechanics'!$B$18,0)</x:f>
        <x:v>-10500</x:v>
      </x:c>
      <x:c r="I2" t="n">
        <x:f>((IF(I$1-'Underlying Mechanics'!$B$8&lt;0,0,'Underlying Mechanics'!$B$22*'Underlying Mechanics'!$B$15*INDEX('Underlying Mechanics'!$B$31:$B$51,I$1-'Underlying Mechanics'!$B$8+1)*'Underlying Mechanics'!$B$5))*(1-$A2))-IF(I$1=0,'Underlying Mechanics'!$B$23*(1-$B2),0)-IF(I$1&gt;0,'Underlying Mechanics'!$B$22*'Underlying Mechanics'!$B$17,0)-IF(I$1&gt;0,'Underlying Mechanics'!$B$12*'Underlying Mechanics'!$B$18,0)</x:f>
        <x:v>-900</x:v>
      </x:c>
      <x:c r="J2" t="n">
        <x:f>((IF(J$1-'Underlying Mechanics'!$B$8&lt;0,0,'Underlying Mechanics'!$B$22*'Underlying Mechanics'!$B$15*INDEX('Underlying Mechanics'!$B$31:$B$51,J$1-'Underlying Mechanics'!$B$8+1)*'Underlying Mechanics'!$B$5))*(1-$A2))-IF(J$1=0,'Underlying Mechanics'!$B$23*(1-$B2),0)-IF(J$1&gt;0,'Underlying Mechanics'!$B$22*'Underlying Mechanics'!$B$17,0)-IF(J$1&gt;0,'Underlying Mechanics'!$B$12*'Underlying Mechanics'!$B$18,0)</x:f>
        <x:v>11100.000000000007</x:v>
      </x:c>
      <x:c r="K2" t="n">
        <x:f>((IF(K$1-'Underlying Mechanics'!$B$8&lt;0,0,'Underlying Mechanics'!$B$22*'Underlying Mechanics'!$B$15*INDEX('Underlying Mechanics'!$B$31:$B$51,K$1-'Underlying Mechanics'!$B$8+1)*'Underlying Mechanics'!$B$5))*(1-$A2))-IF(K$1=0,'Underlying Mechanics'!$B$23*(1-$B2),0)-IF(K$1&gt;0,'Underlying Mechanics'!$B$22*'Underlying Mechanics'!$B$17,0)-IF(K$1&gt;0,'Underlying Mechanics'!$B$12*'Underlying Mechanics'!$B$18,0)</x:f>
        <x:v>25500</x:v>
      </x:c>
      <x:c r="L2" t="n">
        <x:f>((IF(L$1-'Underlying Mechanics'!$B$8&lt;0,0,'Underlying Mechanics'!$B$22*'Underlying Mechanics'!$B$15*INDEX('Underlying Mechanics'!$B$31:$B$51,L$1-'Underlying Mechanics'!$B$8+1)*'Underlying Mechanics'!$B$5))*(1-$A2))-IF(L$1=0,'Underlying Mechanics'!$B$23*(1-$B2),0)-IF(L$1&gt;0,'Underlying Mechanics'!$B$22*'Underlying Mechanics'!$B$17,0)-IF(L$1&gt;0,'Underlying Mechanics'!$B$12*'Underlying Mechanics'!$B$18,0)</x:f>
        <x:v>42300</x:v>
      </x:c>
      <x:c r="M2" t="n">
        <x:f>((IF(M$1-'Underlying Mechanics'!$B$8&lt;0,0,'Underlying Mechanics'!$B$22*'Underlying Mechanics'!$B$15*INDEX('Underlying Mechanics'!$B$31:$B$51,M$1-'Underlying Mechanics'!$B$8+1)*'Underlying Mechanics'!$B$5))*(1-$A2))-IF(M$1=0,'Underlying Mechanics'!$B$23*(1-$B2),0)-IF(M$1&gt;0,'Underlying Mechanics'!$B$22*'Underlying Mechanics'!$B$17,0)-IF(M$1&gt;0,'Underlying Mechanics'!$B$12*'Underlying Mechanics'!$B$18,0)</x:f>
        <x:v>59100.000000000015</x:v>
      </x:c>
      <x:c r="N2" t="n">
        <x:f>((IF(N$1-'Underlying Mechanics'!$B$8&lt;0,0,'Underlying Mechanics'!$B$22*'Underlying Mechanics'!$B$15*INDEX('Underlying Mechanics'!$B$31:$B$51,N$1-'Underlying Mechanics'!$B$8+1)*'Underlying Mechanics'!$B$5))*(1-$A2))-IF(N$1=0,'Underlying Mechanics'!$B$23*(1-$B2),0)-IF(N$1&gt;0,'Underlying Mechanics'!$B$22*'Underlying Mechanics'!$B$17,0)-IF(N$1&gt;0,'Underlying Mechanics'!$B$12*'Underlying Mechanics'!$B$18,0)</x:f>
        <x:v>73500</x:v>
      </x:c>
      <x:c r="O2" t="n">
        <x:f>((IF(O$1-'Underlying Mechanics'!$B$8&lt;0,0,'Underlying Mechanics'!$B$22*'Underlying Mechanics'!$B$15*INDEX('Underlying Mechanics'!$B$31:$B$51,O$1-'Underlying Mechanics'!$B$8+1)*'Underlying Mechanics'!$B$5))*(1-$A2))-IF(O$1=0,'Underlying Mechanics'!$B$23*(1-$B2),0)-IF(O$1&gt;0,'Underlying Mechanics'!$B$22*'Underlying Mechanics'!$B$17,0)-IF(O$1&gt;0,'Underlying Mechanics'!$B$12*'Underlying Mechanics'!$B$18,0)</x:f>
        <x:v>85500</x:v>
      </x:c>
      <x:c r="P2" t="n">
        <x:f>((IF(P$1-'Underlying Mechanics'!$B$8&lt;0,0,'Underlying Mechanics'!$B$22*'Underlying Mechanics'!$B$15*INDEX('Underlying Mechanics'!$B$31:$B$51,P$1-'Underlying Mechanics'!$B$8+1)*'Underlying Mechanics'!$B$5))*(1-$A2))-IF(P$1=0,'Underlying Mechanics'!$B$23*(1-$B2),0)-IF(P$1&gt;0,'Underlying Mechanics'!$B$22*'Underlying Mechanics'!$B$17,0)-IF(P$1&gt;0,'Underlying Mechanics'!$B$12*'Underlying Mechanics'!$B$18,0)</x:f>
        <x:v>97500</x:v>
      </x:c>
      <x:c r="Q2" t="n">
        <x:f>((IF(Q$1-'Underlying Mechanics'!$B$8&lt;0,0,'Underlying Mechanics'!$B$22*'Underlying Mechanics'!$B$15*INDEX('Underlying Mechanics'!$B$31:$B$51,Q$1-'Underlying Mechanics'!$B$8+1)*'Underlying Mechanics'!$B$5))*(1-$A2))-IF(Q$1=0,'Underlying Mechanics'!$B$23*(1-$B2),0)-IF(Q$1&gt;0,'Underlying Mechanics'!$B$22*'Underlying Mechanics'!$B$17,0)-IF(Q$1&gt;0,'Underlying Mechanics'!$B$12*'Underlying Mechanics'!$B$18,0)</x:f>
        <x:v>97500</x:v>
      </x:c>
      <x:c r="R2" t="n">
        <x:f>((IF(R$1-'Underlying Mechanics'!$B$8&lt;0,0,'Underlying Mechanics'!$B$22*'Underlying Mechanics'!$B$15*INDEX('Underlying Mechanics'!$B$31:$B$51,R$1-'Underlying Mechanics'!$B$8+1)*'Underlying Mechanics'!$B$5))*(1-$A2))-IF(R$1=0,'Underlying Mechanics'!$B$23*(1-$B2),0)-IF(R$1&gt;0,'Underlying Mechanics'!$B$22*'Underlying Mechanics'!$B$17,0)-IF(R$1&gt;0,'Underlying Mechanics'!$B$12*'Underlying Mechanics'!$B$18,0)</x:f>
        <x:v>97500</x:v>
      </x:c>
      <x:c r="S2" t="n">
        <x:f>((IF(S$1-'Underlying Mechanics'!$B$8&lt;0,0,'Underlying Mechanics'!$B$22*'Underlying Mechanics'!$B$15*INDEX('Underlying Mechanics'!$B$31:$B$51,S$1-'Underlying Mechanics'!$B$8+1)*'Underlying Mechanics'!$B$5))*(1-$A2))-IF(S$1=0,'Underlying Mechanics'!$B$23*(1-$B2),0)-IF(S$1&gt;0,'Underlying Mechanics'!$B$22*'Underlying Mechanics'!$B$17,0)-IF(S$1&gt;0,'Underlying Mechanics'!$B$12*'Underlying Mechanics'!$B$18,0)</x:f>
        <x:v>97500</x:v>
      </x:c>
      <x:c r="T2" t="n">
        <x:f>((IF(T$1-'Underlying Mechanics'!$B$8&lt;0,0,'Underlying Mechanics'!$B$22*'Underlying Mechanics'!$B$15*INDEX('Underlying Mechanics'!$B$31:$B$51,T$1-'Underlying Mechanics'!$B$8+1)*'Underlying Mechanics'!$B$5))*(1-$A2))-IF(T$1=0,'Underlying Mechanics'!$B$23*(1-$B2),0)-IF(T$1&gt;0,'Underlying Mechanics'!$B$22*'Underlying Mechanics'!$B$17,0)-IF(T$1&gt;0,'Underlying Mechanics'!$B$12*'Underlying Mechanics'!$B$18,0)</x:f>
        <x:v>97500</x:v>
      </x:c>
      <x:c r="U2" t="n">
        <x:f>((IF(U$1-'Underlying Mechanics'!$B$8&lt;0,0,'Underlying Mechanics'!$B$22*'Underlying Mechanics'!$B$15*INDEX('Underlying Mechanics'!$B$31:$B$51,U$1-'Underlying Mechanics'!$B$8+1)*'Underlying Mechanics'!$B$5))*(1-$A2))-IF(U$1=0,'Underlying Mechanics'!$B$23*(1-$B2),0)-IF(U$1&gt;0,'Underlying Mechanics'!$B$22*'Underlying Mechanics'!$B$17,0)-IF(U$1&gt;0,'Underlying Mechanics'!$B$12*'Underlying Mechanics'!$B$18,0)</x:f>
        <x:v>97500</x:v>
      </x:c>
      <x:c r="V2" t="n">
        <x:f>((IF(V$1-'Underlying Mechanics'!$B$8&lt;0,0,'Underlying Mechanics'!$B$22*'Underlying Mechanics'!$B$15*INDEX('Underlying Mechanics'!$B$31:$B$51,V$1-'Underlying Mechanics'!$B$8+1)*'Underlying Mechanics'!$B$5))*(1-$A2))-IF(V$1=0,'Underlying Mechanics'!$B$23*(1-$B2),0)-IF(V$1&gt;0,'Underlying Mechanics'!$B$22*'Underlying Mechanics'!$B$17,0)-IF(V$1&gt;0,'Underlying Mechanics'!$B$12*'Underlying Mechanics'!$B$18,0)</x:f>
        <x:v>97500</x:v>
      </x:c>
      <x:c r="W2" t="n">
        <x:f>((IF(W$1-'Underlying Mechanics'!$B$8&lt;0,0,'Underlying Mechanics'!$B$22*'Underlying Mechanics'!$B$15*INDEX('Underlying Mechanics'!$B$31:$B$51,W$1-'Underlying Mechanics'!$B$8+1)*'Underlying Mechanics'!$B$5))*(1-$A2))-IF(W$1=0,'Underlying Mechanics'!$B$23*(1-$B2),0)-IF(W$1&gt;0,'Underlying Mechanics'!$B$22*'Underlying Mechanics'!$B$17,0)-IF(W$1&gt;0,'Underlying Mechanics'!$B$12*'Underlying Mechanics'!$B$18,0)</x:f>
        <x:v>97500</x:v>
      </x:c>
      <x:c r="X2" t="n">
        <x:f>IFERROR(IRR(C2:W2),-1)</x:f>
        <x:v>0.11909389693926446</x:v>
      </x:c>
    </x:row>
    <x:row r="3">
      <x:c r="A3" t="n">
        <x:v>0</x:v>
      </x:c>
      <x:c r="B3" t="n">
        <x:v>0.05</x:v>
      </x:c>
      <x:c r="C3" t="n">
        <x:f>((IF(C$1-'Underlying Mechanics'!$B$8&lt;0,0,'Underlying Mechanics'!$B$22*'Underlying Mechanics'!$B$15*INDEX('Underlying Mechanics'!$B$31:$B$51,C$1-'Underlying Mechanics'!$B$8+1)*'Underlying Mechanics'!$B$5))*(1-$A3))-IF(C$1=0,'Underlying Mechanics'!$B$23*(1-$B3),0)-IF(C$1&gt;0,'Underlying Mechanics'!$B$22*'Underlying Mechanics'!$B$17,0)-IF(C$1&gt;0,'Underlying Mechanics'!$B$12*'Underlying Mechanics'!$B$18,0)</x:f>
        <x:v>-142500</x:v>
      </x:c>
      <x:c r="D3" t="n">
        <x:f>((IF(D$1-'Underlying Mechanics'!$B$8&lt;0,0,'Underlying Mechanics'!$B$22*'Underlying Mechanics'!$B$15*INDEX('Underlying Mechanics'!$B$31:$B$51,D$1-'Underlying Mechanics'!$B$8+1)*'Underlying Mechanics'!$B$5))*(1-$A3))-IF(D$1=0,'Underlying Mechanics'!$B$23*(1-$B3),0)-IF(D$1&gt;0,'Underlying Mechanics'!$B$22*'Underlying Mechanics'!$B$17,0)-IF(D$1&gt;0,'Underlying Mechanics'!$B$12*'Underlying Mechanics'!$B$18,0)</x:f>
        <x:v>-22500</x:v>
      </x:c>
      <x:c r="E3" t="n">
        <x:f>((IF(E$1-'Underlying Mechanics'!$B$8&lt;0,0,'Underlying Mechanics'!$B$22*'Underlying Mechanics'!$B$15*INDEX('Underlying Mechanics'!$B$31:$B$51,E$1-'Underlying Mechanics'!$B$8+1)*'Underlying Mechanics'!$B$5))*(1-$A3))-IF(E$1=0,'Underlying Mechanics'!$B$23*(1-$B3),0)-IF(E$1&gt;0,'Underlying Mechanics'!$B$22*'Underlying Mechanics'!$B$17,0)-IF(E$1&gt;0,'Underlying Mechanics'!$B$12*'Underlying Mechanics'!$B$18,0)</x:f>
        <x:v>-22500</x:v>
      </x:c>
      <x:c r="F3" t="n">
        <x:f>((IF(F$1-'Underlying Mechanics'!$B$8&lt;0,0,'Underlying Mechanics'!$B$22*'Underlying Mechanics'!$B$15*INDEX('Underlying Mechanics'!$B$31:$B$51,F$1-'Underlying Mechanics'!$B$8+1)*'Underlying Mechanics'!$B$5))*(1-$A3))-IF(F$1=0,'Underlying Mechanics'!$B$23*(1-$B3),0)-IF(F$1&gt;0,'Underlying Mechanics'!$B$22*'Underlying Mechanics'!$B$17,0)-IF(F$1&gt;0,'Underlying Mechanics'!$B$12*'Underlying Mechanics'!$B$18,0)</x:f>
        <x:v>-20100</x:v>
      </x:c>
      <x:c r="G3" t="n">
        <x:f>((IF(G$1-'Underlying Mechanics'!$B$8&lt;0,0,'Underlying Mechanics'!$B$22*'Underlying Mechanics'!$B$15*INDEX('Underlying Mechanics'!$B$31:$B$51,G$1-'Underlying Mechanics'!$B$8+1)*'Underlying Mechanics'!$B$5))*(1-$A3))-IF(G$1=0,'Underlying Mechanics'!$B$23*(1-$B3),0)-IF(G$1&gt;0,'Underlying Mechanics'!$B$22*'Underlying Mechanics'!$B$17,0)-IF(G$1&gt;0,'Underlying Mechanics'!$B$12*'Underlying Mechanics'!$B$18,0)</x:f>
        <x:v>-16500</x:v>
      </x:c>
      <x:c r="H3" t="n">
        <x:f>((IF(H$1-'Underlying Mechanics'!$B$8&lt;0,0,'Underlying Mechanics'!$B$22*'Underlying Mechanics'!$B$15*INDEX('Underlying Mechanics'!$B$31:$B$51,H$1-'Underlying Mechanics'!$B$8+1)*'Underlying Mechanics'!$B$5))*(1-$A3))-IF(H$1=0,'Underlying Mechanics'!$B$23*(1-$B3),0)-IF(H$1&gt;0,'Underlying Mechanics'!$B$22*'Underlying Mechanics'!$B$17,0)-IF(H$1&gt;0,'Underlying Mechanics'!$B$12*'Underlying Mechanics'!$B$18,0)</x:f>
        <x:v>-10500</x:v>
      </x:c>
      <x:c r="I3" t="n">
        <x:f>((IF(I$1-'Underlying Mechanics'!$B$8&lt;0,0,'Underlying Mechanics'!$B$22*'Underlying Mechanics'!$B$15*INDEX('Underlying Mechanics'!$B$31:$B$51,I$1-'Underlying Mechanics'!$B$8+1)*'Underlying Mechanics'!$B$5))*(1-$A3))-IF(I$1=0,'Underlying Mechanics'!$B$23*(1-$B3),0)-IF(I$1&gt;0,'Underlying Mechanics'!$B$22*'Underlying Mechanics'!$B$17,0)-IF(I$1&gt;0,'Underlying Mechanics'!$B$12*'Underlying Mechanics'!$B$18,0)</x:f>
        <x:v>-900</x:v>
      </x:c>
      <x:c r="J3" t="n">
        <x:f>((IF(J$1-'Underlying Mechanics'!$B$8&lt;0,0,'Underlying Mechanics'!$B$22*'Underlying Mechanics'!$B$15*INDEX('Underlying Mechanics'!$B$31:$B$51,J$1-'Underlying Mechanics'!$B$8+1)*'Underlying Mechanics'!$B$5))*(1-$A3))-IF(J$1=0,'Underlying Mechanics'!$B$23*(1-$B3),0)-IF(J$1&gt;0,'Underlying Mechanics'!$B$22*'Underlying Mechanics'!$B$17,0)-IF(J$1&gt;0,'Underlying Mechanics'!$B$12*'Underlying Mechanics'!$B$18,0)</x:f>
        <x:v>11100.000000000007</x:v>
      </x:c>
      <x:c r="K3" t="n">
        <x:f>((IF(K$1-'Underlying Mechanics'!$B$8&lt;0,0,'Underlying Mechanics'!$B$22*'Underlying Mechanics'!$B$15*INDEX('Underlying Mechanics'!$B$31:$B$51,K$1-'Underlying Mechanics'!$B$8+1)*'Underlying Mechanics'!$B$5))*(1-$A3))-IF(K$1=0,'Underlying Mechanics'!$B$23*(1-$B3),0)-IF(K$1&gt;0,'Underlying Mechanics'!$B$22*'Underlying Mechanics'!$B$17,0)-IF(K$1&gt;0,'Underlying Mechanics'!$B$12*'Underlying Mechanics'!$B$18,0)</x:f>
        <x:v>25500</x:v>
      </x:c>
      <x:c r="L3" t="n">
        <x:f>((IF(L$1-'Underlying Mechanics'!$B$8&lt;0,0,'Underlying Mechanics'!$B$22*'Underlying Mechanics'!$B$15*INDEX('Underlying Mechanics'!$B$31:$B$51,L$1-'Underlying Mechanics'!$B$8+1)*'Underlying Mechanics'!$B$5))*(1-$A3))-IF(L$1=0,'Underlying Mechanics'!$B$23*(1-$B3),0)-IF(L$1&gt;0,'Underlying Mechanics'!$B$22*'Underlying Mechanics'!$B$17,0)-IF(L$1&gt;0,'Underlying Mechanics'!$B$12*'Underlying Mechanics'!$B$18,0)</x:f>
        <x:v>42300</x:v>
      </x:c>
      <x:c r="M3" t="n">
        <x:f>((IF(M$1-'Underlying Mechanics'!$B$8&lt;0,0,'Underlying Mechanics'!$B$22*'Underlying Mechanics'!$B$15*INDEX('Underlying Mechanics'!$B$31:$B$51,M$1-'Underlying Mechanics'!$B$8+1)*'Underlying Mechanics'!$B$5))*(1-$A3))-IF(M$1=0,'Underlying Mechanics'!$B$23*(1-$B3),0)-IF(M$1&gt;0,'Underlying Mechanics'!$B$22*'Underlying Mechanics'!$B$17,0)-IF(M$1&gt;0,'Underlying Mechanics'!$B$12*'Underlying Mechanics'!$B$18,0)</x:f>
        <x:v>59100.000000000015</x:v>
      </x:c>
      <x:c r="N3" t="n">
        <x:f>((IF(N$1-'Underlying Mechanics'!$B$8&lt;0,0,'Underlying Mechanics'!$B$22*'Underlying Mechanics'!$B$15*INDEX('Underlying Mechanics'!$B$31:$B$51,N$1-'Underlying Mechanics'!$B$8+1)*'Underlying Mechanics'!$B$5))*(1-$A3))-IF(N$1=0,'Underlying Mechanics'!$B$23*(1-$B3),0)-IF(N$1&gt;0,'Underlying Mechanics'!$B$22*'Underlying Mechanics'!$B$17,0)-IF(N$1&gt;0,'Underlying Mechanics'!$B$12*'Underlying Mechanics'!$B$18,0)</x:f>
        <x:v>73500</x:v>
      </x:c>
      <x:c r="O3" t="n">
        <x:f>((IF(O$1-'Underlying Mechanics'!$B$8&lt;0,0,'Underlying Mechanics'!$B$22*'Underlying Mechanics'!$B$15*INDEX('Underlying Mechanics'!$B$31:$B$51,O$1-'Underlying Mechanics'!$B$8+1)*'Underlying Mechanics'!$B$5))*(1-$A3))-IF(O$1=0,'Underlying Mechanics'!$B$23*(1-$B3),0)-IF(O$1&gt;0,'Underlying Mechanics'!$B$22*'Underlying Mechanics'!$B$17,0)-IF(O$1&gt;0,'Underlying Mechanics'!$B$12*'Underlying Mechanics'!$B$18,0)</x:f>
        <x:v>85500</x:v>
      </x:c>
      <x:c r="P3" t="n">
        <x:f>((IF(P$1-'Underlying Mechanics'!$B$8&lt;0,0,'Underlying Mechanics'!$B$22*'Underlying Mechanics'!$B$15*INDEX('Underlying Mechanics'!$B$31:$B$51,P$1-'Underlying Mechanics'!$B$8+1)*'Underlying Mechanics'!$B$5))*(1-$A3))-IF(P$1=0,'Underlying Mechanics'!$B$23*(1-$B3),0)-IF(P$1&gt;0,'Underlying Mechanics'!$B$22*'Underlying Mechanics'!$B$17,0)-IF(P$1&gt;0,'Underlying Mechanics'!$B$12*'Underlying Mechanics'!$B$18,0)</x:f>
        <x:v>97500</x:v>
      </x:c>
      <x:c r="Q3" t="n">
        <x:f>((IF(Q$1-'Underlying Mechanics'!$B$8&lt;0,0,'Underlying Mechanics'!$B$22*'Underlying Mechanics'!$B$15*INDEX('Underlying Mechanics'!$B$31:$B$51,Q$1-'Underlying Mechanics'!$B$8+1)*'Underlying Mechanics'!$B$5))*(1-$A3))-IF(Q$1=0,'Underlying Mechanics'!$B$23*(1-$B3),0)-IF(Q$1&gt;0,'Underlying Mechanics'!$B$22*'Underlying Mechanics'!$B$17,0)-IF(Q$1&gt;0,'Underlying Mechanics'!$B$12*'Underlying Mechanics'!$B$18,0)</x:f>
        <x:v>97500</x:v>
      </x:c>
      <x:c r="R3" t="n">
        <x:f>((IF(R$1-'Underlying Mechanics'!$B$8&lt;0,0,'Underlying Mechanics'!$B$22*'Underlying Mechanics'!$B$15*INDEX('Underlying Mechanics'!$B$31:$B$51,R$1-'Underlying Mechanics'!$B$8+1)*'Underlying Mechanics'!$B$5))*(1-$A3))-IF(R$1=0,'Underlying Mechanics'!$B$23*(1-$B3),0)-IF(R$1&gt;0,'Underlying Mechanics'!$B$22*'Underlying Mechanics'!$B$17,0)-IF(R$1&gt;0,'Underlying Mechanics'!$B$12*'Underlying Mechanics'!$B$18,0)</x:f>
        <x:v>97500</x:v>
      </x:c>
      <x:c r="S3" t="n">
        <x:f>((IF(S$1-'Underlying Mechanics'!$B$8&lt;0,0,'Underlying Mechanics'!$B$22*'Underlying Mechanics'!$B$15*INDEX('Underlying Mechanics'!$B$31:$B$51,S$1-'Underlying Mechanics'!$B$8+1)*'Underlying Mechanics'!$B$5))*(1-$A3))-IF(S$1=0,'Underlying Mechanics'!$B$23*(1-$B3),0)-IF(S$1&gt;0,'Underlying Mechanics'!$B$22*'Underlying Mechanics'!$B$17,0)-IF(S$1&gt;0,'Underlying Mechanics'!$B$12*'Underlying Mechanics'!$B$18,0)</x:f>
        <x:v>97500</x:v>
      </x:c>
      <x:c r="T3" t="n">
        <x:f>((IF(T$1-'Underlying Mechanics'!$B$8&lt;0,0,'Underlying Mechanics'!$B$22*'Underlying Mechanics'!$B$15*INDEX('Underlying Mechanics'!$B$31:$B$51,T$1-'Underlying Mechanics'!$B$8+1)*'Underlying Mechanics'!$B$5))*(1-$A3))-IF(T$1=0,'Underlying Mechanics'!$B$23*(1-$B3),0)-IF(T$1&gt;0,'Underlying Mechanics'!$B$22*'Underlying Mechanics'!$B$17,0)-IF(T$1&gt;0,'Underlying Mechanics'!$B$12*'Underlying Mechanics'!$B$18,0)</x:f>
        <x:v>97500</x:v>
      </x:c>
      <x:c r="U3" t="n">
        <x:f>((IF(U$1-'Underlying Mechanics'!$B$8&lt;0,0,'Underlying Mechanics'!$B$22*'Underlying Mechanics'!$B$15*INDEX('Underlying Mechanics'!$B$31:$B$51,U$1-'Underlying Mechanics'!$B$8+1)*'Underlying Mechanics'!$B$5))*(1-$A3))-IF(U$1=0,'Underlying Mechanics'!$B$23*(1-$B3),0)-IF(U$1&gt;0,'Underlying Mechanics'!$B$22*'Underlying Mechanics'!$B$17,0)-IF(U$1&gt;0,'Underlying Mechanics'!$B$12*'Underlying Mechanics'!$B$18,0)</x:f>
        <x:v>97500</x:v>
      </x:c>
      <x:c r="V3" t="n">
        <x:f>((IF(V$1-'Underlying Mechanics'!$B$8&lt;0,0,'Underlying Mechanics'!$B$22*'Underlying Mechanics'!$B$15*INDEX('Underlying Mechanics'!$B$31:$B$51,V$1-'Underlying Mechanics'!$B$8+1)*'Underlying Mechanics'!$B$5))*(1-$A3))-IF(V$1=0,'Underlying Mechanics'!$B$23*(1-$B3),0)-IF(V$1&gt;0,'Underlying Mechanics'!$B$22*'Underlying Mechanics'!$B$17,0)-IF(V$1&gt;0,'Underlying Mechanics'!$B$12*'Underlying Mechanics'!$B$18,0)</x:f>
        <x:v>97500</x:v>
      </x:c>
      <x:c r="W3" t="n">
        <x:f>((IF(W$1-'Underlying Mechanics'!$B$8&lt;0,0,'Underlying Mechanics'!$B$22*'Underlying Mechanics'!$B$15*INDEX('Underlying Mechanics'!$B$31:$B$51,W$1-'Underlying Mechanics'!$B$8+1)*'Underlying Mechanics'!$B$5))*(1-$A3))-IF(W$1=0,'Underlying Mechanics'!$B$23*(1-$B3),0)-IF(W$1&gt;0,'Underlying Mechanics'!$B$22*'Underlying Mechanics'!$B$17,0)-IF(W$1&gt;0,'Underlying Mechanics'!$B$12*'Underlying Mechanics'!$B$18,0)</x:f>
        <x:v>97500</x:v>
      </x:c>
      <x:c r="X3" t="n">
        <x:f>IFERROR(IRR(C3:W3),-1)</x:f>
        <x:v>0.12218085207733183</x:v>
      </x:c>
    </x:row>
    <x:row r="4">
      <x:c r="A4" t="n">
        <x:v>0</x:v>
      </x:c>
      <x:c r="B4" t="n">
        <x:v>0.1</x:v>
      </x:c>
      <x:c r="C4" t="n">
        <x:f>((IF(C$1-'Underlying Mechanics'!$B$8&lt;0,0,'Underlying Mechanics'!$B$22*'Underlying Mechanics'!$B$15*INDEX('Underlying Mechanics'!$B$31:$B$51,C$1-'Underlying Mechanics'!$B$8+1)*'Underlying Mechanics'!$B$5))*(1-$A4))-IF(C$1=0,'Underlying Mechanics'!$B$23*(1-$B4),0)-IF(C$1&gt;0,'Underlying Mechanics'!$B$22*'Underlying Mechanics'!$B$17,0)-IF(C$1&gt;0,'Underlying Mechanics'!$B$12*'Underlying Mechanics'!$B$18,0)</x:f>
        <x:v>-135000</x:v>
      </x:c>
      <x:c r="D4" t="n">
        <x:f>((IF(D$1-'Underlying Mechanics'!$B$8&lt;0,0,'Underlying Mechanics'!$B$22*'Underlying Mechanics'!$B$15*INDEX('Underlying Mechanics'!$B$31:$B$51,D$1-'Underlying Mechanics'!$B$8+1)*'Underlying Mechanics'!$B$5))*(1-$A4))-IF(D$1=0,'Underlying Mechanics'!$B$23*(1-$B4),0)-IF(D$1&gt;0,'Underlying Mechanics'!$B$22*'Underlying Mechanics'!$B$17,0)-IF(D$1&gt;0,'Underlying Mechanics'!$B$12*'Underlying Mechanics'!$B$18,0)</x:f>
        <x:v>-22500</x:v>
      </x:c>
      <x:c r="E4" t="n">
        <x:f>((IF(E$1-'Underlying Mechanics'!$B$8&lt;0,0,'Underlying Mechanics'!$B$22*'Underlying Mechanics'!$B$15*INDEX('Underlying Mechanics'!$B$31:$B$51,E$1-'Underlying Mechanics'!$B$8+1)*'Underlying Mechanics'!$B$5))*(1-$A4))-IF(E$1=0,'Underlying Mechanics'!$B$23*(1-$B4),0)-IF(E$1&gt;0,'Underlying Mechanics'!$B$22*'Underlying Mechanics'!$B$17,0)-IF(E$1&gt;0,'Underlying Mechanics'!$B$12*'Underlying Mechanics'!$B$18,0)</x:f>
        <x:v>-22500</x:v>
      </x:c>
      <x:c r="F4" t="n">
        <x:f>((IF(F$1-'Underlying Mechanics'!$B$8&lt;0,0,'Underlying Mechanics'!$B$22*'Underlying Mechanics'!$B$15*INDEX('Underlying Mechanics'!$B$31:$B$51,F$1-'Underlying Mechanics'!$B$8+1)*'Underlying Mechanics'!$B$5))*(1-$A4))-IF(F$1=0,'Underlying Mechanics'!$B$23*(1-$B4),0)-IF(F$1&gt;0,'Underlying Mechanics'!$B$22*'Underlying Mechanics'!$B$17,0)-IF(F$1&gt;0,'Underlying Mechanics'!$B$12*'Underlying Mechanics'!$B$18,0)</x:f>
        <x:v>-20100</x:v>
      </x:c>
      <x:c r="G4" t="n">
        <x:f>((IF(G$1-'Underlying Mechanics'!$B$8&lt;0,0,'Underlying Mechanics'!$B$22*'Underlying Mechanics'!$B$15*INDEX('Underlying Mechanics'!$B$31:$B$51,G$1-'Underlying Mechanics'!$B$8+1)*'Underlying Mechanics'!$B$5))*(1-$A4))-IF(G$1=0,'Underlying Mechanics'!$B$23*(1-$B4),0)-IF(G$1&gt;0,'Underlying Mechanics'!$B$22*'Underlying Mechanics'!$B$17,0)-IF(G$1&gt;0,'Underlying Mechanics'!$B$12*'Underlying Mechanics'!$B$18,0)</x:f>
        <x:v>-16500</x:v>
      </x:c>
      <x:c r="H4" t="n">
        <x:f>((IF(H$1-'Underlying Mechanics'!$B$8&lt;0,0,'Underlying Mechanics'!$B$22*'Underlying Mechanics'!$B$15*INDEX('Underlying Mechanics'!$B$31:$B$51,H$1-'Underlying Mechanics'!$B$8+1)*'Underlying Mechanics'!$B$5))*(1-$A4))-IF(H$1=0,'Underlying Mechanics'!$B$23*(1-$B4),0)-IF(H$1&gt;0,'Underlying Mechanics'!$B$22*'Underlying Mechanics'!$B$17,0)-IF(H$1&gt;0,'Underlying Mechanics'!$B$12*'Underlying Mechanics'!$B$18,0)</x:f>
        <x:v>-10500</x:v>
      </x:c>
      <x:c r="I4" t="n">
        <x:f>((IF(I$1-'Underlying Mechanics'!$B$8&lt;0,0,'Underlying Mechanics'!$B$22*'Underlying Mechanics'!$B$15*INDEX('Underlying Mechanics'!$B$31:$B$51,I$1-'Underlying Mechanics'!$B$8+1)*'Underlying Mechanics'!$B$5))*(1-$A4))-IF(I$1=0,'Underlying Mechanics'!$B$23*(1-$B4),0)-IF(I$1&gt;0,'Underlying Mechanics'!$B$22*'Underlying Mechanics'!$B$17,0)-IF(I$1&gt;0,'Underlying Mechanics'!$B$12*'Underlying Mechanics'!$B$18,0)</x:f>
        <x:v>-900</x:v>
      </x:c>
      <x:c r="J4" t="n">
        <x:f>((IF(J$1-'Underlying Mechanics'!$B$8&lt;0,0,'Underlying Mechanics'!$B$22*'Underlying Mechanics'!$B$15*INDEX('Underlying Mechanics'!$B$31:$B$51,J$1-'Underlying Mechanics'!$B$8+1)*'Underlying Mechanics'!$B$5))*(1-$A4))-IF(J$1=0,'Underlying Mechanics'!$B$23*(1-$B4),0)-IF(J$1&gt;0,'Underlying Mechanics'!$B$22*'Underlying Mechanics'!$B$17,0)-IF(J$1&gt;0,'Underlying Mechanics'!$B$12*'Underlying Mechanics'!$B$18,0)</x:f>
        <x:v>11100.000000000007</x:v>
      </x:c>
      <x:c r="K4" t="n">
        <x:f>((IF(K$1-'Underlying Mechanics'!$B$8&lt;0,0,'Underlying Mechanics'!$B$22*'Underlying Mechanics'!$B$15*INDEX('Underlying Mechanics'!$B$31:$B$51,K$1-'Underlying Mechanics'!$B$8+1)*'Underlying Mechanics'!$B$5))*(1-$A4))-IF(K$1=0,'Underlying Mechanics'!$B$23*(1-$B4),0)-IF(K$1&gt;0,'Underlying Mechanics'!$B$22*'Underlying Mechanics'!$B$17,0)-IF(K$1&gt;0,'Underlying Mechanics'!$B$12*'Underlying Mechanics'!$B$18,0)</x:f>
        <x:v>25500</x:v>
      </x:c>
      <x:c r="L4" t="n">
        <x:f>((IF(L$1-'Underlying Mechanics'!$B$8&lt;0,0,'Underlying Mechanics'!$B$22*'Underlying Mechanics'!$B$15*INDEX('Underlying Mechanics'!$B$31:$B$51,L$1-'Underlying Mechanics'!$B$8+1)*'Underlying Mechanics'!$B$5))*(1-$A4))-IF(L$1=0,'Underlying Mechanics'!$B$23*(1-$B4),0)-IF(L$1&gt;0,'Underlying Mechanics'!$B$22*'Underlying Mechanics'!$B$17,0)-IF(L$1&gt;0,'Underlying Mechanics'!$B$12*'Underlying Mechanics'!$B$18,0)</x:f>
        <x:v>42300</x:v>
      </x:c>
      <x:c r="M4" t="n">
        <x:f>((IF(M$1-'Underlying Mechanics'!$B$8&lt;0,0,'Underlying Mechanics'!$B$22*'Underlying Mechanics'!$B$15*INDEX('Underlying Mechanics'!$B$31:$B$51,M$1-'Underlying Mechanics'!$B$8+1)*'Underlying Mechanics'!$B$5))*(1-$A4))-IF(M$1=0,'Underlying Mechanics'!$B$23*(1-$B4),0)-IF(M$1&gt;0,'Underlying Mechanics'!$B$22*'Underlying Mechanics'!$B$17,0)-IF(M$1&gt;0,'Underlying Mechanics'!$B$12*'Underlying Mechanics'!$B$18,0)</x:f>
        <x:v>59100.000000000015</x:v>
      </x:c>
      <x:c r="N4" t="n">
        <x:f>((IF(N$1-'Underlying Mechanics'!$B$8&lt;0,0,'Underlying Mechanics'!$B$22*'Underlying Mechanics'!$B$15*INDEX('Underlying Mechanics'!$B$31:$B$51,N$1-'Underlying Mechanics'!$B$8+1)*'Underlying Mechanics'!$B$5))*(1-$A4))-IF(N$1=0,'Underlying Mechanics'!$B$23*(1-$B4),0)-IF(N$1&gt;0,'Underlying Mechanics'!$B$22*'Underlying Mechanics'!$B$17,0)-IF(N$1&gt;0,'Underlying Mechanics'!$B$12*'Underlying Mechanics'!$B$18,0)</x:f>
        <x:v>73500</x:v>
      </x:c>
      <x:c r="O4" t="n">
        <x:f>((IF(O$1-'Underlying Mechanics'!$B$8&lt;0,0,'Underlying Mechanics'!$B$22*'Underlying Mechanics'!$B$15*INDEX('Underlying Mechanics'!$B$31:$B$51,O$1-'Underlying Mechanics'!$B$8+1)*'Underlying Mechanics'!$B$5))*(1-$A4))-IF(O$1=0,'Underlying Mechanics'!$B$23*(1-$B4),0)-IF(O$1&gt;0,'Underlying Mechanics'!$B$22*'Underlying Mechanics'!$B$17,0)-IF(O$1&gt;0,'Underlying Mechanics'!$B$12*'Underlying Mechanics'!$B$18,0)</x:f>
        <x:v>85500</x:v>
      </x:c>
      <x:c r="P4" t="n">
        <x:f>((IF(P$1-'Underlying Mechanics'!$B$8&lt;0,0,'Underlying Mechanics'!$B$22*'Underlying Mechanics'!$B$15*INDEX('Underlying Mechanics'!$B$31:$B$51,P$1-'Underlying Mechanics'!$B$8+1)*'Underlying Mechanics'!$B$5))*(1-$A4))-IF(P$1=0,'Underlying Mechanics'!$B$23*(1-$B4),0)-IF(P$1&gt;0,'Underlying Mechanics'!$B$22*'Underlying Mechanics'!$B$17,0)-IF(P$1&gt;0,'Underlying Mechanics'!$B$12*'Underlying Mechanics'!$B$18,0)</x:f>
        <x:v>97500</x:v>
      </x:c>
      <x:c r="Q4" t="n">
        <x:f>((IF(Q$1-'Underlying Mechanics'!$B$8&lt;0,0,'Underlying Mechanics'!$B$22*'Underlying Mechanics'!$B$15*INDEX('Underlying Mechanics'!$B$31:$B$51,Q$1-'Underlying Mechanics'!$B$8+1)*'Underlying Mechanics'!$B$5))*(1-$A4))-IF(Q$1=0,'Underlying Mechanics'!$B$23*(1-$B4),0)-IF(Q$1&gt;0,'Underlying Mechanics'!$B$22*'Underlying Mechanics'!$B$17,0)-IF(Q$1&gt;0,'Underlying Mechanics'!$B$12*'Underlying Mechanics'!$B$18,0)</x:f>
        <x:v>97500</x:v>
      </x:c>
      <x:c r="R4" t="n">
        <x:f>((IF(R$1-'Underlying Mechanics'!$B$8&lt;0,0,'Underlying Mechanics'!$B$22*'Underlying Mechanics'!$B$15*INDEX('Underlying Mechanics'!$B$31:$B$51,R$1-'Underlying Mechanics'!$B$8+1)*'Underlying Mechanics'!$B$5))*(1-$A4))-IF(R$1=0,'Underlying Mechanics'!$B$23*(1-$B4),0)-IF(R$1&gt;0,'Underlying Mechanics'!$B$22*'Underlying Mechanics'!$B$17,0)-IF(R$1&gt;0,'Underlying Mechanics'!$B$12*'Underlying Mechanics'!$B$18,0)</x:f>
        <x:v>97500</x:v>
      </x:c>
      <x:c r="S4" t="n">
        <x:f>((IF(S$1-'Underlying Mechanics'!$B$8&lt;0,0,'Underlying Mechanics'!$B$22*'Underlying Mechanics'!$B$15*INDEX('Underlying Mechanics'!$B$31:$B$51,S$1-'Underlying Mechanics'!$B$8+1)*'Underlying Mechanics'!$B$5))*(1-$A4))-IF(S$1=0,'Underlying Mechanics'!$B$23*(1-$B4),0)-IF(S$1&gt;0,'Underlying Mechanics'!$B$22*'Underlying Mechanics'!$B$17,0)-IF(S$1&gt;0,'Underlying Mechanics'!$B$12*'Underlying Mechanics'!$B$18,0)</x:f>
        <x:v>97500</x:v>
      </x:c>
      <x:c r="T4" t="n">
        <x:f>((IF(T$1-'Underlying Mechanics'!$B$8&lt;0,0,'Underlying Mechanics'!$B$22*'Underlying Mechanics'!$B$15*INDEX('Underlying Mechanics'!$B$31:$B$51,T$1-'Underlying Mechanics'!$B$8+1)*'Underlying Mechanics'!$B$5))*(1-$A4))-IF(T$1=0,'Underlying Mechanics'!$B$23*(1-$B4),0)-IF(T$1&gt;0,'Underlying Mechanics'!$B$22*'Underlying Mechanics'!$B$17,0)-IF(T$1&gt;0,'Underlying Mechanics'!$B$12*'Underlying Mechanics'!$B$18,0)</x:f>
        <x:v>97500</x:v>
      </x:c>
      <x:c r="U4" t="n">
        <x:f>((IF(U$1-'Underlying Mechanics'!$B$8&lt;0,0,'Underlying Mechanics'!$B$22*'Underlying Mechanics'!$B$15*INDEX('Underlying Mechanics'!$B$31:$B$51,U$1-'Underlying Mechanics'!$B$8+1)*'Underlying Mechanics'!$B$5))*(1-$A4))-IF(U$1=0,'Underlying Mechanics'!$B$23*(1-$B4),0)-IF(U$1&gt;0,'Underlying Mechanics'!$B$22*'Underlying Mechanics'!$B$17,0)-IF(U$1&gt;0,'Underlying Mechanics'!$B$12*'Underlying Mechanics'!$B$18,0)</x:f>
        <x:v>97500</x:v>
      </x:c>
      <x:c r="V4" t="n">
        <x:f>((IF(V$1-'Underlying Mechanics'!$B$8&lt;0,0,'Underlying Mechanics'!$B$22*'Underlying Mechanics'!$B$15*INDEX('Underlying Mechanics'!$B$31:$B$51,V$1-'Underlying Mechanics'!$B$8+1)*'Underlying Mechanics'!$B$5))*(1-$A4))-IF(V$1=0,'Underlying Mechanics'!$B$23*(1-$B4),0)-IF(V$1&gt;0,'Underlying Mechanics'!$B$22*'Underlying Mechanics'!$B$17,0)-IF(V$1&gt;0,'Underlying Mechanics'!$B$12*'Underlying Mechanics'!$B$18,0)</x:f>
        <x:v>97500</x:v>
      </x:c>
      <x:c r="W4" t="n">
        <x:f>((IF(W$1-'Underlying Mechanics'!$B$8&lt;0,0,'Underlying Mechanics'!$B$22*'Underlying Mechanics'!$B$15*INDEX('Underlying Mechanics'!$B$31:$B$51,W$1-'Underlying Mechanics'!$B$8+1)*'Underlying Mechanics'!$B$5))*(1-$A4))-IF(W$1=0,'Underlying Mechanics'!$B$23*(1-$B4),0)-IF(W$1&gt;0,'Underlying Mechanics'!$B$22*'Underlying Mechanics'!$B$17,0)-IF(W$1&gt;0,'Underlying Mechanics'!$B$12*'Underlying Mechanics'!$B$18,0)</x:f>
        <x:v>97500</x:v>
      </x:c>
      <x:c r="X4" t="n">
        <x:f>IFERROR(IRR(C4:W4),-1)</x:f>
        <x:v>0.1254103093881549</x:v>
      </x:c>
    </x:row>
    <x:row r="5">
      <x:c r="A5" t="n">
        <x:v>0</x:v>
      </x:c>
      <x:c r="B5" t="n">
        <x:v>0.15</x:v>
      </x:c>
      <x:c r="C5" t="n">
        <x:f>((IF(C$1-'Underlying Mechanics'!$B$8&lt;0,0,'Underlying Mechanics'!$B$22*'Underlying Mechanics'!$B$15*INDEX('Underlying Mechanics'!$B$31:$B$51,C$1-'Underlying Mechanics'!$B$8+1)*'Underlying Mechanics'!$B$5))*(1-$A5))-IF(C$1=0,'Underlying Mechanics'!$B$23*(1-$B5),0)-IF(C$1&gt;0,'Underlying Mechanics'!$B$22*'Underlying Mechanics'!$B$17,0)-IF(C$1&gt;0,'Underlying Mechanics'!$B$12*'Underlying Mechanics'!$B$18,0)</x:f>
        <x:v>-127500</x:v>
      </x:c>
      <x:c r="D5" t="n">
        <x:f>((IF(D$1-'Underlying Mechanics'!$B$8&lt;0,0,'Underlying Mechanics'!$B$22*'Underlying Mechanics'!$B$15*INDEX('Underlying Mechanics'!$B$31:$B$51,D$1-'Underlying Mechanics'!$B$8+1)*'Underlying Mechanics'!$B$5))*(1-$A5))-IF(D$1=0,'Underlying Mechanics'!$B$23*(1-$B5),0)-IF(D$1&gt;0,'Underlying Mechanics'!$B$22*'Underlying Mechanics'!$B$17,0)-IF(D$1&gt;0,'Underlying Mechanics'!$B$12*'Underlying Mechanics'!$B$18,0)</x:f>
        <x:v>-22500</x:v>
      </x:c>
      <x:c r="E5" t="n">
        <x:f>((IF(E$1-'Underlying Mechanics'!$B$8&lt;0,0,'Underlying Mechanics'!$B$22*'Underlying Mechanics'!$B$15*INDEX('Underlying Mechanics'!$B$31:$B$51,E$1-'Underlying Mechanics'!$B$8+1)*'Underlying Mechanics'!$B$5))*(1-$A5))-IF(E$1=0,'Underlying Mechanics'!$B$23*(1-$B5),0)-IF(E$1&gt;0,'Underlying Mechanics'!$B$22*'Underlying Mechanics'!$B$17,0)-IF(E$1&gt;0,'Underlying Mechanics'!$B$12*'Underlying Mechanics'!$B$18,0)</x:f>
        <x:v>-22500</x:v>
      </x:c>
      <x:c r="F5" t="n">
        <x:f>((IF(F$1-'Underlying Mechanics'!$B$8&lt;0,0,'Underlying Mechanics'!$B$22*'Underlying Mechanics'!$B$15*INDEX('Underlying Mechanics'!$B$31:$B$51,F$1-'Underlying Mechanics'!$B$8+1)*'Underlying Mechanics'!$B$5))*(1-$A5))-IF(F$1=0,'Underlying Mechanics'!$B$23*(1-$B5),0)-IF(F$1&gt;0,'Underlying Mechanics'!$B$22*'Underlying Mechanics'!$B$17,0)-IF(F$1&gt;0,'Underlying Mechanics'!$B$12*'Underlying Mechanics'!$B$18,0)</x:f>
        <x:v>-20100</x:v>
      </x:c>
      <x:c r="G5" t="n">
        <x:f>((IF(G$1-'Underlying Mechanics'!$B$8&lt;0,0,'Underlying Mechanics'!$B$22*'Underlying Mechanics'!$B$15*INDEX('Underlying Mechanics'!$B$31:$B$51,G$1-'Underlying Mechanics'!$B$8+1)*'Underlying Mechanics'!$B$5))*(1-$A5))-IF(G$1=0,'Underlying Mechanics'!$B$23*(1-$B5),0)-IF(G$1&gt;0,'Underlying Mechanics'!$B$22*'Underlying Mechanics'!$B$17,0)-IF(G$1&gt;0,'Underlying Mechanics'!$B$12*'Underlying Mechanics'!$B$18,0)</x:f>
        <x:v>-16500</x:v>
      </x:c>
      <x:c r="H5" t="n">
        <x:f>((IF(H$1-'Underlying Mechanics'!$B$8&lt;0,0,'Underlying Mechanics'!$B$22*'Underlying Mechanics'!$B$15*INDEX('Underlying Mechanics'!$B$31:$B$51,H$1-'Underlying Mechanics'!$B$8+1)*'Underlying Mechanics'!$B$5))*(1-$A5))-IF(H$1=0,'Underlying Mechanics'!$B$23*(1-$B5),0)-IF(H$1&gt;0,'Underlying Mechanics'!$B$22*'Underlying Mechanics'!$B$17,0)-IF(H$1&gt;0,'Underlying Mechanics'!$B$12*'Underlying Mechanics'!$B$18,0)</x:f>
        <x:v>-10500</x:v>
      </x:c>
      <x:c r="I5" t="n">
        <x:f>((IF(I$1-'Underlying Mechanics'!$B$8&lt;0,0,'Underlying Mechanics'!$B$22*'Underlying Mechanics'!$B$15*INDEX('Underlying Mechanics'!$B$31:$B$51,I$1-'Underlying Mechanics'!$B$8+1)*'Underlying Mechanics'!$B$5))*(1-$A5))-IF(I$1=0,'Underlying Mechanics'!$B$23*(1-$B5),0)-IF(I$1&gt;0,'Underlying Mechanics'!$B$22*'Underlying Mechanics'!$B$17,0)-IF(I$1&gt;0,'Underlying Mechanics'!$B$12*'Underlying Mechanics'!$B$18,0)</x:f>
        <x:v>-900</x:v>
      </x:c>
      <x:c r="J5" t="n">
        <x:f>((IF(J$1-'Underlying Mechanics'!$B$8&lt;0,0,'Underlying Mechanics'!$B$22*'Underlying Mechanics'!$B$15*INDEX('Underlying Mechanics'!$B$31:$B$51,J$1-'Underlying Mechanics'!$B$8+1)*'Underlying Mechanics'!$B$5))*(1-$A5))-IF(J$1=0,'Underlying Mechanics'!$B$23*(1-$B5),0)-IF(J$1&gt;0,'Underlying Mechanics'!$B$22*'Underlying Mechanics'!$B$17,0)-IF(J$1&gt;0,'Underlying Mechanics'!$B$12*'Underlying Mechanics'!$B$18,0)</x:f>
        <x:v>11100.000000000007</x:v>
      </x:c>
      <x:c r="K5" t="n">
        <x:f>((IF(K$1-'Underlying Mechanics'!$B$8&lt;0,0,'Underlying Mechanics'!$B$22*'Underlying Mechanics'!$B$15*INDEX('Underlying Mechanics'!$B$31:$B$51,K$1-'Underlying Mechanics'!$B$8+1)*'Underlying Mechanics'!$B$5))*(1-$A5))-IF(K$1=0,'Underlying Mechanics'!$B$23*(1-$B5),0)-IF(K$1&gt;0,'Underlying Mechanics'!$B$22*'Underlying Mechanics'!$B$17,0)-IF(K$1&gt;0,'Underlying Mechanics'!$B$12*'Underlying Mechanics'!$B$18,0)</x:f>
        <x:v>25500</x:v>
      </x:c>
      <x:c r="L5" t="n">
        <x:f>((IF(L$1-'Underlying Mechanics'!$B$8&lt;0,0,'Underlying Mechanics'!$B$22*'Underlying Mechanics'!$B$15*INDEX('Underlying Mechanics'!$B$31:$B$51,L$1-'Underlying Mechanics'!$B$8+1)*'Underlying Mechanics'!$B$5))*(1-$A5))-IF(L$1=0,'Underlying Mechanics'!$B$23*(1-$B5),0)-IF(L$1&gt;0,'Underlying Mechanics'!$B$22*'Underlying Mechanics'!$B$17,0)-IF(L$1&gt;0,'Underlying Mechanics'!$B$12*'Underlying Mechanics'!$B$18,0)</x:f>
        <x:v>42300</x:v>
      </x:c>
      <x:c r="M5" t="n">
        <x:f>((IF(M$1-'Underlying Mechanics'!$B$8&lt;0,0,'Underlying Mechanics'!$B$22*'Underlying Mechanics'!$B$15*INDEX('Underlying Mechanics'!$B$31:$B$51,M$1-'Underlying Mechanics'!$B$8+1)*'Underlying Mechanics'!$B$5))*(1-$A5))-IF(M$1=0,'Underlying Mechanics'!$B$23*(1-$B5),0)-IF(M$1&gt;0,'Underlying Mechanics'!$B$22*'Underlying Mechanics'!$B$17,0)-IF(M$1&gt;0,'Underlying Mechanics'!$B$12*'Underlying Mechanics'!$B$18,0)</x:f>
        <x:v>59100.000000000015</x:v>
      </x:c>
      <x:c r="N5" t="n">
        <x:f>((IF(N$1-'Underlying Mechanics'!$B$8&lt;0,0,'Underlying Mechanics'!$B$22*'Underlying Mechanics'!$B$15*INDEX('Underlying Mechanics'!$B$31:$B$51,N$1-'Underlying Mechanics'!$B$8+1)*'Underlying Mechanics'!$B$5))*(1-$A5))-IF(N$1=0,'Underlying Mechanics'!$B$23*(1-$B5),0)-IF(N$1&gt;0,'Underlying Mechanics'!$B$22*'Underlying Mechanics'!$B$17,0)-IF(N$1&gt;0,'Underlying Mechanics'!$B$12*'Underlying Mechanics'!$B$18,0)</x:f>
        <x:v>73500</x:v>
      </x:c>
      <x:c r="O5" t="n">
        <x:f>((IF(O$1-'Underlying Mechanics'!$B$8&lt;0,0,'Underlying Mechanics'!$B$22*'Underlying Mechanics'!$B$15*INDEX('Underlying Mechanics'!$B$31:$B$51,O$1-'Underlying Mechanics'!$B$8+1)*'Underlying Mechanics'!$B$5))*(1-$A5))-IF(O$1=0,'Underlying Mechanics'!$B$23*(1-$B5),0)-IF(O$1&gt;0,'Underlying Mechanics'!$B$22*'Underlying Mechanics'!$B$17,0)-IF(O$1&gt;0,'Underlying Mechanics'!$B$12*'Underlying Mechanics'!$B$18,0)</x:f>
        <x:v>85500</x:v>
      </x:c>
      <x:c r="P5" t="n">
        <x:f>((IF(P$1-'Underlying Mechanics'!$B$8&lt;0,0,'Underlying Mechanics'!$B$22*'Underlying Mechanics'!$B$15*INDEX('Underlying Mechanics'!$B$31:$B$51,P$1-'Underlying Mechanics'!$B$8+1)*'Underlying Mechanics'!$B$5))*(1-$A5))-IF(P$1=0,'Underlying Mechanics'!$B$23*(1-$B5),0)-IF(P$1&gt;0,'Underlying Mechanics'!$B$22*'Underlying Mechanics'!$B$17,0)-IF(P$1&gt;0,'Underlying Mechanics'!$B$12*'Underlying Mechanics'!$B$18,0)</x:f>
        <x:v>97500</x:v>
      </x:c>
      <x:c r="Q5" t="n">
        <x:f>((IF(Q$1-'Underlying Mechanics'!$B$8&lt;0,0,'Underlying Mechanics'!$B$22*'Underlying Mechanics'!$B$15*INDEX('Underlying Mechanics'!$B$31:$B$51,Q$1-'Underlying Mechanics'!$B$8+1)*'Underlying Mechanics'!$B$5))*(1-$A5))-IF(Q$1=0,'Underlying Mechanics'!$B$23*(1-$B5),0)-IF(Q$1&gt;0,'Underlying Mechanics'!$B$22*'Underlying Mechanics'!$B$17,0)-IF(Q$1&gt;0,'Underlying Mechanics'!$B$12*'Underlying Mechanics'!$B$18,0)</x:f>
        <x:v>97500</x:v>
      </x:c>
      <x:c r="R5" t="n">
        <x:f>((IF(R$1-'Underlying Mechanics'!$B$8&lt;0,0,'Underlying Mechanics'!$B$22*'Underlying Mechanics'!$B$15*INDEX('Underlying Mechanics'!$B$31:$B$51,R$1-'Underlying Mechanics'!$B$8+1)*'Underlying Mechanics'!$B$5))*(1-$A5))-IF(R$1=0,'Underlying Mechanics'!$B$23*(1-$B5),0)-IF(R$1&gt;0,'Underlying Mechanics'!$B$22*'Underlying Mechanics'!$B$17,0)-IF(R$1&gt;0,'Underlying Mechanics'!$B$12*'Underlying Mechanics'!$B$18,0)</x:f>
        <x:v>97500</x:v>
      </x:c>
      <x:c r="S5" t="n">
        <x:f>((IF(S$1-'Underlying Mechanics'!$B$8&lt;0,0,'Underlying Mechanics'!$B$22*'Underlying Mechanics'!$B$15*INDEX('Underlying Mechanics'!$B$31:$B$51,S$1-'Underlying Mechanics'!$B$8+1)*'Underlying Mechanics'!$B$5))*(1-$A5))-IF(S$1=0,'Underlying Mechanics'!$B$23*(1-$B5),0)-IF(S$1&gt;0,'Underlying Mechanics'!$B$22*'Underlying Mechanics'!$B$17,0)-IF(S$1&gt;0,'Underlying Mechanics'!$B$12*'Underlying Mechanics'!$B$18,0)</x:f>
        <x:v>97500</x:v>
      </x:c>
      <x:c r="T5" t="n">
        <x:f>((IF(T$1-'Underlying Mechanics'!$B$8&lt;0,0,'Underlying Mechanics'!$B$22*'Underlying Mechanics'!$B$15*INDEX('Underlying Mechanics'!$B$31:$B$51,T$1-'Underlying Mechanics'!$B$8+1)*'Underlying Mechanics'!$B$5))*(1-$A5))-IF(T$1=0,'Underlying Mechanics'!$B$23*(1-$B5),0)-IF(T$1&gt;0,'Underlying Mechanics'!$B$22*'Underlying Mechanics'!$B$17,0)-IF(T$1&gt;0,'Underlying Mechanics'!$B$12*'Underlying Mechanics'!$B$18,0)</x:f>
        <x:v>97500</x:v>
      </x:c>
      <x:c r="U5" t="n">
        <x:f>((IF(U$1-'Underlying Mechanics'!$B$8&lt;0,0,'Underlying Mechanics'!$B$22*'Underlying Mechanics'!$B$15*INDEX('Underlying Mechanics'!$B$31:$B$51,U$1-'Underlying Mechanics'!$B$8+1)*'Underlying Mechanics'!$B$5))*(1-$A5))-IF(U$1=0,'Underlying Mechanics'!$B$23*(1-$B5),0)-IF(U$1&gt;0,'Underlying Mechanics'!$B$22*'Underlying Mechanics'!$B$17,0)-IF(U$1&gt;0,'Underlying Mechanics'!$B$12*'Underlying Mechanics'!$B$18,0)</x:f>
        <x:v>97500</x:v>
      </x:c>
      <x:c r="V5" t="n">
        <x:f>((IF(V$1-'Underlying Mechanics'!$B$8&lt;0,0,'Underlying Mechanics'!$B$22*'Underlying Mechanics'!$B$15*INDEX('Underlying Mechanics'!$B$31:$B$51,V$1-'Underlying Mechanics'!$B$8+1)*'Underlying Mechanics'!$B$5))*(1-$A5))-IF(V$1=0,'Underlying Mechanics'!$B$23*(1-$B5),0)-IF(V$1&gt;0,'Underlying Mechanics'!$B$22*'Underlying Mechanics'!$B$17,0)-IF(V$1&gt;0,'Underlying Mechanics'!$B$12*'Underlying Mechanics'!$B$18,0)</x:f>
        <x:v>97500</x:v>
      </x:c>
      <x:c r="W5" t="n">
        <x:f>((IF(W$1-'Underlying Mechanics'!$B$8&lt;0,0,'Underlying Mechanics'!$B$22*'Underlying Mechanics'!$B$15*INDEX('Underlying Mechanics'!$B$31:$B$51,W$1-'Underlying Mechanics'!$B$8+1)*'Underlying Mechanics'!$B$5))*(1-$A5))-IF(W$1=0,'Underlying Mechanics'!$B$23*(1-$B5),0)-IF(W$1&gt;0,'Underlying Mechanics'!$B$22*'Underlying Mechanics'!$B$17,0)-IF(W$1&gt;0,'Underlying Mechanics'!$B$12*'Underlying Mechanics'!$B$18,0)</x:f>
        <x:v>97500</x:v>
      </x:c>
      <x:c r="X5" t="n">
        <x:f>IFERROR(IRR(C5:W5),-1)</x:f>
        <x:v>0.12879548669037538</x:v>
      </x:c>
    </x:row>
    <x:row r="6">
      <x:c r="A6" t="n">
        <x:v>0</x:v>
      </x:c>
      <x:c r="B6" t="n">
        <x:v>0.2</x:v>
      </x:c>
      <x:c r="C6" t="n">
        <x:f>((IF(C$1-'Underlying Mechanics'!$B$8&lt;0,0,'Underlying Mechanics'!$B$22*'Underlying Mechanics'!$B$15*INDEX('Underlying Mechanics'!$B$31:$B$51,C$1-'Underlying Mechanics'!$B$8+1)*'Underlying Mechanics'!$B$5))*(1-$A6))-IF(C$1=0,'Underlying Mechanics'!$B$23*(1-$B6),0)-IF(C$1&gt;0,'Underlying Mechanics'!$B$22*'Underlying Mechanics'!$B$17,0)-IF(C$1&gt;0,'Underlying Mechanics'!$B$12*'Underlying Mechanics'!$B$18,0)</x:f>
        <x:v>-120000</x:v>
      </x:c>
      <x:c r="D6" t="n">
        <x:f>((IF(D$1-'Underlying Mechanics'!$B$8&lt;0,0,'Underlying Mechanics'!$B$22*'Underlying Mechanics'!$B$15*INDEX('Underlying Mechanics'!$B$31:$B$51,D$1-'Underlying Mechanics'!$B$8+1)*'Underlying Mechanics'!$B$5))*(1-$A6))-IF(D$1=0,'Underlying Mechanics'!$B$23*(1-$B6),0)-IF(D$1&gt;0,'Underlying Mechanics'!$B$22*'Underlying Mechanics'!$B$17,0)-IF(D$1&gt;0,'Underlying Mechanics'!$B$12*'Underlying Mechanics'!$B$18,0)</x:f>
        <x:v>-22500</x:v>
      </x:c>
      <x:c r="E6" t="n">
        <x:f>((IF(E$1-'Underlying Mechanics'!$B$8&lt;0,0,'Underlying Mechanics'!$B$22*'Underlying Mechanics'!$B$15*INDEX('Underlying Mechanics'!$B$31:$B$51,E$1-'Underlying Mechanics'!$B$8+1)*'Underlying Mechanics'!$B$5))*(1-$A6))-IF(E$1=0,'Underlying Mechanics'!$B$23*(1-$B6),0)-IF(E$1&gt;0,'Underlying Mechanics'!$B$22*'Underlying Mechanics'!$B$17,0)-IF(E$1&gt;0,'Underlying Mechanics'!$B$12*'Underlying Mechanics'!$B$18,0)</x:f>
        <x:v>-22500</x:v>
      </x:c>
      <x:c r="F6" t="n">
        <x:f>((IF(F$1-'Underlying Mechanics'!$B$8&lt;0,0,'Underlying Mechanics'!$B$22*'Underlying Mechanics'!$B$15*INDEX('Underlying Mechanics'!$B$31:$B$51,F$1-'Underlying Mechanics'!$B$8+1)*'Underlying Mechanics'!$B$5))*(1-$A6))-IF(F$1=0,'Underlying Mechanics'!$B$23*(1-$B6),0)-IF(F$1&gt;0,'Underlying Mechanics'!$B$22*'Underlying Mechanics'!$B$17,0)-IF(F$1&gt;0,'Underlying Mechanics'!$B$12*'Underlying Mechanics'!$B$18,0)</x:f>
        <x:v>-20100</x:v>
      </x:c>
      <x:c r="G6" t="n">
        <x:f>((IF(G$1-'Underlying Mechanics'!$B$8&lt;0,0,'Underlying Mechanics'!$B$22*'Underlying Mechanics'!$B$15*INDEX('Underlying Mechanics'!$B$31:$B$51,G$1-'Underlying Mechanics'!$B$8+1)*'Underlying Mechanics'!$B$5))*(1-$A6))-IF(G$1=0,'Underlying Mechanics'!$B$23*(1-$B6),0)-IF(G$1&gt;0,'Underlying Mechanics'!$B$22*'Underlying Mechanics'!$B$17,0)-IF(G$1&gt;0,'Underlying Mechanics'!$B$12*'Underlying Mechanics'!$B$18,0)</x:f>
        <x:v>-16500</x:v>
      </x:c>
      <x:c r="H6" t="n">
        <x:f>((IF(H$1-'Underlying Mechanics'!$B$8&lt;0,0,'Underlying Mechanics'!$B$22*'Underlying Mechanics'!$B$15*INDEX('Underlying Mechanics'!$B$31:$B$51,H$1-'Underlying Mechanics'!$B$8+1)*'Underlying Mechanics'!$B$5))*(1-$A6))-IF(H$1=0,'Underlying Mechanics'!$B$23*(1-$B6),0)-IF(H$1&gt;0,'Underlying Mechanics'!$B$22*'Underlying Mechanics'!$B$17,0)-IF(H$1&gt;0,'Underlying Mechanics'!$B$12*'Underlying Mechanics'!$B$18,0)</x:f>
        <x:v>-10500</x:v>
      </x:c>
      <x:c r="I6" t="n">
        <x:f>((IF(I$1-'Underlying Mechanics'!$B$8&lt;0,0,'Underlying Mechanics'!$B$22*'Underlying Mechanics'!$B$15*INDEX('Underlying Mechanics'!$B$31:$B$51,I$1-'Underlying Mechanics'!$B$8+1)*'Underlying Mechanics'!$B$5))*(1-$A6))-IF(I$1=0,'Underlying Mechanics'!$B$23*(1-$B6),0)-IF(I$1&gt;0,'Underlying Mechanics'!$B$22*'Underlying Mechanics'!$B$17,0)-IF(I$1&gt;0,'Underlying Mechanics'!$B$12*'Underlying Mechanics'!$B$18,0)</x:f>
        <x:v>-900</x:v>
      </x:c>
      <x:c r="J6" t="n">
        <x:f>((IF(J$1-'Underlying Mechanics'!$B$8&lt;0,0,'Underlying Mechanics'!$B$22*'Underlying Mechanics'!$B$15*INDEX('Underlying Mechanics'!$B$31:$B$51,J$1-'Underlying Mechanics'!$B$8+1)*'Underlying Mechanics'!$B$5))*(1-$A6))-IF(J$1=0,'Underlying Mechanics'!$B$23*(1-$B6),0)-IF(J$1&gt;0,'Underlying Mechanics'!$B$22*'Underlying Mechanics'!$B$17,0)-IF(J$1&gt;0,'Underlying Mechanics'!$B$12*'Underlying Mechanics'!$B$18,0)</x:f>
        <x:v>11100.000000000007</x:v>
      </x:c>
      <x:c r="K6" t="n">
        <x:f>((IF(K$1-'Underlying Mechanics'!$B$8&lt;0,0,'Underlying Mechanics'!$B$22*'Underlying Mechanics'!$B$15*INDEX('Underlying Mechanics'!$B$31:$B$51,K$1-'Underlying Mechanics'!$B$8+1)*'Underlying Mechanics'!$B$5))*(1-$A6))-IF(K$1=0,'Underlying Mechanics'!$B$23*(1-$B6),0)-IF(K$1&gt;0,'Underlying Mechanics'!$B$22*'Underlying Mechanics'!$B$17,0)-IF(K$1&gt;0,'Underlying Mechanics'!$B$12*'Underlying Mechanics'!$B$18,0)</x:f>
        <x:v>25500</x:v>
      </x:c>
      <x:c r="L6" t="n">
        <x:f>((IF(L$1-'Underlying Mechanics'!$B$8&lt;0,0,'Underlying Mechanics'!$B$22*'Underlying Mechanics'!$B$15*INDEX('Underlying Mechanics'!$B$31:$B$51,L$1-'Underlying Mechanics'!$B$8+1)*'Underlying Mechanics'!$B$5))*(1-$A6))-IF(L$1=0,'Underlying Mechanics'!$B$23*(1-$B6),0)-IF(L$1&gt;0,'Underlying Mechanics'!$B$22*'Underlying Mechanics'!$B$17,0)-IF(L$1&gt;0,'Underlying Mechanics'!$B$12*'Underlying Mechanics'!$B$18,0)</x:f>
        <x:v>42300</x:v>
      </x:c>
      <x:c r="M6" t="n">
        <x:f>((IF(M$1-'Underlying Mechanics'!$B$8&lt;0,0,'Underlying Mechanics'!$B$22*'Underlying Mechanics'!$B$15*INDEX('Underlying Mechanics'!$B$31:$B$51,M$1-'Underlying Mechanics'!$B$8+1)*'Underlying Mechanics'!$B$5))*(1-$A6))-IF(M$1=0,'Underlying Mechanics'!$B$23*(1-$B6),0)-IF(M$1&gt;0,'Underlying Mechanics'!$B$22*'Underlying Mechanics'!$B$17,0)-IF(M$1&gt;0,'Underlying Mechanics'!$B$12*'Underlying Mechanics'!$B$18,0)</x:f>
        <x:v>59100.000000000015</x:v>
      </x:c>
      <x:c r="N6" t="n">
        <x:f>((IF(N$1-'Underlying Mechanics'!$B$8&lt;0,0,'Underlying Mechanics'!$B$22*'Underlying Mechanics'!$B$15*INDEX('Underlying Mechanics'!$B$31:$B$51,N$1-'Underlying Mechanics'!$B$8+1)*'Underlying Mechanics'!$B$5))*(1-$A6))-IF(N$1=0,'Underlying Mechanics'!$B$23*(1-$B6),0)-IF(N$1&gt;0,'Underlying Mechanics'!$B$22*'Underlying Mechanics'!$B$17,0)-IF(N$1&gt;0,'Underlying Mechanics'!$B$12*'Underlying Mechanics'!$B$18,0)</x:f>
        <x:v>73500</x:v>
      </x:c>
      <x:c r="O6" t="n">
        <x:f>((IF(O$1-'Underlying Mechanics'!$B$8&lt;0,0,'Underlying Mechanics'!$B$22*'Underlying Mechanics'!$B$15*INDEX('Underlying Mechanics'!$B$31:$B$51,O$1-'Underlying Mechanics'!$B$8+1)*'Underlying Mechanics'!$B$5))*(1-$A6))-IF(O$1=0,'Underlying Mechanics'!$B$23*(1-$B6),0)-IF(O$1&gt;0,'Underlying Mechanics'!$B$22*'Underlying Mechanics'!$B$17,0)-IF(O$1&gt;0,'Underlying Mechanics'!$B$12*'Underlying Mechanics'!$B$18,0)</x:f>
        <x:v>85500</x:v>
      </x:c>
      <x:c r="P6" t="n">
        <x:f>((IF(P$1-'Underlying Mechanics'!$B$8&lt;0,0,'Underlying Mechanics'!$B$22*'Underlying Mechanics'!$B$15*INDEX('Underlying Mechanics'!$B$31:$B$51,P$1-'Underlying Mechanics'!$B$8+1)*'Underlying Mechanics'!$B$5))*(1-$A6))-IF(P$1=0,'Underlying Mechanics'!$B$23*(1-$B6),0)-IF(P$1&gt;0,'Underlying Mechanics'!$B$22*'Underlying Mechanics'!$B$17,0)-IF(P$1&gt;0,'Underlying Mechanics'!$B$12*'Underlying Mechanics'!$B$18,0)</x:f>
        <x:v>97500</x:v>
      </x:c>
      <x:c r="Q6" t="n">
        <x:f>((IF(Q$1-'Underlying Mechanics'!$B$8&lt;0,0,'Underlying Mechanics'!$B$22*'Underlying Mechanics'!$B$15*INDEX('Underlying Mechanics'!$B$31:$B$51,Q$1-'Underlying Mechanics'!$B$8+1)*'Underlying Mechanics'!$B$5))*(1-$A6))-IF(Q$1=0,'Underlying Mechanics'!$B$23*(1-$B6),0)-IF(Q$1&gt;0,'Underlying Mechanics'!$B$22*'Underlying Mechanics'!$B$17,0)-IF(Q$1&gt;0,'Underlying Mechanics'!$B$12*'Underlying Mechanics'!$B$18,0)</x:f>
        <x:v>97500</x:v>
      </x:c>
      <x:c r="R6" t="n">
        <x:f>((IF(R$1-'Underlying Mechanics'!$B$8&lt;0,0,'Underlying Mechanics'!$B$22*'Underlying Mechanics'!$B$15*INDEX('Underlying Mechanics'!$B$31:$B$51,R$1-'Underlying Mechanics'!$B$8+1)*'Underlying Mechanics'!$B$5))*(1-$A6))-IF(R$1=0,'Underlying Mechanics'!$B$23*(1-$B6),0)-IF(R$1&gt;0,'Underlying Mechanics'!$B$22*'Underlying Mechanics'!$B$17,0)-IF(R$1&gt;0,'Underlying Mechanics'!$B$12*'Underlying Mechanics'!$B$18,0)</x:f>
        <x:v>97500</x:v>
      </x:c>
      <x:c r="S6" t="n">
        <x:f>((IF(S$1-'Underlying Mechanics'!$B$8&lt;0,0,'Underlying Mechanics'!$B$22*'Underlying Mechanics'!$B$15*INDEX('Underlying Mechanics'!$B$31:$B$51,S$1-'Underlying Mechanics'!$B$8+1)*'Underlying Mechanics'!$B$5))*(1-$A6))-IF(S$1=0,'Underlying Mechanics'!$B$23*(1-$B6),0)-IF(S$1&gt;0,'Underlying Mechanics'!$B$22*'Underlying Mechanics'!$B$17,0)-IF(S$1&gt;0,'Underlying Mechanics'!$B$12*'Underlying Mechanics'!$B$18,0)</x:f>
        <x:v>97500</x:v>
      </x:c>
      <x:c r="T6" t="n">
        <x:f>((IF(T$1-'Underlying Mechanics'!$B$8&lt;0,0,'Underlying Mechanics'!$B$22*'Underlying Mechanics'!$B$15*INDEX('Underlying Mechanics'!$B$31:$B$51,T$1-'Underlying Mechanics'!$B$8+1)*'Underlying Mechanics'!$B$5))*(1-$A6))-IF(T$1=0,'Underlying Mechanics'!$B$23*(1-$B6),0)-IF(T$1&gt;0,'Underlying Mechanics'!$B$22*'Underlying Mechanics'!$B$17,0)-IF(T$1&gt;0,'Underlying Mechanics'!$B$12*'Underlying Mechanics'!$B$18,0)</x:f>
        <x:v>97500</x:v>
      </x:c>
      <x:c r="U6" t="n">
        <x:f>((IF(U$1-'Underlying Mechanics'!$B$8&lt;0,0,'Underlying Mechanics'!$B$22*'Underlying Mechanics'!$B$15*INDEX('Underlying Mechanics'!$B$31:$B$51,U$1-'Underlying Mechanics'!$B$8+1)*'Underlying Mechanics'!$B$5))*(1-$A6))-IF(U$1=0,'Underlying Mechanics'!$B$23*(1-$B6),0)-IF(U$1&gt;0,'Underlying Mechanics'!$B$22*'Underlying Mechanics'!$B$17,0)-IF(U$1&gt;0,'Underlying Mechanics'!$B$12*'Underlying Mechanics'!$B$18,0)</x:f>
        <x:v>97500</x:v>
      </x:c>
      <x:c r="V6" t="n">
        <x:f>((IF(V$1-'Underlying Mechanics'!$B$8&lt;0,0,'Underlying Mechanics'!$B$22*'Underlying Mechanics'!$B$15*INDEX('Underlying Mechanics'!$B$31:$B$51,V$1-'Underlying Mechanics'!$B$8+1)*'Underlying Mechanics'!$B$5))*(1-$A6))-IF(V$1=0,'Underlying Mechanics'!$B$23*(1-$B6),0)-IF(V$1&gt;0,'Underlying Mechanics'!$B$22*'Underlying Mechanics'!$B$17,0)-IF(V$1&gt;0,'Underlying Mechanics'!$B$12*'Underlying Mechanics'!$B$18,0)</x:f>
        <x:v>97500</x:v>
      </x:c>
      <x:c r="W6" t="n">
        <x:f>((IF(W$1-'Underlying Mechanics'!$B$8&lt;0,0,'Underlying Mechanics'!$B$22*'Underlying Mechanics'!$B$15*INDEX('Underlying Mechanics'!$B$31:$B$51,W$1-'Underlying Mechanics'!$B$8+1)*'Underlying Mechanics'!$B$5))*(1-$A6))-IF(W$1=0,'Underlying Mechanics'!$B$23*(1-$B6),0)-IF(W$1&gt;0,'Underlying Mechanics'!$B$22*'Underlying Mechanics'!$B$17,0)-IF(W$1&gt;0,'Underlying Mechanics'!$B$12*'Underlying Mechanics'!$B$18,0)</x:f>
        <x:v>97500</x:v>
      </x:c>
      <x:c r="X6" t="n">
        <x:f>IFERROR(IRR(C6:W6),-1)</x:f>
        <x:v>0.13235150916162214</x:v>
      </x:c>
    </x:row>
    <x:row r="7">
      <x:c r="A7" t="n">
        <x:v>0</x:v>
      </x:c>
      <x:c r="B7" t="n">
        <x:v>0.25</x:v>
      </x:c>
      <x:c r="C7" t="n">
        <x:f>((IF(C$1-'Underlying Mechanics'!$B$8&lt;0,0,'Underlying Mechanics'!$B$22*'Underlying Mechanics'!$B$15*INDEX('Underlying Mechanics'!$B$31:$B$51,C$1-'Underlying Mechanics'!$B$8+1)*'Underlying Mechanics'!$B$5))*(1-$A7))-IF(C$1=0,'Underlying Mechanics'!$B$23*(1-$B7),0)-IF(C$1&gt;0,'Underlying Mechanics'!$B$22*'Underlying Mechanics'!$B$17,0)-IF(C$1&gt;0,'Underlying Mechanics'!$B$12*'Underlying Mechanics'!$B$18,0)</x:f>
        <x:v>-112500</x:v>
      </x:c>
      <x:c r="D7" t="n">
        <x:f>((IF(D$1-'Underlying Mechanics'!$B$8&lt;0,0,'Underlying Mechanics'!$B$22*'Underlying Mechanics'!$B$15*INDEX('Underlying Mechanics'!$B$31:$B$51,D$1-'Underlying Mechanics'!$B$8+1)*'Underlying Mechanics'!$B$5))*(1-$A7))-IF(D$1=0,'Underlying Mechanics'!$B$23*(1-$B7),0)-IF(D$1&gt;0,'Underlying Mechanics'!$B$22*'Underlying Mechanics'!$B$17,0)-IF(D$1&gt;0,'Underlying Mechanics'!$B$12*'Underlying Mechanics'!$B$18,0)</x:f>
        <x:v>-22500</x:v>
      </x:c>
      <x:c r="E7" t="n">
        <x:f>((IF(E$1-'Underlying Mechanics'!$B$8&lt;0,0,'Underlying Mechanics'!$B$22*'Underlying Mechanics'!$B$15*INDEX('Underlying Mechanics'!$B$31:$B$51,E$1-'Underlying Mechanics'!$B$8+1)*'Underlying Mechanics'!$B$5))*(1-$A7))-IF(E$1=0,'Underlying Mechanics'!$B$23*(1-$B7),0)-IF(E$1&gt;0,'Underlying Mechanics'!$B$22*'Underlying Mechanics'!$B$17,0)-IF(E$1&gt;0,'Underlying Mechanics'!$B$12*'Underlying Mechanics'!$B$18,0)</x:f>
        <x:v>-22500</x:v>
      </x:c>
      <x:c r="F7" t="n">
        <x:f>((IF(F$1-'Underlying Mechanics'!$B$8&lt;0,0,'Underlying Mechanics'!$B$22*'Underlying Mechanics'!$B$15*INDEX('Underlying Mechanics'!$B$31:$B$51,F$1-'Underlying Mechanics'!$B$8+1)*'Underlying Mechanics'!$B$5))*(1-$A7))-IF(F$1=0,'Underlying Mechanics'!$B$23*(1-$B7),0)-IF(F$1&gt;0,'Underlying Mechanics'!$B$22*'Underlying Mechanics'!$B$17,0)-IF(F$1&gt;0,'Underlying Mechanics'!$B$12*'Underlying Mechanics'!$B$18,0)</x:f>
        <x:v>-20100</x:v>
      </x:c>
      <x:c r="G7" t="n">
        <x:f>((IF(G$1-'Underlying Mechanics'!$B$8&lt;0,0,'Underlying Mechanics'!$B$22*'Underlying Mechanics'!$B$15*INDEX('Underlying Mechanics'!$B$31:$B$51,G$1-'Underlying Mechanics'!$B$8+1)*'Underlying Mechanics'!$B$5))*(1-$A7))-IF(G$1=0,'Underlying Mechanics'!$B$23*(1-$B7),0)-IF(G$1&gt;0,'Underlying Mechanics'!$B$22*'Underlying Mechanics'!$B$17,0)-IF(G$1&gt;0,'Underlying Mechanics'!$B$12*'Underlying Mechanics'!$B$18,0)</x:f>
        <x:v>-16500</x:v>
      </x:c>
      <x:c r="H7" t="n">
        <x:f>((IF(H$1-'Underlying Mechanics'!$B$8&lt;0,0,'Underlying Mechanics'!$B$22*'Underlying Mechanics'!$B$15*INDEX('Underlying Mechanics'!$B$31:$B$51,H$1-'Underlying Mechanics'!$B$8+1)*'Underlying Mechanics'!$B$5))*(1-$A7))-IF(H$1=0,'Underlying Mechanics'!$B$23*(1-$B7),0)-IF(H$1&gt;0,'Underlying Mechanics'!$B$22*'Underlying Mechanics'!$B$17,0)-IF(H$1&gt;0,'Underlying Mechanics'!$B$12*'Underlying Mechanics'!$B$18,0)</x:f>
        <x:v>-10500</x:v>
      </x:c>
      <x:c r="I7" t="n">
        <x:f>((IF(I$1-'Underlying Mechanics'!$B$8&lt;0,0,'Underlying Mechanics'!$B$22*'Underlying Mechanics'!$B$15*INDEX('Underlying Mechanics'!$B$31:$B$51,I$1-'Underlying Mechanics'!$B$8+1)*'Underlying Mechanics'!$B$5))*(1-$A7))-IF(I$1=0,'Underlying Mechanics'!$B$23*(1-$B7),0)-IF(I$1&gt;0,'Underlying Mechanics'!$B$22*'Underlying Mechanics'!$B$17,0)-IF(I$1&gt;0,'Underlying Mechanics'!$B$12*'Underlying Mechanics'!$B$18,0)</x:f>
        <x:v>-900</x:v>
      </x:c>
      <x:c r="J7" t="n">
        <x:f>((IF(J$1-'Underlying Mechanics'!$B$8&lt;0,0,'Underlying Mechanics'!$B$22*'Underlying Mechanics'!$B$15*INDEX('Underlying Mechanics'!$B$31:$B$51,J$1-'Underlying Mechanics'!$B$8+1)*'Underlying Mechanics'!$B$5))*(1-$A7))-IF(J$1=0,'Underlying Mechanics'!$B$23*(1-$B7),0)-IF(J$1&gt;0,'Underlying Mechanics'!$B$22*'Underlying Mechanics'!$B$17,0)-IF(J$1&gt;0,'Underlying Mechanics'!$B$12*'Underlying Mechanics'!$B$18,0)</x:f>
        <x:v>11100.000000000007</x:v>
      </x:c>
      <x:c r="K7" t="n">
        <x:f>((IF(K$1-'Underlying Mechanics'!$B$8&lt;0,0,'Underlying Mechanics'!$B$22*'Underlying Mechanics'!$B$15*INDEX('Underlying Mechanics'!$B$31:$B$51,K$1-'Underlying Mechanics'!$B$8+1)*'Underlying Mechanics'!$B$5))*(1-$A7))-IF(K$1=0,'Underlying Mechanics'!$B$23*(1-$B7),0)-IF(K$1&gt;0,'Underlying Mechanics'!$B$22*'Underlying Mechanics'!$B$17,0)-IF(K$1&gt;0,'Underlying Mechanics'!$B$12*'Underlying Mechanics'!$B$18,0)</x:f>
        <x:v>25500</x:v>
      </x:c>
      <x:c r="L7" t="n">
        <x:f>((IF(L$1-'Underlying Mechanics'!$B$8&lt;0,0,'Underlying Mechanics'!$B$22*'Underlying Mechanics'!$B$15*INDEX('Underlying Mechanics'!$B$31:$B$51,L$1-'Underlying Mechanics'!$B$8+1)*'Underlying Mechanics'!$B$5))*(1-$A7))-IF(L$1=0,'Underlying Mechanics'!$B$23*(1-$B7),0)-IF(L$1&gt;0,'Underlying Mechanics'!$B$22*'Underlying Mechanics'!$B$17,0)-IF(L$1&gt;0,'Underlying Mechanics'!$B$12*'Underlying Mechanics'!$B$18,0)</x:f>
        <x:v>42300</x:v>
      </x:c>
      <x:c r="M7" t="n">
        <x:f>((IF(M$1-'Underlying Mechanics'!$B$8&lt;0,0,'Underlying Mechanics'!$B$22*'Underlying Mechanics'!$B$15*INDEX('Underlying Mechanics'!$B$31:$B$51,M$1-'Underlying Mechanics'!$B$8+1)*'Underlying Mechanics'!$B$5))*(1-$A7))-IF(M$1=0,'Underlying Mechanics'!$B$23*(1-$B7),0)-IF(M$1&gt;0,'Underlying Mechanics'!$B$22*'Underlying Mechanics'!$B$17,0)-IF(M$1&gt;0,'Underlying Mechanics'!$B$12*'Underlying Mechanics'!$B$18,0)</x:f>
        <x:v>59100.000000000015</x:v>
      </x:c>
      <x:c r="N7" t="n">
        <x:f>((IF(N$1-'Underlying Mechanics'!$B$8&lt;0,0,'Underlying Mechanics'!$B$22*'Underlying Mechanics'!$B$15*INDEX('Underlying Mechanics'!$B$31:$B$51,N$1-'Underlying Mechanics'!$B$8+1)*'Underlying Mechanics'!$B$5))*(1-$A7))-IF(N$1=0,'Underlying Mechanics'!$B$23*(1-$B7),0)-IF(N$1&gt;0,'Underlying Mechanics'!$B$22*'Underlying Mechanics'!$B$17,0)-IF(N$1&gt;0,'Underlying Mechanics'!$B$12*'Underlying Mechanics'!$B$18,0)</x:f>
        <x:v>73500</x:v>
      </x:c>
      <x:c r="O7" t="n">
        <x:f>((IF(O$1-'Underlying Mechanics'!$B$8&lt;0,0,'Underlying Mechanics'!$B$22*'Underlying Mechanics'!$B$15*INDEX('Underlying Mechanics'!$B$31:$B$51,O$1-'Underlying Mechanics'!$B$8+1)*'Underlying Mechanics'!$B$5))*(1-$A7))-IF(O$1=0,'Underlying Mechanics'!$B$23*(1-$B7),0)-IF(O$1&gt;0,'Underlying Mechanics'!$B$22*'Underlying Mechanics'!$B$17,0)-IF(O$1&gt;0,'Underlying Mechanics'!$B$12*'Underlying Mechanics'!$B$18,0)</x:f>
        <x:v>85500</x:v>
      </x:c>
      <x:c r="P7" t="n">
        <x:f>((IF(P$1-'Underlying Mechanics'!$B$8&lt;0,0,'Underlying Mechanics'!$B$22*'Underlying Mechanics'!$B$15*INDEX('Underlying Mechanics'!$B$31:$B$51,P$1-'Underlying Mechanics'!$B$8+1)*'Underlying Mechanics'!$B$5))*(1-$A7))-IF(P$1=0,'Underlying Mechanics'!$B$23*(1-$B7),0)-IF(P$1&gt;0,'Underlying Mechanics'!$B$22*'Underlying Mechanics'!$B$17,0)-IF(P$1&gt;0,'Underlying Mechanics'!$B$12*'Underlying Mechanics'!$B$18,0)</x:f>
        <x:v>97500</x:v>
      </x:c>
      <x:c r="Q7" t="n">
        <x:f>((IF(Q$1-'Underlying Mechanics'!$B$8&lt;0,0,'Underlying Mechanics'!$B$22*'Underlying Mechanics'!$B$15*INDEX('Underlying Mechanics'!$B$31:$B$51,Q$1-'Underlying Mechanics'!$B$8+1)*'Underlying Mechanics'!$B$5))*(1-$A7))-IF(Q$1=0,'Underlying Mechanics'!$B$23*(1-$B7),0)-IF(Q$1&gt;0,'Underlying Mechanics'!$B$22*'Underlying Mechanics'!$B$17,0)-IF(Q$1&gt;0,'Underlying Mechanics'!$B$12*'Underlying Mechanics'!$B$18,0)</x:f>
        <x:v>97500</x:v>
      </x:c>
      <x:c r="R7" t="n">
        <x:f>((IF(R$1-'Underlying Mechanics'!$B$8&lt;0,0,'Underlying Mechanics'!$B$22*'Underlying Mechanics'!$B$15*INDEX('Underlying Mechanics'!$B$31:$B$51,R$1-'Underlying Mechanics'!$B$8+1)*'Underlying Mechanics'!$B$5))*(1-$A7))-IF(R$1=0,'Underlying Mechanics'!$B$23*(1-$B7),0)-IF(R$1&gt;0,'Underlying Mechanics'!$B$22*'Underlying Mechanics'!$B$17,0)-IF(R$1&gt;0,'Underlying Mechanics'!$B$12*'Underlying Mechanics'!$B$18,0)</x:f>
        <x:v>97500</x:v>
      </x:c>
      <x:c r="S7" t="n">
        <x:f>((IF(S$1-'Underlying Mechanics'!$B$8&lt;0,0,'Underlying Mechanics'!$B$22*'Underlying Mechanics'!$B$15*INDEX('Underlying Mechanics'!$B$31:$B$51,S$1-'Underlying Mechanics'!$B$8+1)*'Underlying Mechanics'!$B$5))*(1-$A7))-IF(S$1=0,'Underlying Mechanics'!$B$23*(1-$B7),0)-IF(S$1&gt;0,'Underlying Mechanics'!$B$22*'Underlying Mechanics'!$B$17,0)-IF(S$1&gt;0,'Underlying Mechanics'!$B$12*'Underlying Mechanics'!$B$18,0)</x:f>
        <x:v>97500</x:v>
      </x:c>
      <x:c r="T7" t="n">
        <x:f>((IF(T$1-'Underlying Mechanics'!$B$8&lt;0,0,'Underlying Mechanics'!$B$22*'Underlying Mechanics'!$B$15*INDEX('Underlying Mechanics'!$B$31:$B$51,T$1-'Underlying Mechanics'!$B$8+1)*'Underlying Mechanics'!$B$5))*(1-$A7))-IF(T$1=0,'Underlying Mechanics'!$B$23*(1-$B7),0)-IF(T$1&gt;0,'Underlying Mechanics'!$B$22*'Underlying Mechanics'!$B$17,0)-IF(T$1&gt;0,'Underlying Mechanics'!$B$12*'Underlying Mechanics'!$B$18,0)</x:f>
        <x:v>97500</x:v>
      </x:c>
      <x:c r="U7" t="n">
        <x:f>((IF(U$1-'Underlying Mechanics'!$B$8&lt;0,0,'Underlying Mechanics'!$B$22*'Underlying Mechanics'!$B$15*INDEX('Underlying Mechanics'!$B$31:$B$51,U$1-'Underlying Mechanics'!$B$8+1)*'Underlying Mechanics'!$B$5))*(1-$A7))-IF(U$1=0,'Underlying Mechanics'!$B$23*(1-$B7),0)-IF(U$1&gt;0,'Underlying Mechanics'!$B$22*'Underlying Mechanics'!$B$17,0)-IF(U$1&gt;0,'Underlying Mechanics'!$B$12*'Underlying Mechanics'!$B$18,0)</x:f>
        <x:v>97500</x:v>
      </x:c>
      <x:c r="V7" t="n">
        <x:f>((IF(V$1-'Underlying Mechanics'!$B$8&lt;0,0,'Underlying Mechanics'!$B$22*'Underlying Mechanics'!$B$15*INDEX('Underlying Mechanics'!$B$31:$B$51,V$1-'Underlying Mechanics'!$B$8+1)*'Underlying Mechanics'!$B$5))*(1-$A7))-IF(V$1=0,'Underlying Mechanics'!$B$23*(1-$B7),0)-IF(V$1&gt;0,'Underlying Mechanics'!$B$22*'Underlying Mechanics'!$B$17,0)-IF(V$1&gt;0,'Underlying Mechanics'!$B$12*'Underlying Mechanics'!$B$18,0)</x:f>
        <x:v>97500</x:v>
      </x:c>
      <x:c r="W7" t="n">
        <x:f>((IF(W$1-'Underlying Mechanics'!$B$8&lt;0,0,'Underlying Mechanics'!$B$22*'Underlying Mechanics'!$B$15*INDEX('Underlying Mechanics'!$B$31:$B$51,W$1-'Underlying Mechanics'!$B$8+1)*'Underlying Mechanics'!$B$5))*(1-$A7))-IF(W$1=0,'Underlying Mechanics'!$B$23*(1-$B7),0)-IF(W$1&gt;0,'Underlying Mechanics'!$B$22*'Underlying Mechanics'!$B$17,0)-IF(W$1&gt;0,'Underlying Mechanics'!$B$12*'Underlying Mechanics'!$B$18,0)</x:f>
        <x:v>97500</x:v>
      </x:c>
      <x:c r="X7" t="n">
        <x:f>IFERROR(IRR(C7:W7),-1)</x:f>
        <x:v>0.13609579392090393</x:v>
      </x:c>
    </x:row>
    <x:row r="8">
      <x:c r="A8" t="n">
        <x:v>0</x:v>
      </x:c>
      <x:c r="B8" t="n">
        <x:v>0.3</x:v>
      </x:c>
      <x:c r="C8" t="n">
        <x:f>((IF(C$1-'Underlying Mechanics'!$B$8&lt;0,0,'Underlying Mechanics'!$B$22*'Underlying Mechanics'!$B$15*INDEX('Underlying Mechanics'!$B$31:$B$51,C$1-'Underlying Mechanics'!$B$8+1)*'Underlying Mechanics'!$B$5))*(1-$A8))-IF(C$1=0,'Underlying Mechanics'!$B$23*(1-$B8),0)-IF(C$1&gt;0,'Underlying Mechanics'!$B$22*'Underlying Mechanics'!$B$17,0)-IF(C$1&gt;0,'Underlying Mechanics'!$B$12*'Underlying Mechanics'!$B$18,0)</x:f>
        <x:v>-105000</x:v>
      </x:c>
      <x:c r="D8" t="n">
        <x:f>((IF(D$1-'Underlying Mechanics'!$B$8&lt;0,0,'Underlying Mechanics'!$B$22*'Underlying Mechanics'!$B$15*INDEX('Underlying Mechanics'!$B$31:$B$51,D$1-'Underlying Mechanics'!$B$8+1)*'Underlying Mechanics'!$B$5))*(1-$A8))-IF(D$1=0,'Underlying Mechanics'!$B$23*(1-$B8),0)-IF(D$1&gt;0,'Underlying Mechanics'!$B$22*'Underlying Mechanics'!$B$17,0)-IF(D$1&gt;0,'Underlying Mechanics'!$B$12*'Underlying Mechanics'!$B$18,0)</x:f>
        <x:v>-22500</x:v>
      </x:c>
      <x:c r="E8" t="n">
        <x:f>((IF(E$1-'Underlying Mechanics'!$B$8&lt;0,0,'Underlying Mechanics'!$B$22*'Underlying Mechanics'!$B$15*INDEX('Underlying Mechanics'!$B$31:$B$51,E$1-'Underlying Mechanics'!$B$8+1)*'Underlying Mechanics'!$B$5))*(1-$A8))-IF(E$1=0,'Underlying Mechanics'!$B$23*(1-$B8),0)-IF(E$1&gt;0,'Underlying Mechanics'!$B$22*'Underlying Mechanics'!$B$17,0)-IF(E$1&gt;0,'Underlying Mechanics'!$B$12*'Underlying Mechanics'!$B$18,0)</x:f>
        <x:v>-22500</x:v>
      </x:c>
      <x:c r="F8" t="n">
        <x:f>((IF(F$1-'Underlying Mechanics'!$B$8&lt;0,0,'Underlying Mechanics'!$B$22*'Underlying Mechanics'!$B$15*INDEX('Underlying Mechanics'!$B$31:$B$51,F$1-'Underlying Mechanics'!$B$8+1)*'Underlying Mechanics'!$B$5))*(1-$A8))-IF(F$1=0,'Underlying Mechanics'!$B$23*(1-$B8),0)-IF(F$1&gt;0,'Underlying Mechanics'!$B$22*'Underlying Mechanics'!$B$17,0)-IF(F$1&gt;0,'Underlying Mechanics'!$B$12*'Underlying Mechanics'!$B$18,0)</x:f>
        <x:v>-20100</x:v>
      </x:c>
      <x:c r="G8" t="n">
        <x:f>((IF(G$1-'Underlying Mechanics'!$B$8&lt;0,0,'Underlying Mechanics'!$B$22*'Underlying Mechanics'!$B$15*INDEX('Underlying Mechanics'!$B$31:$B$51,G$1-'Underlying Mechanics'!$B$8+1)*'Underlying Mechanics'!$B$5))*(1-$A8))-IF(G$1=0,'Underlying Mechanics'!$B$23*(1-$B8),0)-IF(G$1&gt;0,'Underlying Mechanics'!$B$22*'Underlying Mechanics'!$B$17,0)-IF(G$1&gt;0,'Underlying Mechanics'!$B$12*'Underlying Mechanics'!$B$18,0)</x:f>
        <x:v>-16500</x:v>
      </x:c>
      <x:c r="H8" t="n">
        <x:f>((IF(H$1-'Underlying Mechanics'!$B$8&lt;0,0,'Underlying Mechanics'!$B$22*'Underlying Mechanics'!$B$15*INDEX('Underlying Mechanics'!$B$31:$B$51,H$1-'Underlying Mechanics'!$B$8+1)*'Underlying Mechanics'!$B$5))*(1-$A8))-IF(H$1=0,'Underlying Mechanics'!$B$23*(1-$B8),0)-IF(H$1&gt;0,'Underlying Mechanics'!$B$22*'Underlying Mechanics'!$B$17,0)-IF(H$1&gt;0,'Underlying Mechanics'!$B$12*'Underlying Mechanics'!$B$18,0)</x:f>
        <x:v>-10500</x:v>
      </x:c>
      <x:c r="I8" t="n">
        <x:f>((IF(I$1-'Underlying Mechanics'!$B$8&lt;0,0,'Underlying Mechanics'!$B$22*'Underlying Mechanics'!$B$15*INDEX('Underlying Mechanics'!$B$31:$B$51,I$1-'Underlying Mechanics'!$B$8+1)*'Underlying Mechanics'!$B$5))*(1-$A8))-IF(I$1=0,'Underlying Mechanics'!$B$23*(1-$B8),0)-IF(I$1&gt;0,'Underlying Mechanics'!$B$22*'Underlying Mechanics'!$B$17,0)-IF(I$1&gt;0,'Underlying Mechanics'!$B$12*'Underlying Mechanics'!$B$18,0)</x:f>
        <x:v>-900</x:v>
      </x:c>
      <x:c r="J8" t="n">
        <x:f>((IF(J$1-'Underlying Mechanics'!$B$8&lt;0,0,'Underlying Mechanics'!$B$22*'Underlying Mechanics'!$B$15*INDEX('Underlying Mechanics'!$B$31:$B$51,J$1-'Underlying Mechanics'!$B$8+1)*'Underlying Mechanics'!$B$5))*(1-$A8))-IF(J$1=0,'Underlying Mechanics'!$B$23*(1-$B8),0)-IF(J$1&gt;0,'Underlying Mechanics'!$B$22*'Underlying Mechanics'!$B$17,0)-IF(J$1&gt;0,'Underlying Mechanics'!$B$12*'Underlying Mechanics'!$B$18,0)</x:f>
        <x:v>11100.000000000007</x:v>
      </x:c>
      <x:c r="K8" t="n">
        <x:f>((IF(K$1-'Underlying Mechanics'!$B$8&lt;0,0,'Underlying Mechanics'!$B$22*'Underlying Mechanics'!$B$15*INDEX('Underlying Mechanics'!$B$31:$B$51,K$1-'Underlying Mechanics'!$B$8+1)*'Underlying Mechanics'!$B$5))*(1-$A8))-IF(K$1=0,'Underlying Mechanics'!$B$23*(1-$B8),0)-IF(K$1&gt;0,'Underlying Mechanics'!$B$22*'Underlying Mechanics'!$B$17,0)-IF(K$1&gt;0,'Underlying Mechanics'!$B$12*'Underlying Mechanics'!$B$18,0)</x:f>
        <x:v>25500</x:v>
      </x:c>
      <x:c r="L8" t="n">
        <x:f>((IF(L$1-'Underlying Mechanics'!$B$8&lt;0,0,'Underlying Mechanics'!$B$22*'Underlying Mechanics'!$B$15*INDEX('Underlying Mechanics'!$B$31:$B$51,L$1-'Underlying Mechanics'!$B$8+1)*'Underlying Mechanics'!$B$5))*(1-$A8))-IF(L$1=0,'Underlying Mechanics'!$B$23*(1-$B8),0)-IF(L$1&gt;0,'Underlying Mechanics'!$B$22*'Underlying Mechanics'!$B$17,0)-IF(L$1&gt;0,'Underlying Mechanics'!$B$12*'Underlying Mechanics'!$B$18,0)</x:f>
        <x:v>42300</x:v>
      </x:c>
      <x:c r="M8" t="n">
        <x:f>((IF(M$1-'Underlying Mechanics'!$B$8&lt;0,0,'Underlying Mechanics'!$B$22*'Underlying Mechanics'!$B$15*INDEX('Underlying Mechanics'!$B$31:$B$51,M$1-'Underlying Mechanics'!$B$8+1)*'Underlying Mechanics'!$B$5))*(1-$A8))-IF(M$1=0,'Underlying Mechanics'!$B$23*(1-$B8),0)-IF(M$1&gt;0,'Underlying Mechanics'!$B$22*'Underlying Mechanics'!$B$17,0)-IF(M$1&gt;0,'Underlying Mechanics'!$B$12*'Underlying Mechanics'!$B$18,0)</x:f>
        <x:v>59100.000000000015</x:v>
      </x:c>
      <x:c r="N8" t="n">
        <x:f>((IF(N$1-'Underlying Mechanics'!$B$8&lt;0,0,'Underlying Mechanics'!$B$22*'Underlying Mechanics'!$B$15*INDEX('Underlying Mechanics'!$B$31:$B$51,N$1-'Underlying Mechanics'!$B$8+1)*'Underlying Mechanics'!$B$5))*(1-$A8))-IF(N$1=0,'Underlying Mechanics'!$B$23*(1-$B8),0)-IF(N$1&gt;0,'Underlying Mechanics'!$B$22*'Underlying Mechanics'!$B$17,0)-IF(N$1&gt;0,'Underlying Mechanics'!$B$12*'Underlying Mechanics'!$B$18,0)</x:f>
        <x:v>73500</x:v>
      </x:c>
      <x:c r="O8" t="n">
        <x:f>((IF(O$1-'Underlying Mechanics'!$B$8&lt;0,0,'Underlying Mechanics'!$B$22*'Underlying Mechanics'!$B$15*INDEX('Underlying Mechanics'!$B$31:$B$51,O$1-'Underlying Mechanics'!$B$8+1)*'Underlying Mechanics'!$B$5))*(1-$A8))-IF(O$1=0,'Underlying Mechanics'!$B$23*(1-$B8),0)-IF(O$1&gt;0,'Underlying Mechanics'!$B$22*'Underlying Mechanics'!$B$17,0)-IF(O$1&gt;0,'Underlying Mechanics'!$B$12*'Underlying Mechanics'!$B$18,0)</x:f>
        <x:v>85500</x:v>
      </x:c>
      <x:c r="P8" t="n">
        <x:f>((IF(P$1-'Underlying Mechanics'!$B$8&lt;0,0,'Underlying Mechanics'!$B$22*'Underlying Mechanics'!$B$15*INDEX('Underlying Mechanics'!$B$31:$B$51,P$1-'Underlying Mechanics'!$B$8+1)*'Underlying Mechanics'!$B$5))*(1-$A8))-IF(P$1=0,'Underlying Mechanics'!$B$23*(1-$B8),0)-IF(P$1&gt;0,'Underlying Mechanics'!$B$22*'Underlying Mechanics'!$B$17,0)-IF(P$1&gt;0,'Underlying Mechanics'!$B$12*'Underlying Mechanics'!$B$18,0)</x:f>
        <x:v>97500</x:v>
      </x:c>
      <x:c r="Q8" t="n">
        <x:f>((IF(Q$1-'Underlying Mechanics'!$B$8&lt;0,0,'Underlying Mechanics'!$B$22*'Underlying Mechanics'!$B$15*INDEX('Underlying Mechanics'!$B$31:$B$51,Q$1-'Underlying Mechanics'!$B$8+1)*'Underlying Mechanics'!$B$5))*(1-$A8))-IF(Q$1=0,'Underlying Mechanics'!$B$23*(1-$B8),0)-IF(Q$1&gt;0,'Underlying Mechanics'!$B$22*'Underlying Mechanics'!$B$17,0)-IF(Q$1&gt;0,'Underlying Mechanics'!$B$12*'Underlying Mechanics'!$B$18,0)</x:f>
        <x:v>97500</x:v>
      </x:c>
      <x:c r="R8" t="n">
        <x:f>((IF(R$1-'Underlying Mechanics'!$B$8&lt;0,0,'Underlying Mechanics'!$B$22*'Underlying Mechanics'!$B$15*INDEX('Underlying Mechanics'!$B$31:$B$51,R$1-'Underlying Mechanics'!$B$8+1)*'Underlying Mechanics'!$B$5))*(1-$A8))-IF(R$1=0,'Underlying Mechanics'!$B$23*(1-$B8),0)-IF(R$1&gt;0,'Underlying Mechanics'!$B$22*'Underlying Mechanics'!$B$17,0)-IF(R$1&gt;0,'Underlying Mechanics'!$B$12*'Underlying Mechanics'!$B$18,0)</x:f>
        <x:v>97500</x:v>
      </x:c>
      <x:c r="S8" t="n">
        <x:f>((IF(S$1-'Underlying Mechanics'!$B$8&lt;0,0,'Underlying Mechanics'!$B$22*'Underlying Mechanics'!$B$15*INDEX('Underlying Mechanics'!$B$31:$B$51,S$1-'Underlying Mechanics'!$B$8+1)*'Underlying Mechanics'!$B$5))*(1-$A8))-IF(S$1=0,'Underlying Mechanics'!$B$23*(1-$B8),0)-IF(S$1&gt;0,'Underlying Mechanics'!$B$22*'Underlying Mechanics'!$B$17,0)-IF(S$1&gt;0,'Underlying Mechanics'!$B$12*'Underlying Mechanics'!$B$18,0)</x:f>
        <x:v>97500</x:v>
      </x:c>
      <x:c r="T8" t="n">
        <x:f>((IF(T$1-'Underlying Mechanics'!$B$8&lt;0,0,'Underlying Mechanics'!$B$22*'Underlying Mechanics'!$B$15*INDEX('Underlying Mechanics'!$B$31:$B$51,T$1-'Underlying Mechanics'!$B$8+1)*'Underlying Mechanics'!$B$5))*(1-$A8))-IF(T$1=0,'Underlying Mechanics'!$B$23*(1-$B8),0)-IF(T$1&gt;0,'Underlying Mechanics'!$B$22*'Underlying Mechanics'!$B$17,0)-IF(T$1&gt;0,'Underlying Mechanics'!$B$12*'Underlying Mechanics'!$B$18,0)</x:f>
        <x:v>97500</x:v>
      </x:c>
      <x:c r="U8" t="n">
        <x:f>((IF(U$1-'Underlying Mechanics'!$B$8&lt;0,0,'Underlying Mechanics'!$B$22*'Underlying Mechanics'!$B$15*INDEX('Underlying Mechanics'!$B$31:$B$51,U$1-'Underlying Mechanics'!$B$8+1)*'Underlying Mechanics'!$B$5))*(1-$A8))-IF(U$1=0,'Underlying Mechanics'!$B$23*(1-$B8),0)-IF(U$1&gt;0,'Underlying Mechanics'!$B$22*'Underlying Mechanics'!$B$17,0)-IF(U$1&gt;0,'Underlying Mechanics'!$B$12*'Underlying Mechanics'!$B$18,0)</x:f>
        <x:v>97500</x:v>
      </x:c>
      <x:c r="V8" t="n">
        <x:f>((IF(V$1-'Underlying Mechanics'!$B$8&lt;0,0,'Underlying Mechanics'!$B$22*'Underlying Mechanics'!$B$15*INDEX('Underlying Mechanics'!$B$31:$B$51,V$1-'Underlying Mechanics'!$B$8+1)*'Underlying Mechanics'!$B$5))*(1-$A8))-IF(V$1=0,'Underlying Mechanics'!$B$23*(1-$B8),0)-IF(V$1&gt;0,'Underlying Mechanics'!$B$22*'Underlying Mechanics'!$B$17,0)-IF(V$1&gt;0,'Underlying Mechanics'!$B$12*'Underlying Mechanics'!$B$18,0)</x:f>
        <x:v>97500</x:v>
      </x:c>
      <x:c r="W8" t="n">
        <x:f>((IF(W$1-'Underlying Mechanics'!$B$8&lt;0,0,'Underlying Mechanics'!$B$22*'Underlying Mechanics'!$B$15*INDEX('Underlying Mechanics'!$B$31:$B$51,W$1-'Underlying Mechanics'!$B$8+1)*'Underlying Mechanics'!$B$5))*(1-$A8))-IF(W$1=0,'Underlying Mechanics'!$B$23*(1-$B8),0)-IF(W$1&gt;0,'Underlying Mechanics'!$B$22*'Underlying Mechanics'!$B$17,0)-IF(W$1&gt;0,'Underlying Mechanics'!$B$12*'Underlying Mechanics'!$B$18,0)</x:f>
        <x:v>97500</x:v>
      </x:c>
      <x:c r="X8" t="n">
        <x:f>IFERROR(IRR(C8:W8),-1)</x:f>
        <x:v>0.140048535319518</x:v>
      </x:c>
    </x:row>
    <x:row r="9">
      <x:c r="A9" t="n">
        <x:v>0</x:v>
      </x:c>
      <x:c r="B9" t="n">
        <x:v>0.35</x:v>
      </x:c>
      <x:c r="C9" t="n">
        <x:f>((IF(C$1-'Underlying Mechanics'!$B$8&lt;0,0,'Underlying Mechanics'!$B$22*'Underlying Mechanics'!$B$15*INDEX('Underlying Mechanics'!$B$31:$B$51,C$1-'Underlying Mechanics'!$B$8+1)*'Underlying Mechanics'!$B$5))*(1-$A9))-IF(C$1=0,'Underlying Mechanics'!$B$23*(1-$B9),0)-IF(C$1&gt;0,'Underlying Mechanics'!$B$22*'Underlying Mechanics'!$B$17,0)-IF(C$1&gt;0,'Underlying Mechanics'!$B$12*'Underlying Mechanics'!$B$18,0)</x:f>
        <x:v>-97500</x:v>
      </x:c>
      <x:c r="D9" t="n">
        <x:f>((IF(D$1-'Underlying Mechanics'!$B$8&lt;0,0,'Underlying Mechanics'!$B$22*'Underlying Mechanics'!$B$15*INDEX('Underlying Mechanics'!$B$31:$B$51,D$1-'Underlying Mechanics'!$B$8+1)*'Underlying Mechanics'!$B$5))*(1-$A9))-IF(D$1=0,'Underlying Mechanics'!$B$23*(1-$B9),0)-IF(D$1&gt;0,'Underlying Mechanics'!$B$22*'Underlying Mechanics'!$B$17,0)-IF(D$1&gt;0,'Underlying Mechanics'!$B$12*'Underlying Mechanics'!$B$18,0)</x:f>
        <x:v>-22500</x:v>
      </x:c>
      <x:c r="E9" t="n">
        <x:f>((IF(E$1-'Underlying Mechanics'!$B$8&lt;0,0,'Underlying Mechanics'!$B$22*'Underlying Mechanics'!$B$15*INDEX('Underlying Mechanics'!$B$31:$B$51,E$1-'Underlying Mechanics'!$B$8+1)*'Underlying Mechanics'!$B$5))*(1-$A9))-IF(E$1=0,'Underlying Mechanics'!$B$23*(1-$B9),0)-IF(E$1&gt;0,'Underlying Mechanics'!$B$22*'Underlying Mechanics'!$B$17,0)-IF(E$1&gt;0,'Underlying Mechanics'!$B$12*'Underlying Mechanics'!$B$18,0)</x:f>
        <x:v>-22500</x:v>
      </x:c>
      <x:c r="F9" t="n">
        <x:f>((IF(F$1-'Underlying Mechanics'!$B$8&lt;0,0,'Underlying Mechanics'!$B$22*'Underlying Mechanics'!$B$15*INDEX('Underlying Mechanics'!$B$31:$B$51,F$1-'Underlying Mechanics'!$B$8+1)*'Underlying Mechanics'!$B$5))*(1-$A9))-IF(F$1=0,'Underlying Mechanics'!$B$23*(1-$B9),0)-IF(F$1&gt;0,'Underlying Mechanics'!$B$22*'Underlying Mechanics'!$B$17,0)-IF(F$1&gt;0,'Underlying Mechanics'!$B$12*'Underlying Mechanics'!$B$18,0)</x:f>
        <x:v>-20100</x:v>
      </x:c>
      <x:c r="G9" t="n">
        <x:f>((IF(G$1-'Underlying Mechanics'!$B$8&lt;0,0,'Underlying Mechanics'!$B$22*'Underlying Mechanics'!$B$15*INDEX('Underlying Mechanics'!$B$31:$B$51,G$1-'Underlying Mechanics'!$B$8+1)*'Underlying Mechanics'!$B$5))*(1-$A9))-IF(G$1=0,'Underlying Mechanics'!$B$23*(1-$B9),0)-IF(G$1&gt;0,'Underlying Mechanics'!$B$22*'Underlying Mechanics'!$B$17,0)-IF(G$1&gt;0,'Underlying Mechanics'!$B$12*'Underlying Mechanics'!$B$18,0)</x:f>
        <x:v>-16500</x:v>
      </x:c>
      <x:c r="H9" t="n">
        <x:f>((IF(H$1-'Underlying Mechanics'!$B$8&lt;0,0,'Underlying Mechanics'!$B$22*'Underlying Mechanics'!$B$15*INDEX('Underlying Mechanics'!$B$31:$B$51,H$1-'Underlying Mechanics'!$B$8+1)*'Underlying Mechanics'!$B$5))*(1-$A9))-IF(H$1=0,'Underlying Mechanics'!$B$23*(1-$B9),0)-IF(H$1&gt;0,'Underlying Mechanics'!$B$22*'Underlying Mechanics'!$B$17,0)-IF(H$1&gt;0,'Underlying Mechanics'!$B$12*'Underlying Mechanics'!$B$18,0)</x:f>
        <x:v>-10500</x:v>
      </x:c>
      <x:c r="I9" t="n">
        <x:f>((IF(I$1-'Underlying Mechanics'!$B$8&lt;0,0,'Underlying Mechanics'!$B$22*'Underlying Mechanics'!$B$15*INDEX('Underlying Mechanics'!$B$31:$B$51,I$1-'Underlying Mechanics'!$B$8+1)*'Underlying Mechanics'!$B$5))*(1-$A9))-IF(I$1=0,'Underlying Mechanics'!$B$23*(1-$B9),0)-IF(I$1&gt;0,'Underlying Mechanics'!$B$22*'Underlying Mechanics'!$B$17,0)-IF(I$1&gt;0,'Underlying Mechanics'!$B$12*'Underlying Mechanics'!$B$18,0)</x:f>
        <x:v>-900</x:v>
      </x:c>
      <x:c r="J9" t="n">
        <x:f>((IF(J$1-'Underlying Mechanics'!$B$8&lt;0,0,'Underlying Mechanics'!$B$22*'Underlying Mechanics'!$B$15*INDEX('Underlying Mechanics'!$B$31:$B$51,J$1-'Underlying Mechanics'!$B$8+1)*'Underlying Mechanics'!$B$5))*(1-$A9))-IF(J$1=0,'Underlying Mechanics'!$B$23*(1-$B9),0)-IF(J$1&gt;0,'Underlying Mechanics'!$B$22*'Underlying Mechanics'!$B$17,0)-IF(J$1&gt;0,'Underlying Mechanics'!$B$12*'Underlying Mechanics'!$B$18,0)</x:f>
        <x:v>11100.000000000007</x:v>
      </x:c>
      <x:c r="K9" t="n">
        <x:f>((IF(K$1-'Underlying Mechanics'!$B$8&lt;0,0,'Underlying Mechanics'!$B$22*'Underlying Mechanics'!$B$15*INDEX('Underlying Mechanics'!$B$31:$B$51,K$1-'Underlying Mechanics'!$B$8+1)*'Underlying Mechanics'!$B$5))*(1-$A9))-IF(K$1=0,'Underlying Mechanics'!$B$23*(1-$B9),0)-IF(K$1&gt;0,'Underlying Mechanics'!$B$22*'Underlying Mechanics'!$B$17,0)-IF(K$1&gt;0,'Underlying Mechanics'!$B$12*'Underlying Mechanics'!$B$18,0)</x:f>
        <x:v>25500</x:v>
      </x:c>
      <x:c r="L9" t="n">
        <x:f>((IF(L$1-'Underlying Mechanics'!$B$8&lt;0,0,'Underlying Mechanics'!$B$22*'Underlying Mechanics'!$B$15*INDEX('Underlying Mechanics'!$B$31:$B$51,L$1-'Underlying Mechanics'!$B$8+1)*'Underlying Mechanics'!$B$5))*(1-$A9))-IF(L$1=0,'Underlying Mechanics'!$B$23*(1-$B9),0)-IF(L$1&gt;0,'Underlying Mechanics'!$B$22*'Underlying Mechanics'!$B$17,0)-IF(L$1&gt;0,'Underlying Mechanics'!$B$12*'Underlying Mechanics'!$B$18,0)</x:f>
        <x:v>42300</x:v>
      </x:c>
      <x:c r="M9" t="n">
        <x:f>((IF(M$1-'Underlying Mechanics'!$B$8&lt;0,0,'Underlying Mechanics'!$B$22*'Underlying Mechanics'!$B$15*INDEX('Underlying Mechanics'!$B$31:$B$51,M$1-'Underlying Mechanics'!$B$8+1)*'Underlying Mechanics'!$B$5))*(1-$A9))-IF(M$1=0,'Underlying Mechanics'!$B$23*(1-$B9),0)-IF(M$1&gt;0,'Underlying Mechanics'!$B$22*'Underlying Mechanics'!$B$17,0)-IF(M$1&gt;0,'Underlying Mechanics'!$B$12*'Underlying Mechanics'!$B$18,0)</x:f>
        <x:v>59100.000000000015</x:v>
      </x:c>
      <x:c r="N9" t="n">
        <x:f>((IF(N$1-'Underlying Mechanics'!$B$8&lt;0,0,'Underlying Mechanics'!$B$22*'Underlying Mechanics'!$B$15*INDEX('Underlying Mechanics'!$B$31:$B$51,N$1-'Underlying Mechanics'!$B$8+1)*'Underlying Mechanics'!$B$5))*(1-$A9))-IF(N$1=0,'Underlying Mechanics'!$B$23*(1-$B9),0)-IF(N$1&gt;0,'Underlying Mechanics'!$B$22*'Underlying Mechanics'!$B$17,0)-IF(N$1&gt;0,'Underlying Mechanics'!$B$12*'Underlying Mechanics'!$B$18,0)</x:f>
        <x:v>73500</x:v>
      </x:c>
      <x:c r="O9" t="n">
        <x:f>((IF(O$1-'Underlying Mechanics'!$B$8&lt;0,0,'Underlying Mechanics'!$B$22*'Underlying Mechanics'!$B$15*INDEX('Underlying Mechanics'!$B$31:$B$51,O$1-'Underlying Mechanics'!$B$8+1)*'Underlying Mechanics'!$B$5))*(1-$A9))-IF(O$1=0,'Underlying Mechanics'!$B$23*(1-$B9),0)-IF(O$1&gt;0,'Underlying Mechanics'!$B$22*'Underlying Mechanics'!$B$17,0)-IF(O$1&gt;0,'Underlying Mechanics'!$B$12*'Underlying Mechanics'!$B$18,0)</x:f>
        <x:v>85500</x:v>
      </x:c>
      <x:c r="P9" t="n">
        <x:f>((IF(P$1-'Underlying Mechanics'!$B$8&lt;0,0,'Underlying Mechanics'!$B$22*'Underlying Mechanics'!$B$15*INDEX('Underlying Mechanics'!$B$31:$B$51,P$1-'Underlying Mechanics'!$B$8+1)*'Underlying Mechanics'!$B$5))*(1-$A9))-IF(P$1=0,'Underlying Mechanics'!$B$23*(1-$B9),0)-IF(P$1&gt;0,'Underlying Mechanics'!$B$22*'Underlying Mechanics'!$B$17,0)-IF(P$1&gt;0,'Underlying Mechanics'!$B$12*'Underlying Mechanics'!$B$18,0)</x:f>
        <x:v>97500</x:v>
      </x:c>
      <x:c r="Q9" t="n">
        <x:f>((IF(Q$1-'Underlying Mechanics'!$B$8&lt;0,0,'Underlying Mechanics'!$B$22*'Underlying Mechanics'!$B$15*INDEX('Underlying Mechanics'!$B$31:$B$51,Q$1-'Underlying Mechanics'!$B$8+1)*'Underlying Mechanics'!$B$5))*(1-$A9))-IF(Q$1=0,'Underlying Mechanics'!$B$23*(1-$B9),0)-IF(Q$1&gt;0,'Underlying Mechanics'!$B$22*'Underlying Mechanics'!$B$17,0)-IF(Q$1&gt;0,'Underlying Mechanics'!$B$12*'Underlying Mechanics'!$B$18,0)</x:f>
        <x:v>97500</x:v>
      </x:c>
      <x:c r="R9" t="n">
        <x:f>((IF(R$1-'Underlying Mechanics'!$B$8&lt;0,0,'Underlying Mechanics'!$B$22*'Underlying Mechanics'!$B$15*INDEX('Underlying Mechanics'!$B$31:$B$51,R$1-'Underlying Mechanics'!$B$8+1)*'Underlying Mechanics'!$B$5))*(1-$A9))-IF(R$1=0,'Underlying Mechanics'!$B$23*(1-$B9),0)-IF(R$1&gt;0,'Underlying Mechanics'!$B$22*'Underlying Mechanics'!$B$17,0)-IF(R$1&gt;0,'Underlying Mechanics'!$B$12*'Underlying Mechanics'!$B$18,0)</x:f>
        <x:v>97500</x:v>
      </x:c>
      <x:c r="S9" t="n">
        <x:f>((IF(S$1-'Underlying Mechanics'!$B$8&lt;0,0,'Underlying Mechanics'!$B$22*'Underlying Mechanics'!$B$15*INDEX('Underlying Mechanics'!$B$31:$B$51,S$1-'Underlying Mechanics'!$B$8+1)*'Underlying Mechanics'!$B$5))*(1-$A9))-IF(S$1=0,'Underlying Mechanics'!$B$23*(1-$B9),0)-IF(S$1&gt;0,'Underlying Mechanics'!$B$22*'Underlying Mechanics'!$B$17,0)-IF(S$1&gt;0,'Underlying Mechanics'!$B$12*'Underlying Mechanics'!$B$18,0)</x:f>
        <x:v>97500</x:v>
      </x:c>
      <x:c r="T9" t="n">
        <x:f>((IF(T$1-'Underlying Mechanics'!$B$8&lt;0,0,'Underlying Mechanics'!$B$22*'Underlying Mechanics'!$B$15*INDEX('Underlying Mechanics'!$B$31:$B$51,T$1-'Underlying Mechanics'!$B$8+1)*'Underlying Mechanics'!$B$5))*(1-$A9))-IF(T$1=0,'Underlying Mechanics'!$B$23*(1-$B9),0)-IF(T$1&gt;0,'Underlying Mechanics'!$B$22*'Underlying Mechanics'!$B$17,0)-IF(T$1&gt;0,'Underlying Mechanics'!$B$12*'Underlying Mechanics'!$B$18,0)</x:f>
        <x:v>97500</x:v>
      </x:c>
      <x:c r="U9" t="n">
        <x:f>((IF(U$1-'Underlying Mechanics'!$B$8&lt;0,0,'Underlying Mechanics'!$B$22*'Underlying Mechanics'!$B$15*INDEX('Underlying Mechanics'!$B$31:$B$51,U$1-'Underlying Mechanics'!$B$8+1)*'Underlying Mechanics'!$B$5))*(1-$A9))-IF(U$1=0,'Underlying Mechanics'!$B$23*(1-$B9),0)-IF(U$1&gt;0,'Underlying Mechanics'!$B$22*'Underlying Mechanics'!$B$17,0)-IF(U$1&gt;0,'Underlying Mechanics'!$B$12*'Underlying Mechanics'!$B$18,0)</x:f>
        <x:v>97500</x:v>
      </x:c>
      <x:c r="V9" t="n">
        <x:f>((IF(V$1-'Underlying Mechanics'!$B$8&lt;0,0,'Underlying Mechanics'!$B$22*'Underlying Mechanics'!$B$15*INDEX('Underlying Mechanics'!$B$31:$B$51,V$1-'Underlying Mechanics'!$B$8+1)*'Underlying Mechanics'!$B$5))*(1-$A9))-IF(V$1=0,'Underlying Mechanics'!$B$23*(1-$B9),0)-IF(V$1&gt;0,'Underlying Mechanics'!$B$22*'Underlying Mechanics'!$B$17,0)-IF(V$1&gt;0,'Underlying Mechanics'!$B$12*'Underlying Mechanics'!$B$18,0)</x:f>
        <x:v>97500</x:v>
      </x:c>
      <x:c r="W9" t="n">
        <x:f>((IF(W$1-'Underlying Mechanics'!$B$8&lt;0,0,'Underlying Mechanics'!$B$22*'Underlying Mechanics'!$B$15*INDEX('Underlying Mechanics'!$B$31:$B$51,W$1-'Underlying Mechanics'!$B$8+1)*'Underlying Mechanics'!$B$5))*(1-$A9))-IF(W$1=0,'Underlying Mechanics'!$B$23*(1-$B9),0)-IF(W$1&gt;0,'Underlying Mechanics'!$B$22*'Underlying Mechanics'!$B$17,0)-IF(W$1&gt;0,'Underlying Mechanics'!$B$12*'Underlying Mechanics'!$B$18,0)</x:f>
        <x:v>97500</x:v>
      </x:c>
      <x:c r="X9" t="n">
        <x:f>IFERROR(IRR(C9:W9),-1)</x:f>
        <x:v>0.1442333280288125</x:v>
      </x:c>
    </x:row>
    <x:row r="10">
      <x:c r="A10" t="n">
        <x:v>0</x:v>
      </x:c>
      <x:c r="B10" t="n">
        <x:v>0.4</x:v>
      </x:c>
      <x:c r="C10" t="n">
        <x:f>((IF(C$1-'Underlying Mechanics'!$B$8&lt;0,0,'Underlying Mechanics'!$B$22*'Underlying Mechanics'!$B$15*INDEX('Underlying Mechanics'!$B$31:$B$51,C$1-'Underlying Mechanics'!$B$8+1)*'Underlying Mechanics'!$B$5))*(1-$A10))-IF(C$1=0,'Underlying Mechanics'!$B$23*(1-$B10),0)-IF(C$1&gt;0,'Underlying Mechanics'!$B$22*'Underlying Mechanics'!$B$17,0)-IF(C$1&gt;0,'Underlying Mechanics'!$B$12*'Underlying Mechanics'!$B$18,0)</x:f>
        <x:v>-90000</x:v>
      </x:c>
      <x:c r="D10" t="n">
        <x:f>((IF(D$1-'Underlying Mechanics'!$B$8&lt;0,0,'Underlying Mechanics'!$B$22*'Underlying Mechanics'!$B$15*INDEX('Underlying Mechanics'!$B$31:$B$51,D$1-'Underlying Mechanics'!$B$8+1)*'Underlying Mechanics'!$B$5))*(1-$A10))-IF(D$1=0,'Underlying Mechanics'!$B$23*(1-$B10),0)-IF(D$1&gt;0,'Underlying Mechanics'!$B$22*'Underlying Mechanics'!$B$17,0)-IF(D$1&gt;0,'Underlying Mechanics'!$B$12*'Underlying Mechanics'!$B$18,0)</x:f>
        <x:v>-22500</x:v>
      </x:c>
      <x:c r="E10" t="n">
        <x:f>((IF(E$1-'Underlying Mechanics'!$B$8&lt;0,0,'Underlying Mechanics'!$B$22*'Underlying Mechanics'!$B$15*INDEX('Underlying Mechanics'!$B$31:$B$51,E$1-'Underlying Mechanics'!$B$8+1)*'Underlying Mechanics'!$B$5))*(1-$A10))-IF(E$1=0,'Underlying Mechanics'!$B$23*(1-$B10),0)-IF(E$1&gt;0,'Underlying Mechanics'!$B$22*'Underlying Mechanics'!$B$17,0)-IF(E$1&gt;0,'Underlying Mechanics'!$B$12*'Underlying Mechanics'!$B$18,0)</x:f>
        <x:v>-22500</x:v>
      </x:c>
      <x:c r="F10" t="n">
        <x:f>((IF(F$1-'Underlying Mechanics'!$B$8&lt;0,0,'Underlying Mechanics'!$B$22*'Underlying Mechanics'!$B$15*INDEX('Underlying Mechanics'!$B$31:$B$51,F$1-'Underlying Mechanics'!$B$8+1)*'Underlying Mechanics'!$B$5))*(1-$A10))-IF(F$1=0,'Underlying Mechanics'!$B$23*(1-$B10),0)-IF(F$1&gt;0,'Underlying Mechanics'!$B$22*'Underlying Mechanics'!$B$17,0)-IF(F$1&gt;0,'Underlying Mechanics'!$B$12*'Underlying Mechanics'!$B$18,0)</x:f>
        <x:v>-20100</x:v>
      </x:c>
      <x:c r="G10" t="n">
        <x:f>((IF(G$1-'Underlying Mechanics'!$B$8&lt;0,0,'Underlying Mechanics'!$B$22*'Underlying Mechanics'!$B$15*INDEX('Underlying Mechanics'!$B$31:$B$51,G$1-'Underlying Mechanics'!$B$8+1)*'Underlying Mechanics'!$B$5))*(1-$A10))-IF(G$1=0,'Underlying Mechanics'!$B$23*(1-$B10),0)-IF(G$1&gt;0,'Underlying Mechanics'!$B$22*'Underlying Mechanics'!$B$17,0)-IF(G$1&gt;0,'Underlying Mechanics'!$B$12*'Underlying Mechanics'!$B$18,0)</x:f>
        <x:v>-16500</x:v>
      </x:c>
      <x:c r="H10" t="n">
        <x:f>((IF(H$1-'Underlying Mechanics'!$B$8&lt;0,0,'Underlying Mechanics'!$B$22*'Underlying Mechanics'!$B$15*INDEX('Underlying Mechanics'!$B$31:$B$51,H$1-'Underlying Mechanics'!$B$8+1)*'Underlying Mechanics'!$B$5))*(1-$A10))-IF(H$1=0,'Underlying Mechanics'!$B$23*(1-$B10),0)-IF(H$1&gt;0,'Underlying Mechanics'!$B$22*'Underlying Mechanics'!$B$17,0)-IF(H$1&gt;0,'Underlying Mechanics'!$B$12*'Underlying Mechanics'!$B$18,0)</x:f>
        <x:v>-10500</x:v>
      </x:c>
      <x:c r="I10" t="n">
        <x:f>((IF(I$1-'Underlying Mechanics'!$B$8&lt;0,0,'Underlying Mechanics'!$B$22*'Underlying Mechanics'!$B$15*INDEX('Underlying Mechanics'!$B$31:$B$51,I$1-'Underlying Mechanics'!$B$8+1)*'Underlying Mechanics'!$B$5))*(1-$A10))-IF(I$1=0,'Underlying Mechanics'!$B$23*(1-$B10),0)-IF(I$1&gt;0,'Underlying Mechanics'!$B$22*'Underlying Mechanics'!$B$17,0)-IF(I$1&gt;0,'Underlying Mechanics'!$B$12*'Underlying Mechanics'!$B$18,0)</x:f>
        <x:v>-900</x:v>
      </x:c>
      <x:c r="J10" t="n">
        <x:f>((IF(J$1-'Underlying Mechanics'!$B$8&lt;0,0,'Underlying Mechanics'!$B$22*'Underlying Mechanics'!$B$15*INDEX('Underlying Mechanics'!$B$31:$B$51,J$1-'Underlying Mechanics'!$B$8+1)*'Underlying Mechanics'!$B$5))*(1-$A10))-IF(J$1=0,'Underlying Mechanics'!$B$23*(1-$B10),0)-IF(J$1&gt;0,'Underlying Mechanics'!$B$22*'Underlying Mechanics'!$B$17,0)-IF(J$1&gt;0,'Underlying Mechanics'!$B$12*'Underlying Mechanics'!$B$18,0)</x:f>
        <x:v>11100.000000000007</x:v>
      </x:c>
      <x:c r="K10" t="n">
        <x:f>((IF(K$1-'Underlying Mechanics'!$B$8&lt;0,0,'Underlying Mechanics'!$B$22*'Underlying Mechanics'!$B$15*INDEX('Underlying Mechanics'!$B$31:$B$51,K$1-'Underlying Mechanics'!$B$8+1)*'Underlying Mechanics'!$B$5))*(1-$A10))-IF(K$1=0,'Underlying Mechanics'!$B$23*(1-$B10),0)-IF(K$1&gt;0,'Underlying Mechanics'!$B$22*'Underlying Mechanics'!$B$17,0)-IF(K$1&gt;0,'Underlying Mechanics'!$B$12*'Underlying Mechanics'!$B$18,0)</x:f>
        <x:v>25500</x:v>
      </x:c>
      <x:c r="L10" t="n">
        <x:f>((IF(L$1-'Underlying Mechanics'!$B$8&lt;0,0,'Underlying Mechanics'!$B$22*'Underlying Mechanics'!$B$15*INDEX('Underlying Mechanics'!$B$31:$B$51,L$1-'Underlying Mechanics'!$B$8+1)*'Underlying Mechanics'!$B$5))*(1-$A10))-IF(L$1=0,'Underlying Mechanics'!$B$23*(1-$B10),0)-IF(L$1&gt;0,'Underlying Mechanics'!$B$22*'Underlying Mechanics'!$B$17,0)-IF(L$1&gt;0,'Underlying Mechanics'!$B$12*'Underlying Mechanics'!$B$18,0)</x:f>
        <x:v>42300</x:v>
      </x:c>
      <x:c r="M10" t="n">
        <x:f>((IF(M$1-'Underlying Mechanics'!$B$8&lt;0,0,'Underlying Mechanics'!$B$22*'Underlying Mechanics'!$B$15*INDEX('Underlying Mechanics'!$B$31:$B$51,M$1-'Underlying Mechanics'!$B$8+1)*'Underlying Mechanics'!$B$5))*(1-$A10))-IF(M$1=0,'Underlying Mechanics'!$B$23*(1-$B10),0)-IF(M$1&gt;0,'Underlying Mechanics'!$B$22*'Underlying Mechanics'!$B$17,0)-IF(M$1&gt;0,'Underlying Mechanics'!$B$12*'Underlying Mechanics'!$B$18,0)</x:f>
        <x:v>59100.000000000015</x:v>
      </x:c>
      <x:c r="N10" t="n">
        <x:f>((IF(N$1-'Underlying Mechanics'!$B$8&lt;0,0,'Underlying Mechanics'!$B$22*'Underlying Mechanics'!$B$15*INDEX('Underlying Mechanics'!$B$31:$B$51,N$1-'Underlying Mechanics'!$B$8+1)*'Underlying Mechanics'!$B$5))*(1-$A10))-IF(N$1=0,'Underlying Mechanics'!$B$23*(1-$B10),0)-IF(N$1&gt;0,'Underlying Mechanics'!$B$22*'Underlying Mechanics'!$B$17,0)-IF(N$1&gt;0,'Underlying Mechanics'!$B$12*'Underlying Mechanics'!$B$18,0)</x:f>
        <x:v>73500</x:v>
      </x:c>
      <x:c r="O10" t="n">
        <x:f>((IF(O$1-'Underlying Mechanics'!$B$8&lt;0,0,'Underlying Mechanics'!$B$22*'Underlying Mechanics'!$B$15*INDEX('Underlying Mechanics'!$B$31:$B$51,O$1-'Underlying Mechanics'!$B$8+1)*'Underlying Mechanics'!$B$5))*(1-$A10))-IF(O$1=0,'Underlying Mechanics'!$B$23*(1-$B10),0)-IF(O$1&gt;0,'Underlying Mechanics'!$B$22*'Underlying Mechanics'!$B$17,0)-IF(O$1&gt;0,'Underlying Mechanics'!$B$12*'Underlying Mechanics'!$B$18,0)</x:f>
        <x:v>85500</x:v>
      </x:c>
      <x:c r="P10" t="n">
        <x:f>((IF(P$1-'Underlying Mechanics'!$B$8&lt;0,0,'Underlying Mechanics'!$B$22*'Underlying Mechanics'!$B$15*INDEX('Underlying Mechanics'!$B$31:$B$51,P$1-'Underlying Mechanics'!$B$8+1)*'Underlying Mechanics'!$B$5))*(1-$A10))-IF(P$1=0,'Underlying Mechanics'!$B$23*(1-$B10),0)-IF(P$1&gt;0,'Underlying Mechanics'!$B$22*'Underlying Mechanics'!$B$17,0)-IF(P$1&gt;0,'Underlying Mechanics'!$B$12*'Underlying Mechanics'!$B$18,0)</x:f>
        <x:v>97500</x:v>
      </x:c>
      <x:c r="Q10" t="n">
        <x:f>((IF(Q$1-'Underlying Mechanics'!$B$8&lt;0,0,'Underlying Mechanics'!$B$22*'Underlying Mechanics'!$B$15*INDEX('Underlying Mechanics'!$B$31:$B$51,Q$1-'Underlying Mechanics'!$B$8+1)*'Underlying Mechanics'!$B$5))*(1-$A10))-IF(Q$1=0,'Underlying Mechanics'!$B$23*(1-$B10),0)-IF(Q$1&gt;0,'Underlying Mechanics'!$B$22*'Underlying Mechanics'!$B$17,0)-IF(Q$1&gt;0,'Underlying Mechanics'!$B$12*'Underlying Mechanics'!$B$18,0)</x:f>
        <x:v>97500</x:v>
      </x:c>
      <x:c r="R10" t="n">
        <x:f>((IF(R$1-'Underlying Mechanics'!$B$8&lt;0,0,'Underlying Mechanics'!$B$22*'Underlying Mechanics'!$B$15*INDEX('Underlying Mechanics'!$B$31:$B$51,R$1-'Underlying Mechanics'!$B$8+1)*'Underlying Mechanics'!$B$5))*(1-$A10))-IF(R$1=0,'Underlying Mechanics'!$B$23*(1-$B10),0)-IF(R$1&gt;0,'Underlying Mechanics'!$B$22*'Underlying Mechanics'!$B$17,0)-IF(R$1&gt;0,'Underlying Mechanics'!$B$12*'Underlying Mechanics'!$B$18,0)</x:f>
        <x:v>97500</x:v>
      </x:c>
      <x:c r="S10" t="n">
        <x:f>((IF(S$1-'Underlying Mechanics'!$B$8&lt;0,0,'Underlying Mechanics'!$B$22*'Underlying Mechanics'!$B$15*INDEX('Underlying Mechanics'!$B$31:$B$51,S$1-'Underlying Mechanics'!$B$8+1)*'Underlying Mechanics'!$B$5))*(1-$A10))-IF(S$1=0,'Underlying Mechanics'!$B$23*(1-$B10),0)-IF(S$1&gt;0,'Underlying Mechanics'!$B$22*'Underlying Mechanics'!$B$17,0)-IF(S$1&gt;0,'Underlying Mechanics'!$B$12*'Underlying Mechanics'!$B$18,0)</x:f>
        <x:v>97500</x:v>
      </x:c>
      <x:c r="T10" t="n">
        <x:f>((IF(T$1-'Underlying Mechanics'!$B$8&lt;0,0,'Underlying Mechanics'!$B$22*'Underlying Mechanics'!$B$15*INDEX('Underlying Mechanics'!$B$31:$B$51,T$1-'Underlying Mechanics'!$B$8+1)*'Underlying Mechanics'!$B$5))*(1-$A10))-IF(T$1=0,'Underlying Mechanics'!$B$23*(1-$B10),0)-IF(T$1&gt;0,'Underlying Mechanics'!$B$22*'Underlying Mechanics'!$B$17,0)-IF(T$1&gt;0,'Underlying Mechanics'!$B$12*'Underlying Mechanics'!$B$18,0)</x:f>
        <x:v>97500</x:v>
      </x:c>
      <x:c r="U10" t="n">
        <x:f>((IF(U$1-'Underlying Mechanics'!$B$8&lt;0,0,'Underlying Mechanics'!$B$22*'Underlying Mechanics'!$B$15*INDEX('Underlying Mechanics'!$B$31:$B$51,U$1-'Underlying Mechanics'!$B$8+1)*'Underlying Mechanics'!$B$5))*(1-$A10))-IF(U$1=0,'Underlying Mechanics'!$B$23*(1-$B10),0)-IF(U$1&gt;0,'Underlying Mechanics'!$B$22*'Underlying Mechanics'!$B$17,0)-IF(U$1&gt;0,'Underlying Mechanics'!$B$12*'Underlying Mechanics'!$B$18,0)</x:f>
        <x:v>97500</x:v>
      </x:c>
      <x:c r="V10" t="n">
        <x:f>((IF(V$1-'Underlying Mechanics'!$B$8&lt;0,0,'Underlying Mechanics'!$B$22*'Underlying Mechanics'!$B$15*INDEX('Underlying Mechanics'!$B$31:$B$51,V$1-'Underlying Mechanics'!$B$8+1)*'Underlying Mechanics'!$B$5))*(1-$A10))-IF(V$1=0,'Underlying Mechanics'!$B$23*(1-$B10),0)-IF(V$1&gt;0,'Underlying Mechanics'!$B$22*'Underlying Mechanics'!$B$17,0)-IF(V$1&gt;0,'Underlying Mechanics'!$B$12*'Underlying Mechanics'!$B$18,0)</x:f>
        <x:v>97500</x:v>
      </x:c>
      <x:c r="W10" t="n">
        <x:f>((IF(W$1-'Underlying Mechanics'!$B$8&lt;0,0,'Underlying Mechanics'!$B$22*'Underlying Mechanics'!$B$15*INDEX('Underlying Mechanics'!$B$31:$B$51,W$1-'Underlying Mechanics'!$B$8+1)*'Underlying Mechanics'!$B$5))*(1-$A10))-IF(W$1=0,'Underlying Mechanics'!$B$23*(1-$B10),0)-IF(W$1&gt;0,'Underlying Mechanics'!$B$22*'Underlying Mechanics'!$B$17,0)-IF(W$1&gt;0,'Underlying Mechanics'!$B$12*'Underlying Mechanics'!$B$18,0)</x:f>
        <x:v>97500</x:v>
      </x:c>
      <x:c r="X10" t="n">
        <x:f>IFERROR(IRR(C10:W10),-1)</x:f>
        <x:v>0.1486779727833259</x:v>
      </x:c>
    </x:row>
    <x:row r="11">
      <x:c r="A11" t="n">
        <x:v>0</x:v>
      </x:c>
      <x:c r="B11" t="n">
        <x:v>0.45</x:v>
      </x:c>
      <x:c r="C11" t="n">
        <x:f>((IF(C$1-'Underlying Mechanics'!$B$8&lt;0,0,'Underlying Mechanics'!$B$22*'Underlying Mechanics'!$B$15*INDEX('Underlying Mechanics'!$B$31:$B$51,C$1-'Underlying Mechanics'!$B$8+1)*'Underlying Mechanics'!$B$5))*(1-$A11))-IF(C$1=0,'Underlying Mechanics'!$B$23*(1-$B11),0)-IF(C$1&gt;0,'Underlying Mechanics'!$B$22*'Underlying Mechanics'!$B$17,0)-IF(C$1&gt;0,'Underlying Mechanics'!$B$12*'Underlying Mechanics'!$B$18,0)</x:f>
        <x:v>-82500</x:v>
      </x:c>
      <x:c r="D11" t="n">
        <x:f>((IF(D$1-'Underlying Mechanics'!$B$8&lt;0,0,'Underlying Mechanics'!$B$22*'Underlying Mechanics'!$B$15*INDEX('Underlying Mechanics'!$B$31:$B$51,D$1-'Underlying Mechanics'!$B$8+1)*'Underlying Mechanics'!$B$5))*(1-$A11))-IF(D$1=0,'Underlying Mechanics'!$B$23*(1-$B11),0)-IF(D$1&gt;0,'Underlying Mechanics'!$B$22*'Underlying Mechanics'!$B$17,0)-IF(D$1&gt;0,'Underlying Mechanics'!$B$12*'Underlying Mechanics'!$B$18,0)</x:f>
        <x:v>-22500</x:v>
      </x:c>
      <x:c r="E11" t="n">
        <x:f>((IF(E$1-'Underlying Mechanics'!$B$8&lt;0,0,'Underlying Mechanics'!$B$22*'Underlying Mechanics'!$B$15*INDEX('Underlying Mechanics'!$B$31:$B$51,E$1-'Underlying Mechanics'!$B$8+1)*'Underlying Mechanics'!$B$5))*(1-$A11))-IF(E$1=0,'Underlying Mechanics'!$B$23*(1-$B11),0)-IF(E$1&gt;0,'Underlying Mechanics'!$B$22*'Underlying Mechanics'!$B$17,0)-IF(E$1&gt;0,'Underlying Mechanics'!$B$12*'Underlying Mechanics'!$B$18,0)</x:f>
        <x:v>-22500</x:v>
      </x:c>
      <x:c r="F11" t="n">
        <x:f>((IF(F$1-'Underlying Mechanics'!$B$8&lt;0,0,'Underlying Mechanics'!$B$22*'Underlying Mechanics'!$B$15*INDEX('Underlying Mechanics'!$B$31:$B$51,F$1-'Underlying Mechanics'!$B$8+1)*'Underlying Mechanics'!$B$5))*(1-$A11))-IF(F$1=0,'Underlying Mechanics'!$B$23*(1-$B11),0)-IF(F$1&gt;0,'Underlying Mechanics'!$B$22*'Underlying Mechanics'!$B$17,0)-IF(F$1&gt;0,'Underlying Mechanics'!$B$12*'Underlying Mechanics'!$B$18,0)</x:f>
        <x:v>-20100</x:v>
      </x:c>
      <x:c r="G11" t="n">
        <x:f>((IF(G$1-'Underlying Mechanics'!$B$8&lt;0,0,'Underlying Mechanics'!$B$22*'Underlying Mechanics'!$B$15*INDEX('Underlying Mechanics'!$B$31:$B$51,G$1-'Underlying Mechanics'!$B$8+1)*'Underlying Mechanics'!$B$5))*(1-$A11))-IF(G$1=0,'Underlying Mechanics'!$B$23*(1-$B11),0)-IF(G$1&gt;0,'Underlying Mechanics'!$B$22*'Underlying Mechanics'!$B$17,0)-IF(G$1&gt;0,'Underlying Mechanics'!$B$12*'Underlying Mechanics'!$B$18,0)</x:f>
        <x:v>-16500</x:v>
      </x:c>
      <x:c r="H11" t="n">
        <x:f>((IF(H$1-'Underlying Mechanics'!$B$8&lt;0,0,'Underlying Mechanics'!$B$22*'Underlying Mechanics'!$B$15*INDEX('Underlying Mechanics'!$B$31:$B$51,H$1-'Underlying Mechanics'!$B$8+1)*'Underlying Mechanics'!$B$5))*(1-$A11))-IF(H$1=0,'Underlying Mechanics'!$B$23*(1-$B11),0)-IF(H$1&gt;0,'Underlying Mechanics'!$B$22*'Underlying Mechanics'!$B$17,0)-IF(H$1&gt;0,'Underlying Mechanics'!$B$12*'Underlying Mechanics'!$B$18,0)</x:f>
        <x:v>-10500</x:v>
      </x:c>
      <x:c r="I11" t="n">
        <x:f>((IF(I$1-'Underlying Mechanics'!$B$8&lt;0,0,'Underlying Mechanics'!$B$22*'Underlying Mechanics'!$B$15*INDEX('Underlying Mechanics'!$B$31:$B$51,I$1-'Underlying Mechanics'!$B$8+1)*'Underlying Mechanics'!$B$5))*(1-$A11))-IF(I$1=0,'Underlying Mechanics'!$B$23*(1-$B11),0)-IF(I$1&gt;0,'Underlying Mechanics'!$B$22*'Underlying Mechanics'!$B$17,0)-IF(I$1&gt;0,'Underlying Mechanics'!$B$12*'Underlying Mechanics'!$B$18,0)</x:f>
        <x:v>-900</x:v>
      </x:c>
      <x:c r="J11" t="n">
        <x:f>((IF(J$1-'Underlying Mechanics'!$B$8&lt;0,0,'Underlying Mechanics'!$B$22*'Underlying Mechanics'!$B$15*INDEX('Underlying Mechanics'!$B$31:$B$51,J$1-'Underlying Mechanics'!$B$8+1)*'Underlying Mechanics'!$B$5))*(1-$A11))-IF(J$1=0,'Underlying Mechanics'!$B$23*(1-$B11),0)-IF(J$1&gt;0,'Underlying Mechanics'!$B$22*'Underlying Mechanics'!$B$17,0)-IF(J$1&gt;0,'Underlying Mechanics'!$B$12*'Underlying Mechanics'!$B$18,0)</x:f>
        <x:v>11100.000000000007</x:v>
      </x:c>
      <x:c r="K11" t="n">
        <x:f>((IF(K$1-'Underlying Mechanics'!$B$8&lt;0,0,'Underlying Mechanics'!$B$22*'Underlying Mechanics'!$B$15*INDEX('Underlying Mechanics'!$B$31:$B$51,K$1-'Underlying Mechanics'!$B$8+1)*'Underlying Mechanics'!$B$5))*(1-$A11))-IF(K$1=0,'Underlying Mechanics'!$B$23*(1-$B11),0)-IF(K$1&gt;0,'Underlying Mechanics'!$B$22*'Underlying Mechanics'!$B$17,0)-IF(K$1&gt;0,'Underlying Mechanics'!$B$12*'Underlying Mechanics'!$B$18,0)</x:f>
        <x:v>25500</x:v>
      </x:c>
      <x:c r="L11" t="n">
        <x:f>((IF(L$1-'Underlying Mechanics'!$B$8&lt;0,0,'Underlying Mechanics'!$B$22*'Underlying Mechanics'!$B$15*INDEX('Underlying Mechanics'!$B$31:$B$51,L$1-'Underlying Mechanics'!$B$8+1)*'Underlying Mechanics'!$B$5))*(1-$A11))-IF(L$1=0,'Underlying Mechanics'!$B$23*(1-$B11),0)-IF(L$1&gt;0,'Underlying Mechanics'!$B$22*'Underlying Mechanics'!$B$17,0)-IF(L$1&gt;0,'Underlying Mechanics'!$B$12*'Underlying Mechanics'!$B$18,0)</x:f>
        <x:v>42300</x:v>
      </x:c>
      <x:c r="M11" t="n">
        <x:f>((IF(M$1-'Underlying Mechanics'!$B$8&lt;0,0,'Underlying Mechanics'!$B$22*'Underlying Mechanics'!$B$15*INDEX('Underlying Mechanics'!$B$31:$B$51,M$1-'Underlying Mechanics'!$B$8+1)*'Underlying Mechanics'!$B$5))*(1-$A11))-IF(M$1=0,'Underlying Mechanics'!$B$23*(1-$B11),0)-IF(M$1&gt;0,'Underlying Mechanics'!$B$22*'Underlying Mechanics'!$B$17,0)-IF(M$1&gt;0,'Underlying Mechanics'!$B$12*'Underlying Mechanics'!$B$18,0)</x:f>
        <x:v>59100.000000000015</x:v>
      </x:c>
      <x:c r="N11" t="n">
        <x:f>((IF(N$1-'Underlying Mechanics'!$B$8&lt;0,0,'Underlying Mechanics'!$B$22*'Underlying Mechanics'!$B$15*INDEX('Underlying Mechanics'!$B$31:$B$51,N$1-'Underlying Mechanics'!$B$8+1)*'Underlying Mechanics'!$B$5))*(1-$A11))-IF(N$1=0,'Underlying Mechanics'!$B$23*(1-$B11),0)-IF(N$1&gt;0,'Underlying Mechanics'!$B$22*'Underlying Mechanics'!$B$17,0)-IF(N$1&gt;0,'Underlying Mechanics'!$B$12*'Underlying Mechanics'!$B$18,0)</x:f>
        <x:v>73500</x:v>
      </x:c>
      <x:c r="O11" t="n">
        <x:f>((IF(O$1-'Underlying Mechanics'!$B$8&lt;0,0,'Underlying Mechanics'!$B$22*'Underlying Mechanics'!$B$15*INDEX('Underlying Mechanics'!$B$31:$B$51,O$1-'Underlying Mechanics'!$B$8+1)*'Underlying Mechanics'!$B$5))*(1-$A11))-IF(O$1=0,'Underlying Mechanics'!$B$23*(1-$B11),0)-IF(O$1&gt;0,'Underlying Mechanics'!$B$22*'Underlying Mechanics'!$B$17,0)-IF(O$1&gt;0,'Underlying Mechanics'!$B$12*'Underlying Mechanics'!$B$18,0)</x:f>
        <x:v>85500</x:v>
      </x:c>
      <x:c r="P11" t="n">
        <x:f>((IF(P$1-'Underlying Mechanics'!$B$8&lt;0,0,'Underlying Mechanics'!$B$22*'Underlying Mechanics'!$B$15*INDEX('Underlying Mechanics'!$B$31:$B$51,P$1-'Underlying Mechanics'!$B$8+1)*'Underlying Mechanics'!$B$5))*(1-$A11))-IF(P$1=0,'Underlying Mechanics'!$B$23*(1-$B11),0)-IF(P$1&gt;0,'Underlying Mechanics'!$B$22*'Underlying Mechanics'!$B$17,0)-IF(P$1&gt;0,'Underlying Mechanics'!$B$12*'Underlying Mechanics'!$B$18,0)</x:f>
        <x:v>97500</x:v>
      </x:c>
      <x:c r="Q11" t="n">
        <x:f>((IF(Q$1-'Underlying Mechanics'!$B$8&lt;0,0,'Underlying Mechanics'!$B$22*'Underlying Mechanics'!$B$15*INDEX('Underlying Mechanics'!$B$31:$B$51,Q$1-'Underlying Mechanics'!$B$8+1)*'Underlying Mechanics'!$B$5))*(1-$A11))-IF(Q$1=0,'Underlying Mechanics'!$B$23*(1-$B11),0)-IF(Q$1&gt;0,'Underlying Mechanics'!$B$22*'Underlying Mechanics'!$B$17,0)-IF(Q$1&gt;0,'Underlying Mechanics'!$B$12*'Underlying Mechanics'!$B$18,0)</x:f>
        <x:v>97500</x:v>
      </x:c>
      <x:c r="R11" t="n">
        <x:f>((IF(R$1-'Underlying Mechanics'!$B$8&lt;0,0,'Underlying Mechanics'!$B$22*'Underlying Mechanics'!$B$15*INDEX('Underlying Mechanics'!$B$31:$B$51,R$1-'Underlying Mechanics'!$B$8+1)*'Underlying Mechanics'!$B$5))*(1-$A11))-IF(R$1=0,'Underlying Mechanics'!$B$23*(1-$B11),0)-IF(R$1&gt;0,'Underlying Mechanics'!$B$22*'Underlying Mechanics'!$B$17,0)-IF(R$1&gt;0,'Underlying Mechanics'!$B$12*'Underlying Mechanics'!$B$18,0)</x:f>
        <x:v>97500</x:v>
      </x:c>
      <x:c r="S11" t="n">
        <x:f>((IF(S$1-'Underlying Mechanics'!$B$8&lt;0,0,'Underlying Mechanics'!$B$22*'Underlying Mechanics'!$B$15*INDEX('Underlying Mechanics'!$B$31:$B$51,S$1-'Underlying Mechanics'!$B$8+1)*'Underlying Mechanics'!$B$5))*(1-$A11))-IF(S$1=0,'Underlying Mechanics'!$B$23*(1-$B11),0)-IF(S$1&gt;0,'Underlying Mechanics'!$B$22*'Underlying Mechanics'!$B$17,0)-IF(S$1&gt;0,'Underlying Mechanics'!$B$12*'Underlying Mechanics'!$B$18,0)</x:f>
        <x:v>97500</x:v>
      </x:c>
      <x:c r="T11" t="n">
        <x:f>((IF(T$1-'Underlying Mechanics'!$B$8&lt;0,0,'Underlying Mechanics'!$B$22*'Underlying Mechanics'!$B$15*INDEX('Underlying Mechanics'!$B$31:$B$51,T$1-'Underlying Mechanics'!$B$8+1)*'Underlying Mechanics'!$B$5))*(1-$A11))-IF(T$1=0,'Underlying Mechanics'!$B$23*(1-$B11),0)-IF(T$1&gt;0,'Underlying Mechanics'!$B$22*'Underlying Mechanics'!$B$17,0)-IF(T$1&gt;0,'Underlying Mechanics'!$B$12*'Underlying Mechanics'!$B$18,0)</x:f>
        <x:v>97500</x:v>
      </x:c>
      <x:c r="U11" t="n">
        <x:f>((IF(U$1-'Underlying Mechanics'!$B$8&lt;0,0,'Underlying Mechanics'!$B$22*'Underlying Mechanics'!$B$15*INDEX('Underlying Mechanics'!$B$31:$B$51,U$1-'Underlying Mechanics'!$B$8+1)*'Underlying Mechanics'!$B$5))*(1-$A11))-IF(U$1=0,'Underlying Mechanics'!$B$23*(1-$B11),0)-IF(U$1&gt;0,'Underlying Mechanics'!$B$22*'Underlying Mechanics'!$B$17,0)-IF(U$1&gt;0,'Underlying Mechanics'!$B$12*'Underlying Mechanics'!$B$18,0)</x:f>
        <x:v>97500</x:v>
      </x:c>
      <x:c r="V11" t="n">
        <x:f>((IF(V$1-'Underlying Mechanics'!$B$8&lt;0,0,'Underlying Mechanics'!$B$22*'Underlying Mechanics'!$B$15*INDEX('Underlying Mechanics'!$B$31:$B$51,V$1-'Underlying Mechanics'!$B$8+1)*'Underlying Mechanics'!$B$5))*(1-$A11))-IF(V$1=0,'Underlying Mechanics'!$B$23*(1-$B11),0)-IF(V$1&gt;0,'Underlying Mechanics'!$B$22*'Underlying Mechanics'!$B$17,0)-IF(V$1&gt;0,'Underlying Mechanics'!$B$12*'Underlying Mechanics'!$B$18,0)</x:f>
        <x:v>97500</x:v>
      </x:c>
      <x:c r="W11" t="n">
        <x:f>((IF(W$1-'Underlying Mechanics'!$B$8&lt;0,0,'Underlying Mechanics'!$B$22*'Underlying Mechanics'!$B$15*INDEX('Underlying Mechanics'!$B$31:$B$51,W$1-'Underlying Mechanics'!$B$8+1)*'Underlying Mechanics'!$B$5))*(1-$A11))-IF(W$1=0,'Underlying Mechanics'!$B$23*(1-$B11),0)-IF(W$1&gt;0,'Underlying Mechanics'!$B$22*'Underlying Mechanics'!$B$17,0)-IF(W$1&gt;0,'Underlying Mechanics'!$B$12*'Underlying Mechanics'!$B$18,0)</x:f>
        <x:v>97500</x:v>
      </x:c>
      <x:c r="X11" t="n">
        <x:f>IFERROR(IRR(C11:W11),-1)</x:f>
        <x:v>0.15341553843149358</x:v>
      </x:c>
    </x:row>
    <x:row r="12">
      <x:c r="A12" t="n">
        <x:v>0</x:v>
      </x:c>
      <x:c r="B12" t="n">
        <x:v>0.5</x:v>
      </x:c>
      <x:c r="C12" t="n">
        <x:f>((IF(C$1-'Underlying Mechanics'!$B$8&lt;0,0,'Underlying Mechanics'!$B$22*'Underlying Mechanics'!$B$15*INDEX('Underlying Mechanics'!$B$31:$B$51,C$1-'Underlying Mechanics'!$B$8+1)*'Underlying Mechanics'!$B$5))*(1-$A12))-IF(C$1=0,'Underlying Mechanics'!$B$23*(1-$B12),0)-IF(C$1&gt;0,'Underlying Mechanics'!$B$22*'Underlying Mechanics'!$B$17,0)-IF(C$1&gt;0,'Underlying Mechanics'!$B$12*'Underlying Mechanics'!$B$18,0)</x:f>
        <x:v>-75000</x:v>
      </x:c>
      <x:c r="D12" t="n">
        <x:f>((IF(D$1-'Underlying Mechanics'!$B$8&lt;0,0,'Underlying Mechanics'!$B$22*'Underlying Mechanics'!$B$15*INDEX('Underlying Mechanics'!$B$31:$B$51,D$1-'Underlying Mechanics'!$B$8+1)*'Underlying Mechanics'!$B$5))*(1-$A12))-IF(D$1=0,'Underlying Mechanics'!$B$23*(1-$B12),0)-IF(D$1&gt;0,'Underlying Mechanics'!$B$22*'Underlying Mechanics'!$B$17,0)-IF(D$1&gt;0,'Underlying Mechanics'!$B$12*'Underlying Mechanics'!$B$18,0)</x:f>
        <x:v>-22500</x:v>
      </x:c>
      <x:c r="E12" t="n">
        <x:f>((IF(E$1-'Underlying Mechanics'!$B$8&lt;0,0,'Underlying Mechanics'!$B$22*'Underlying Mechanics'!$B$15*INDEX('Underlying Mechanics'!$B$31:$B$51,E$1-'Underlying Mechanics'!$B$8+1)*'Underlying Mechanics'!$B$5))*(1-$A12))-IF(E$1=0,'Underlying Mechanics'!$B$23*(1-$B12),0)-IF(E$1&gt;0,'Underlying Mechanics'!$B$22*'Underlying Mechanics'!$B$17,0)-IF(E$1&gt;0,'Underlying Mechanics'!$B$12*'Underlying Mechanics'!$B$18,0)</x:f>
        <x:v>-22500</x:v>
      </x:c>
      <x:c r="F12" t="n">
        <x:f>((IF(F$1-'Underlying Mechanics'!$B$8&lt;0,0,'Underlying Mechanics'!$B$22*'Underlying Mechanics'!$B$15*INDEX('Underlying Mechanics'!$B$31:$B$51,F$1-'Underlying Mechanics'!$B$8+1)*'Underlying Mechanics'!$B$5))*(1-$A12))-IF(F$1=0,'Underlying Mechanics'!$B$23*(1-$B12),0)-IF(F$1&gt;0,'Underlying Mechanics'!$B$22*'Underlying Mechanics'!$B$17,0)-IF(F$1&gt;0,'Underlying Mechanics'!$B$12*'Underlying Mechanics'!$B$18,0)</x:f>
        <x:v>-20100</x:v>
      </x:c>
      <x:c r="G12" t="n">
        <x:f>((IF(G$1-'Underlying Mechanics'!$B$8&lt;0,0,'Underlying Mechanics'!$B$22*'Underlying Mechanics'!$B$15*INDEX('Underlying Mechanics'!$B$31:$B$51,G$1-'Underlying Mechanics'!$B$8+1)*'Underlying Mechanics'!$B$5))*(1-$A12))-IF(G$1=0,'Underlying Mechanics'!$B$23*(1-$B12),0)-IF(G$1&gt;0,'Underlying Mechanics'!$B$22*'Underlying Mechanics'!$B$17,0)-IF(G$1&gt;0,'Underlying Mechanics'!$B$12*'Underlying Mechanics'!$B$18,0)</x:f>
        <x:v>-16500</x:v>
      </x:c>
      <x:c r="H12" t="n">
        <x:f>((IF(H$1-'Underlying Mechanics'!$B$8&lt;0,0,'Underlying Mechanics'!$B$22*'Underlying Mechanics'!$B$15*INDEX('Underlying Mechanics'!$B$31:$B$51,H$1-'Underlying Mechanics'!$B$8+1)*'Underlying Mechanics'!$B$5))*(1-$A12))-IF(H$1=0,'Underlying Mechanics'!$B$23*(1-$B12),0)-IF(H$1&gt;0,'Underlying Mechanics'!$B$22*'Underlying Mechanics'!$B$17,0)-IF(H$1&gt;0,'Underlying Mechanics'!$B$12*'Underlying Mechanics'!$B$18,0)</x:f>
        <x:v>-10500</x:v>
      </x:c>
      <x:c r="I12" t="n">
        <x:f>((IF(I$1-'Underlying Mechanics'!$B$8&lt;0,0,'Underlying Mechanics'!$B$22*'Underlying Mechanics'!$B$15*INDEX('Underlying Mechanics'!$B$31:$B$51,I$1-'Underlying Mechanics'!$B$8+1)*'Underlying Mechanics'!$B$5))*(1-$A12))-IF(I$1=0,'Underlying Mechanics'!$B$23*(1-$B12),0)-IF(I$1&gt;0,'Underlying Mechanics'!$B$22*'Underlying Mechanics'!$B$17,0)-IF(I$1&gt;0,'Underlying Mechanics'!$B$12*'Underlying Mechanics'!$B$18,0)</x:f>
        <x:v>-900</x:v>
      </x:c>
      <x:c r="J12" t="n">
        <x:f>((IF(J$1-'Underlying Mechanics'!$B$8&lt;0,0,'Underlying Mechanics'!$B$22*'Underlying Mechanics'!$B$15*INDEX('Underlying Mechanics'!$B$31:$B$51,J$1-'Underlying Mechanics'!$B$8+1)*'Underlying Mechanics'!$B$5))*(1-$A12))-IF(J$1=0,'Underlying Mechanics'!$B$23*(1-$B12),0)-IF(J$1&gt;0,'Underlying Mechanics'!$B$22*'Underlying Mechanics'!$B$17,0)-IF(J$1&gt;0,'Underlying Mechanics'!$B$12*'Underlying Mechanics'!$B$18,0)</x:f>
        <x:v>11100.000000000007</x:v>
      </x:c>
      <x:c r="K12" t="n">
        <x:f>((IF(K$1-'Underlying Mechanics'!$B$8&lt;0,0,'Underlying Mechanics'!$B$22*'Underlying Mechanics'!$B$15*INDEX('Underlying Mechanics'!$B$31:$B$51,K$1-'Underlying Mechanics'!$B$8+1)*'Underlying Mechanics'!$B$5))*(1-$A12))-IF(K$1=0,'Underlying Mechanics'!$B$23*(1-$B12),0)-IF(K$1&gt;0,'Underlying Mechanics'!$B$22*'Underlying Mechanics'!$B$17,0)-IF(K$1&gt;0,'Underlying Mechanics'!$B$12*'Underlying Mechanics'!$B$18,0)</x:f>
        <x:v>25500</x:v>
      </x:c>
      <x:c r="L12" t="n">
        <x:f>((IF(L$1-'Underlying Mechanics'!$B$8&lt;0,0,'Underlying Mechanics'!$B$22*'Underlying Mechanics'!$B$15*INDEX('Underlying Mechanics'!$B$31:$B$51,L$1-'Underlying Mechanics'!$B$8+1)*'Underlying Mechanics'!$B$5))*(1-$A12))-IF(L$1=0,'Underlying Mechanics'!$B$23*(1-$B12),0)-IF(L$1&gt;0,'Underlying Mechanics'!$B$22*'Underlying Mechanics'!$B$17,0)-IF(L$1&gt;0,'Underlying Mechanics'!$B$12*'Underlying Mechanics'!$B$18,0)</x:f>
        <x:v>42300</x:v>
      </x:c>
      <x:c r="M12" t="n">
        <x:f>((IF(M$1-'Underlying Mechanics'!$B$8&lt;0,0,'Underlying Mechanics'!$B$22*'Underlying Mechanics'!$B$15*INDEX('Underlying Mechanics'!$B$31:$B$51,M$1-'Underlying Mechanics'!$B$8+1)*'Underlying Mechanics'!$B$5))*(1-$A12))-IF(M$1=0,'Underlying Mechanics'!$B$23*(1-$B12),0)-IF(M$1&gt;0,'Underlying Mechanics'!$B$22*'Underlying Mechanics'!$B$17,0)-IF(M$1&gt;0,'Underlying Mechanics'!$B$12*'Underlying Mechanics'!$B$18,0)</x:f>
        <x:v>59100.000000000015</x:v>
      </x:c>
      <x:c r="N12" t="n">
        <x:f>((IF(N$1-'Underlying Mechanics'!$B$8&lt;0,0,'Underlying Mechanics'!$B$22*'Underlying Mechanics'!$B$15*INDEX('Underlying Mechanics'!$B$31:$B$51,N$1-'Underlying Mechanics'!$B$8+1)*'Underlying Mechanics'!$B$5))*(1-$A12))-IF(N$1=0,'Underlying Mechanics'!$B$23*(1-$B12),0)-IF(N$1&gt;0,'Underlying Mechanics'!$B$22*'Underlying Mechanics'!$B$17,0)-IF(N$1&gt;0,'Underlying Mechanics'!$B$12*'Underlying Mechanics'!$B$18,0)</x:f>
        <x:v>73500</x:v>
      </x:c>
      <x:c r="O12" t="n">
        <x:f>((IF(O$1-'Underlying Mechanics'!$B$8&lt;0,0,'Underlying Mechanics'!$B$22*'Underlying Mechanics'!$B$15*INDEX('Underlying Mechanics'!$B$31:$B$51,O$1-'Underlying Mechanics'!$B$8+1)*'Underlying Mechanics'!$B$5))*(1-$A12))-IF(O$1=0,'Underlying Mechanics'!$B$23*(1-$B12),0)-IF(O$1&gt;0,'Underlying Mechanics'!$B$22*'Underlying Mechanics'!$B$17,0)-IF(O$1&gt;0,'Underlying Mechanics'!$B$12*'Underlying Mechanics'!$B$18,0)</x:f>
        <x:v>85500</x:v>
      </x:c>
      <x:c r="P12" t="n">
        <x:f>((IF(P$1-'Underlying Mechanics'!$B$8&lt;0,0,'Underlying Mechanics'!$B$22*'Underlying Mechanics'!$B$15*INDEX('Underlying Mechanics'!$B$31:$B$51,P$1-'Underlying Mechanics'!$B$8+1)*'Underlying Mechanics'!$B$5))*(1-$A12))-IF(P$1=0,'Underlying Mechanics'!$B$23*(1-$B12),0)-IF(P$1&gt;0,'Underlying Mechanics'!$B$22*'Underlying Mechanics'!$B$17,0)-IF(P$1&gt;0,'Underlying Mechanics'!$B$12*'Underlying Mechanics'!$B$18,0)</x:f>
        <x:v>97500</x:v>
      </x:c>
      <x:c r="Q12" t="n">
        <x:f>((IF(Q$1-'Underlying Mechanics'!$B$8&lt;0,0,'Underlying Mechanics'!$B$22*'Underlying Mechanics'!$B$15*INDEX('Underlying Mechanics'!$B$31:$B$51,Q$1-'Underlying Mechanics'!$B$8+1)*'Underlying Mechanics'!$B$5))*(1-$A12))-IF(Q$1=0,'Underlying Mechanics'!$B$23*(1-$B12),0)-IF(Q$1&gt;0,'Underlying Mechanics'!$B$22*'Underlying Mechanics'!$B$17,0)-IF(Q$1&gt;0,'Underlying Mechanics'!$B$12*'Underlying Mechanics'!$B$18,0)</x:f>
        <x:v>97500</x:v>
      </x:c>
      <x:c r="R12" t="n">
        <x:f>((IF(R$1-'Underlying Mechanics'!$B$8&lt;0,0,'Underlying Mechanics'!$B$22*'Underlying Mechanics'!$B$15*INDEX('Underlying Mechanics'!$B$31:$B$51,R$1-'Underlying Mechanics'!$B$8+1)*'Underlying Mechanics'!$B$5))*(1-$A12))-IF(R$1=0,'Underlying Mechanics'!$B$23*(1-$B12),0)-IF(R$1&gt;0,'Underlying Mechanics'!$B$22*'Underlying Mechanics'!$B$17,0)-IF(R$1&gt;0,'Underlying Mechanics'!$B$12*'Underlying Mechanics'!$B$18,0)</x:f>
        <x:v>97500</x:v>
      </x:c>
      <x:c r="S12" t="n">
        <x:f>((IF(S$1-'Underlying Mechanics'!$B$8&lt;0,0,'Underlying Mechanics'!$B$22*'Underlying Mechanics'!$B$15*INDEX('Underlying Mechanics'!$B$31:$B$51,S$1-'Underlying Mechanics'!$B$8+1)*'Underlying Mechanics'!$B$5))*(1-$A12))-IF(S$1=0,'Underlying Mechanics'!$B$23*(1-$B12),0)-IF(S$1&gt;0,'Underlying Mechanics'!$B$22*'Underlying Mechanics'!$B$17,0)-IF(S$1&gt;0,'Underlying Mechanics'!$B$12*'Underlying Mechanics'!$B$18,0)</x:f>
        <x:v>97500</x:v>
      </x:c>
      <x:c r="T12" t="n">
        <x:f>((IF(T$1-'Underlying Mechanics'!$B$8&lt;0,0,'Underlying Mechanics'!$B$22*'Underlying Mechanics'!$B$15*INDEX('Underlying Mechanics'!$B$31:$B$51,T$1-'Underlying Mechanics'!$B$8+1)*'Underlying Mechanics'!$B$5))*(1-$A12))-IF(T$1=0,'Underlying Mechanics'!$B$23*(1-$B12),0)-IF(T$1&gt;0,'Underlying Mechanics'!$B$22*'Underlying Mechanics'!$B$17,0)-IF(T$1&gt;0,'Underlying Mechanics'!$B$12*'Underlying Mechanics'!$B$18,0)</x:f>
        <x:v>97500</x:v>
      </x:c>
      <x:c r="U12" t="n">
        <x:f>((IF(U$1-'Underlying Mechanics'!$B$8&lt;0,0,'Underlying Mechanics'!$B$22*'Underlying Mechanics'!$B$15*INDEX('Underlying Mechanics'!$B$31:$B$51,U$1-'Underlying Mechanics'!$B$8+1)*'Underlying Mechanics'!$B$5))*(1-$A12))-IF(U$1=0,'Underlying Mechanics'!$B$23*(1-$B12),0)-IF(U$1&gt;0,'Underlying Mechanics'!$B$22*'Underlying Mechanics'!$B$17,0)-IF(U$1&gt;0,'Underlying Mechanics'!$B$12*'Underlying Mechanics'!$B$18,0)</x:f>
        <x:v>97500</x:v>
      </x:c>
      <x:c r="V12" t="n">
        <x:f>((IF(V$1-'Underlying Mechanics'!$B$8&lt;0,0,'Underlying Mechanics'!$B$22*'Underlying Mechanics'!$B$15*INDEX('Underlying Mechanics'!$B$31:$B$51,V$1-'Underlying Mechanics'!$B$8+1)*'Underlying Mechanics'!$B$5))*(1-$A12))-IF(V$1=0,'Underlying Mechanics'!$B$23*(1-$B12),0)-IF(V$1&gt;0,'Underlying Mechanics'!$B$22*'Underlying Mechanics'!$B$17,0)-IF(V$1&gt;0,'Underlying Mechanics'!$B$12*'Underlying Mechanics'!$B$18,0)</x:f>
        <x:v>97500</x:v>
      </x:c>
      <x:c r="W12" t="n">
        <x:f>((IF(W$1-'Underlying Mechanics'!$B$8&lt;0,0,'Underlying Mechanics'!$B$22*'Underlying Mechanics'!$B$15*INDEX('Underlying Mechanics'!$B$31:$B$51,W$1-'Underlying Mechanics'!$B$8+1)*'Underlying Mechanics'!$B$5))*(1-$A12))-IF(W$1=0,'Underlying Mechanics'!$B$23*(1-$B12),0)-IF(W$1&gt;0,'Underlying Mechanics'!$B$22*'Underlying Mechanics'!$B$17,0)-IF(W$1&gt;0,'Underlying Mechanics'!$B$12*'Underlying Mechanics'!$B$18,0)</x:f>
        <x:v>97500</x:v>
      </x:c>
      <x:c r="X12" t="n">
        <x:f>IFERROR(IRR(C12:W12),-1)</x:f>
        <x:v>0.15848577990729845</x:v>
      </x:c>
    </x:row>
    <x:row r="13">
      <x:c r="A13" t="n">
        <x:v>0</x:v>
      </x:c>
      <x:c r="B13" t="n">
        <x:v>0.55</x:v>
      </x:c>
      <x:c r="C13" t="n">
        <x:f>((IF(C$1-'Underlying Mechanics'!$B$8&lt;0,0,'Underlying Mechanics'!$B$22*'Underlying Mechanics'!$B$15*INDEX('Underlying Mechanics'!$B$31:$B$51,C$1-'Underlying Mechanics'!$B$8+1)*'Underlying Mechanics'!$B$5))*(1-$A13))-IF(C$1=0,'Underlying Mechanics'!$B$23*(1-$B13),0)-IF(C$1&gt;0,'Underlying Mechanics'!$B$22*'Underlying Mechanics'!$B$17,0)-IF(C$1&gt;0,'Underlying Mechanics'!$B$12*'Underlying Mechanics'!$B$18,0)</x:f>
        <x:v>-67500</x:v>
      </x:c>
      <x:c r="D13" t="n">
        <x:f>((IF(D$1-'Underlying Mechanics'!$B$8&lt;0,0,'Underlying Mechanics'!$B$22*'Underlying Mechanics'!$B$15*INDEX('Underlying Mechanics'!$B$31:$B$51,D$1-'Underlying Mechanics'!$B$8+1)*'Underlying Mechanics'!$B$5))*(1-$A13))-IF(D$1=0,'Underlying Mechanics'!$B$23*(1-$B13),0)-IF(D$1&gt;0,'Underlying Mechanics'!$B$22*'Underlying Mechanics'!$B$17,0)-IF(D$1&gt;0,'Underlying Mechanics'!$B$12*'Underlying Mechanics'!$B$18,0)</x:f>
        <x:v>-22500</x:v>
      </x:c>
      <x:c r="E13" t="n">
        <x:f>((IF(E$1-'Underlying Mechanics'!$B$8&lt;0,0,'Underlying Mechanics'!$B$22*'Underlying Mechanics'!$B$15*INDEX('Underlying Mechanics'!$B$31:$B$51,E$1-'Underlying Mechanics'!$B$8+1)*'Underlying Mechanics'!$B$5))*(1-$A13))-IF(E$1=0,'Underlying Mechanics'!$B$23*(1-$B13),0)-IF(E$1&gt;0,'Underlying Mechanics'!$B$22*'Underlying Mechanics'!$B$17,0)-IF(E$1&gt;0,'Underlying Mechanics'!$B$12*'Underlying Mechanics'!$B$18,0)</x:f>
        <x:v>-22500</x:v>
      </x:c>
      <x:c r="F13" t="n">
        <x:f>((IF(F$1-'Underlying Mechanics'!$B$8&lt;0,0,'Underlying Mechanics'!$B$22*'Underlying Mechanics'!$B$15*INDEX('Underlying Mechanics'!$B$31:$B$51,F$1-'Underlying Mechanics'!$B$8+1)*'Underlying Mechanics'!$B$5))*(1-$A13))-IF(F$1=0,'Underlying Mechanics'!$B$23*(1-$B13),0)-IF(F$1&gt;0,'Underlying Mechanics'!$B$22*'Underlying Mechanics'!$B$17,0)-IF(F$1&gt;0,'Underlying Mechanics'!$B$12*'Underlying Mechanics'!$B$18,0)</x:f>
        <x:v>-20100</x:v>
      </x:c>
      <x:c r="G13" t="n">
        <x:f>((IF(G$1-'Underlying Mechanics'!$B$8&lt;0,0,'Underlying Mechanics'!$B$22*'Underlying Mechanics'!$B$15*INDEX('Underlying Mechanics'!$B$31:$B$51,G$1-'Underlying Mechanics'!$B$8+1)*'Underlying Mechanics'!$B$5))*(1-$A13))-IF(G$1=0,'Underlying Mechanics'!$B$23*(1-$B13),0)-IF(G$1&gt;0,'Underlying Mechanics'!$B$22*'Underlying Mechanics'!$B$17,0)-IF(G$1&gt;0,'Underlying Mechanics'!$B$12*'Underlying Mechanics'!$B$18,0)</x:f>
        <x:v>-16500</x:v>
      </x:c>
      <x:c r="H13" t="n">
        <x:f>((IF(H$1-'Underlying Mechanics'!$B$8&lt;0,0,'Underlying Mechanics'!$B$22*'Underlying Mechanics'!$B$15*INDEX('Underlying Mechanics'!$B$31:$B$51,H$1-'Underlying Mechanics'!$B$8+1)*'Underlying Mechanics'!$B$5))*(1-$A13))-IF(H$1=0,'Underlying Mechanics'!$B$23*(1-$B13),0)-IF(H$1&gt;0,'Underlying Mechanics'!$B$22*'Underlying Mechanics'!$B$17,0)-IF(H$1&gt;0,'Underlying Mechanics'!$B$12*'Underlying Mechanics'!$B$18,0)</x:f>
        <x:v>-10500</x:v>
      </x:c>
      <x:c r="I13" t="n">
        <x:f>((IF(I$1-'Underlying Mechanics'!$B$8&lt;0,0,'Underlying Mechanics'!$B$22*'Underlying Mechanics'!$B$15*INDEX('Underlying Mechanics'!$B$31:$B$51,I$1-'Underlying Mechanics'!$B$8+1)*'Underlying Mechanics'!$B$5))*(1-$A13))-IF(I$1=0,'Underlying Mechanics'!$B$23*(1-$B13),0)-IF(I$1&gt;0,'Underlying Mechanics'!$B$22*'Underlying Mechanics'!$B$17,0)-IF(I$1&gt;0,'Underlying Mechanics'!$B$12*'Underlying Mechanics'!$B$18,0)</x:f>
        <x:v>-900</x:v>
      </x:c>
      <x:c r="J13" t="n">
        <x:f>((IF(J$1-'Underlying Mechanics'!$B$8&lt;0,0,'Underlying Mechanics'!$B$22*'Underlying Mechanics'!$B$15*INDEX('Underlying Mechanics'!$B$31:$B$51,J$1-'Underlying Mechanics'!$B$8+1)*'Underlying Mechanics'!$B$5))*(1-$A13))-IF(J$1=0,'Underlying Mechanics'!$B$23*(1-$B13),0)-IF(J$1&gt;0,'Underlying Mechanics'!$B$22*'Underlying Mechanics'!$B$17,0)-IF(J$1&gt;0,'Underlying Mechanics'!$B$12*'Underlying Mechanics'!$B$18,0)</x:f>
        <x:v>11100.000000000007</x:v>
      </x:c>
      <x:c r="K13" t="n">
        <x:f>((IF(K$1-'Underlying Mechanics'!$B$8&lt;0,0,'Underlying Mechanics'!$B$22*'Underlying Mechanics'!$B$15*INDEX('Underlying Mechanics'!$B$31:$B$51,K$1-'Underlying Mechanics'!$B$8+1)*'Underlying Mechanics'!$B$5))*(1-$A13))-IF(K$1=0,'Underlying Mechanics'!$B$23*(1-$B13),0)-IF(K$1&gt;0,'Underlying Mechanics'!$B$22*'Underlying Mechanics'!$B$17,0)-IF(K$1&gt;0,'Underlying Mechanics'!$B$12*'Underlying Mechanics'!$B$18,0)</x:f>
        <x:v>25500</x:v>
      </x:c>
      <x:c r="L13" t="n">
        <x:f>((IF(L$1-'Underlying Mechanics'!$B$8&lt;0,0,'Underlying Mechanics'!$B$22*'Underlying Mechanics'!$B$15*INDEX('Underlying Mechanics'!$B$31:$B$51,L$1-'Underlying Mechanics'!$B$8+1)*'Underlying Mechanics'!$B$5))*(1-$A13))-IF(L$1=0,'Underlying Mechanics'!$B$23*(1-$B13),0)-IF(L$1&gt;0,'Underlying Mechanics'!$B$22*'Underlying Mechanics'!$B$17,0)-IF(L$1&gt;0,'Underlying Mechanics'!$B$12*'Underlying Mechanics'!$B$18,0)</x:f>
        <x:v>42300</x:v>
      </x:c>
      <x:c r="M13" t="n">
        <x:f>((IF(M$1-'Underlying Mechanics'!$B$8&lt;0,0,'Underlying Mechanics'!$B$22*'Underlying Mechanics'!$B$15*INDEX('Underlying Mechanics'!$B$31:$B$51,M$1-'Underlying Mechanics'!$B$8+1)*'Underlying Mechanics'!$B$5))*(1-$A13))-IF(M$1=0,'Underlying Mechanics'!$B$23*(1-$B13),0)-IF(M$1&gt;0,'Underlying Mechanics'!$B$22*'Underlying Mechanics'!$B$17,0)-IF(M$1&gt;0,'Underlying Mechanics'!$B$12*'Underlying Mechanics'!$B$18,0)</x:f>
        <x:v>59100.000000000015</x:v>
      </x:c>
      <x:c r="N13" t="n">
        <x:f>((IF(N$1-'Underlying Mechanics'!$B$8&lt;0,0,'Underlying Mechanics'!$B$22*'Underlying Mechanics'!$B$15*INDEX('Underlying Mechanics'!$B$31:$B$51,N$1-'Underlying Mechanics'!$B$8+1)*'Underlying Mechanics'!$B$5))*(1-$A13))-IF(N$1=0,'Underlying Mechanics'!$B$23*(1-$B13),0)-IF(N$1&gt;0,'Underlying Mechanics'!$B$22*'Underlying Mechanics'!$B$17,0)-IF(N$1&gt;0,'Underlying Mechanics'!$B$12*'Underlying Mechanics'!$B$18,0)</x:f>
        <x:v>73500</x:v>
      </x:c>
      <x:c r="O13" t="n">
        <x:f>((IF(O$1-'Underlying Mechanics'!$B$8&lt;0,0,'Underlying Mechanics'!$B$22*'Underlying Mechanics'!$B$15*INDEX('Underlying Mechanics'!$B$31:$B$51,O$1-'Underlying Mechanics'!$B$8+1)*'Underlying Mechanics'!$B$5))*(1-$A13))-IF(O$1=0,'Underlying Mechanics'!$B$23*(1-$B13),0)-IF(O$1&gt;0,'Underlying Mechanics'!$B$22*'Underlying Mechanics'!$B$17,0)-IF(O$1&gt;0,'Underlying Mechanics'!$B$12*'Underlying Mechanics'!$B$18,0)</x:f>
        <x:v>85500</x:v>
      </x:c>
      <x:c r="P13" t="n">
        <x:f>((IF(P$1-'Underlying Mechanics'!$B$8&lt;0,0,'Underlying Mechanics'!$B$22*'Underlying Mechanics'!$B$15*INDEX('Underlying Mechanics'!$B$31:$B$51,P$1-'Underlying Mechanics'!$B$8+1)*'Underlying Mechanics'!$B$5))*(1-$A13))-IF(P$1=0,'Underlying Mechanics'!$B$23*(1-$B13),0)-IF(P$1&gt;0,'Underlying Mechanics'!$B$22*'Underlying Mechanics'!$B$17,0)-IF(P$1&gt;0,'Underlying Mechanics'!$B$12*'Underlying Mechanics'!$B$18,0)</x:f>
        <x:v>97500</x:v>
      </x:c>
      <x:c r="Q13" t="n">
        <x:f>((IF(Q$1-'Underlying Mechanics'!$B$8&lt;0,0,'Underlying Mechanics'!$B$22*'Underlying Mechanics'!$B$15*INDEX('Underlying Mechanics'!$B$31:$B$51,Q$1-'Underlying Mechanics'!$B$8+1)*'Underlying Mechanics'!$B$5))*(1-$A13))-IF(Q$1=0,'Underlying Mechanics'!$B$23*(1-$B13),0)-IF(Q$1&gt;0,'Underlying Mechanics'!$B$22*'Underlying Mechanics'!$B$17,0)-IF(Q$1&gt;0,'Underlying Mechanics'!$B$12*'Underlying Mechanics'!$B$18,0)</x:f>
        <x:v>97500</x:v>
      </x:c>
      <x:c r="R13" t="n">
        <x:f>((IF(R$1-'Underlying Mechanics'!$B$8&lt;0,0,'Underlying Mechanics'!$B$22*'Underlying Mechanics'!$B$15*INDEX('Underlying Mechanics'!$B$31:$B$51,R$1-'Underlying Mechanics'!$B$8+1)*'Underlying Mechanics'!$B$5))*(1-$A13))-IF(R$1=0,'Underlying Mechanics'!$B$23*(1-$B13),0)-IF(R$1&gt;0,'Underlying Mechanics'!$B$22*'Underlying Mechanics'!$B$17,0)-IF(R$1&gt;0,'Underlying Mechanics'!$B$12*'Underlying Mechanics'!$B$18,0)</x:f>
        <x:v>97500</x:v>
      </x:c>
      <x:c r="S13" t="n">
        <x:f>((IF(S$1-'Underlying Mechanics'!$B$8&lt;0,0,'Underlying Mechanics'!$B$22*'Underlying Mechanics'!$B$15*INDEX('Underlying Mechanics'!$B$31:$B$51,S$1-'Underlying Mechanics'!$B$8+1)*'Underlying Mechanics'!$B$5))*(1-$A13))-IF(S$1=0,'Underlying Mechanics'!$B$23*(1-$B13),0)-IF(S$1&gt;0,'Underlying Mechanics'!$B$22*'Underlying Mechanics'!$B$17,0)-IF(S$1&gt;0,'Underlying Mechanics'!$B$12*'Underlying Mechanics'!$B$18,0)</x:f>
        <x:v>97500</x:v>
      </x:c>
      <x:c r="T13" t="n">
        <x:f>((IF(T$1-'Underlying Mechanics'!$B$8&lt;0,0,'Underlying Mechanics'!$B$22*'Underlying Mechanics'!$B$15*INDEX('Underlying Mechanics'!$B$31:$B$51,T$1-'Underlying Mechanics'!$B$8+1)*'Underlying Mechanics'!$B$5))*(1-$A13))-IF(T$1=0,'Underlying Mechanics'!$B$23*(1-$B13),0)-IF(T$1&gt;0,'Underlying Mechanics'!$B$22*'Underlying Mechanics'!$B$17,0)-IF(T$1&gt;0,'Underlying Mechanics'!$B$12*'Underlying Mechanics'!$B$18,0)</x:f>
        <x:v>97500</x:v>
      </x:c>
      <x:c r="U13" t="n">
        <x:f>((IF(U$1-'Underlying Mechanics'!$B$8&lt;0,0,'Underlying Mechanics'!$B$22*'Underlying Mechanics'!$B$15*INDEX('Underlying Mechanics'!$B$31:$B$51,U$1-'Underlying Mechanics'!$B$8+1)*'Underlying Mechanics'!$B$5))*(1-$A13))-IF(U$1=0,'Underlying Mechanics'!$B$23*(1-$B13),0)-IF(U$1&gt;0,'Underlying Mechanics'!$B$22*'Underlying Mechanics'!$B$17,0)-IF(U$1&gt;0,'Underlying Mechanics'!$B$12*'Underlying Mechanics'!$B$18,0)</x:f>
        <x:v>97500</x:v>
      </x:c>
      <x:c r="V13" t="n">
        <x:f>((IF(V$1-'Underlying Mechanics'!$B$8&lt;0,0,'Underlying Mechanics'!$B$22*'Underlying Mechanics'!$B$15*INDEX('Underlying Mechanics'!$B$31:$B$51,V$1-'Underlying Mechanics'!$B$8+1)*'Underlying Mechanics'!$B$5))*(1-$A13))-IF(V$1=0,'Underlying Mechanics'!$B$23*(1-$B13),0)-IF(V$1&gt;0,'Underlying Mechanics'!$B$22*'Underlying Mechanics'!$B$17,0)-IF(V$1&gt;0,'Underlying Mechanics'!$B$12*'Underlying Mechanics'!$B$18,0)</x:f>
        <x:v>97500</x:v>
      </x:c>
      <x:c r="W13" t="n">
        <x:f>((IF(W$1-'Underlying Mechanics'!$B$8&lt;0,0,'Underlying Mechanics'!$B$22*'Underlying Mechanics'!$B$15*INDEX('Underlying Mechanics'!$B$31:$B$51,W$1-'Underlying Mechanics'!$B$8+1)*'Underlying Mechanics'!$B$5))*(1-$A13))-IF(W$1=0,'Underlying Mechanics'!$B$23*(1-$B13),0)-IF(W$1&gt;0,'Underlying Mechanics'!$B$22*'Underlying Mechanics'!$B$17,0)-IF(W$1&gt;0,'Underlying Mechanics'!$B$12*'Underlying Mechanics'!$B$18,0)</x:f>
        <x:v>97500</x:v>
      </x:c>
      <x:c r="X13" t="n">
        <x:f>IFERROR(IRR(C13:W13),-1)</x:f>
        <x:v>0.16393706986404233</x:v>
      </x:c>
    </x:row>
    <x:row r="14">
      <x:c r="A14" t="n">
        <x:v>0</x:v>
      </x:c>
      <x:c r="B14" t="n">
        <x:v>0.6</x:v>
      </x:c>
      <x:c r="C14" t="n">
        <x:f>((IF(C$1-'Underlying Mechanics'!$B$8&lt;0,0,'Underlying Mechanics'!$B$22*'Underlying Mechanics'!$B$15*INDEX('Underlying Mechanics'!$B$31:$B$51,C$1-'Underlying Mechanics'!$B$8+1)*'Underlying Mechanics'!$B$5))*(1-$A14))-IF(C$1=0,'Underlying Mechanics'!$B$23*(1-$B14),0)-IF(C$1&gt;0,'Underlying Mechanics'!$B$22*'Underlying Mechanics'!$B$17,0)-IF(C$1&gt;0,'Underlying Mechanics'!$B$12*'Underlying Mechanics'!$B$18,0)</x:f>
        <x:v>-60000</x:v>
      </x:c>
      <x:c r="D14" t="n">
        <x:f>((IF(D$1-'Underlying Mechanics'!$B$8&lt;0,0,'Underlying Mechanics'!$B$22*'Underlying Mechanics'!$B$15*INDEX('Underlying Mechanics'!$B$31:$B$51,D$1-'Underlying Mechanics'!$B$8+1)*'Underlying Mechanics'!$B$5))*(1-$A14))-IF(D$1=0,'Underlying Mechanics'!$B$23*(1-$B14),0)-IF(D$1&gt;0,'Underlying Mechanics'!$B$22*'Underlying Mechanics'!$B$17,0)-IF(D$1&gt;0,'Underlying Mechanics'!$B$12*'Underlying Mechanics'!$B$18,0)</x:f>
        <x:v>-22500</x:v>
      </x:c>
      <x:c r="E14" t="n">
        <x:f>((IF(E$1-'Underlying Mechanics'!$B$8&lt;0,0,'Underlying Mechanics'!$B$22*'Underlying Mechanics'!$B$15*INDEX('Underlying Mechanics'!$B$31:$B$51,E$1-'Underlying Mechanics'!$B$8+1)*'Underlying Mechanics'!$B$5))*(1-$A14))-IF(E$1=0,'Underlying Mechanics'!$B$23*(1-$B14),0)-IF(E$1&gt;0,'Underlying Mechanics'!$B$22*'Underlying Mechanics'!$B$17,0)-IF(E$1&gt;0,'Underlying Mechanics'!$B$12*'Underlying Mechanics'!$B$18,0)</x:f>
        <x:v>-22500</x:v>
      </x:c>
      <x:c r="F14" t="n">
        <x:f>((IF(F$1-'Underlying Mechanics'!$B$8&lt;0,0,'Underlying Mechanics'!$B$22*'Underlying Mechanics'!$B$15*INDEX('Underlying Mechanics'!$B$31:$B$51,F$1-'Underlying Mechanics'!$B$8+1)*'Underlying Mechanics'!$B$5))*(1-$A14))-IF(F$1=0,'Underlying Mechanics'!$B$23*(1-$B14),0)-IF(F$1&gt;0,'Underlying Mechanics'!$B$22*'Underlying Mechanics'!$B$17,0)-IF(F$1&gt;0,'Underlying Mechanics'!$B$12*'Underlying Mechanics'!$B$18,0)</x:f>
        <x:v>-20100</x:v>
      </x:c>
      <x:c r="G14" t="n">
        <x:f>((IF(G$1-'Underlying Mechanics'!$B$8&lt;0,0,'Underlying Mechanics'!$B$22*'Underlying Mechanics'!$B$15*INDEX('Underlying Mechanics'!$B$31:$B$51,G$1-'Underlying Mechanics'!$B$8+1)*'Underlying Mechanics'!$B$5))*(1-$A14))-IF(G$1=0,'Underlying Mechanics'!$B$23*(1-$B14),0)-IF(G$1&gt;0,'Underlying Mechanics'!$B$22*'Underlying Mechanics'!$B$17,0)-IF(G$1&gt;0,'Underlying Mechanics'!$B$12*'Underlying Mechanics'!$B$18,0)</x:f>
        <x:v>-16500</x:v>
      </x:c>
      <x:c r="H14" t="n">
        <x:f>((IF(H$1-'Underlying Mechanics'!$B$8&lt;0,0,'Underlying Mechanics'!$B$22*'Underlying Mechanics'!$B$15*INDEX('Underlying Mechanics'!$B$31:$B$51,H$1-'Underlying Mechanics'!$B$8+1)*'Underlying Mechanics'!$B$5))*(1-$A14))-IF(H$1=0,'Underlying Mechanics'!$B$23*(1-$B14),0)-IF(H$1&gt;0,'Underlying Mechanics'!$B$22*'Underlying Mechanics'!$B$17,0)-IF(H$1&gt;0,'Underlying Mechanics'!$B$12*'Underlying Mechanics'!$B$18,0)</x:f>
        <x:v>-10500</x:v>
      </x:c>
      <x:c r="I14" t="n">
        <x:f>((IF(I$1-'Underlying Mechanics'!$B$8&lt;0,0,'Underlying Mechanics'!$B$22*'Underlying Mechanics'!$B$15*INDEX('Underlying Mechanics'!$B$31:$B$51,I$1-'Underlying Mechanics'!$B$8+1)*'Underlying Mechanics'!$B$5))*(1-$A14))-IF(I$1=0,'Underlying Mechanics'!$B$23*(1-$B14),0)-IF(I$1&gt;0,'Underlying Mechanics'!$B$22*'Underlying Mechanics'!$B$17,0)-IF(I$1&gt;0,'Underlying Mechanics'!$B$12*'Underlying Mechanics'!$B$18,0)</x:f>
        <x:v>-900</x:v>
      </x:c>
      <x:c r="J14" t="n">
        <x:f>((IF(J$1-'Underlying Mechanics'!$B$8&lt;0,0,'Underlying Mechanics'!$B$22*'Underlying Mechanics'!$B$15*INDEX('Underlying Mechanics'!$B$31:$B$51,J$1-'Underlying Mechanics'!$B$8+1)*'Underlying Mechanics'!$B$5))*(1-$A14))-IF(J$1=0,'Underlying Mechanics'!$B$23*(1-$B14),0)-IF(J$1&gt;0,'Underlying Mechanics'!$B$22*'Underlying Mechanics'!$B$17,0)-IF(J$1&gt;0,'Underlying Mechanics'!$B$12*'Underlying Mechanics'!$B$18,0)</x:f>
        <x:v>11100.000000000007</x:v>
      </x:c>
      <x:c r="K14" t="n">
        <x:f>((IF(K$1-'Underlying Mechanics'!$B$8&lt;0,0,'Underlying Mechanics'!$B$22*'Underlying Mechanics'!$B$15*INDEX('Underlying Mechanics'!$B$31:$B$51,K$1-'Underlying Mechanics'!$B$8+1)*'Underlying Mechanics'!$B$5))*(1-$A14))-IF(K$1=0,'Underlying Mechanics'!$B$23*(1-$B14),0)-IF(K$1&gt;0,'Underlying Mechanics'!$B$22*'Underlying Mechanics'!$B$17,0)-IF(K$1&gt;0,'Underlying Mechanics'!$B$12*'Underlying Mechanics'!$B$18,0)</x:f>
        <x:v>25500</x:v>
      </x:c>
      <x:c r="L14" t="n">
        <x:f>((IF(L$1-'Underlying Mechanics'!$B$8&lt;0,0,'Underlying Mechanics'!$B$22*'Underlying Mechanics'!$B$15*INDEX('Underlying Mechanics'!$B$31:$B$51,L$1-'Underlying Mechanics'!$B$8+1)*'Underlying Mechanics'!$B$5))*(1-$A14))-IF(L$1=0,'Underlying Mechanics'!$B$23*(1-$B14),0)-IF(L$1&gt;0,'Underlying Mechanics'!$B$22*'Underlying Mechanics'!$B$17,0)-IF(L$1&gt;0,'Underlying Mechanics'!$B$12*'Underlying Mechanics'!$B$18,0)</x:f>
        <x:v>42300</x:v>
      </x:c>
      <x:c r="M14" t="n">
        <x:f>((IF(M$1-'Underlying Mechanics'!$B$8&lt;0,0,'Underlying Mechanics'!$B$22*'Underlying Mechanics'!$B$15*INDEX('Underlying Mechanics'!$B$31:$B$51,M$1-'Underlying Mechanics'!$B$8+1)*'Underlying Mechanics'!$B$5))*(1-$A14))-IF(M$1=0,'Underlying Mechanics'!$B$23*(1-$B14),0)-IF(M$1&gt;0,'Underlying Mechanics'!$B$22*'Underlying Mechanics'!$B$17,0)-IF(M$1&gt;0,'Underlying Mechanics'!$B$12*'Underlying Mechanics'!$B$18,0)</x:f>
        <x:v>59100.000000000015</x:v>
      </x:c>
      <x:c r="N14" t="n">
        <x:f>((IF(N$1-'Underlying Mechanics'!$B$8&lt;0,0,'Underlying Mechanics'!$B$22*'Underlying Mechanics'!$B$15*INDEX('Underlying Mechanics'!$B$31:$B$51,N$1-'Underlying Mechanics'!$B$8+1)*'Underlying Mechanics'!$B$5))*(1-$A14))-IF(N$1=0,'Underlying Mechanics'!$B$23*(1-$B14),0)-IF(N$1&gt;0,'Underlying Mechanics'!$B$22*'Underlying Mechanics'!$B$17,0)-IF(N$1&gt;0,'Underlying Mechanics'!$B$12*'Underlying Mechanics'!$B$18,0)</x:f>
        <x:v>73500</x:v>
      </x:c>
      <x:c r="O14" t="n">
        <x:f>((IF(O$1-'Underlying Mechanics'!$B$8&lt;0,0,'Underlying Mechanics'!$B$22*'Underlying Mechanics'!$B$15*INDEX('Underlying Mechanics'!$B$31:$B$51,O$1-'Underlying Mechanics'!$B$8+1)*'Underlying Mechanics'!$B$5))*(1-$A14))-IF(O$1=0,'Underlying Mechanics'!$B$23*(1-$B14),0)-IF(O$1&gt;0,'Underlying Mechanics'!$B$22*'Underlying Mechanics'!$B$17,0)-IF(O$1&gt;0,'Underlying Mechanics'!$B$12*'Underlying Mechanics'!$B$18,0)</x:f>
        <x:v>85500</x:v>
      </x:c>
      <x:c r="P14" t="n">
        <x:f>((IF(P$1-'Underlying Mechanics'!$B$8&lt;0,0,'Underlying Mechanics'!$B$22*'Underlying Mechanics'!$B$15*INDEX('Underlying Mechanics'!$B$31:$B$51,P$1-'Underlying Mechanics'!$B$8+1)*'Underlying Mechanics'!$B$5))*(1-$A14))-IF(P$1=0,'Underlying Mechanics'!$B$23*(1-$B14),0)-IF(P$1&gt;0,'Underlying Mechanics'!$B$22*'Underlying Mechanics'!$B$17,0)-IF(P$1&gt;0,'Underlying Mechanics'!$B$12*'Underlying Mechanics'!$B$18,0)</x:f>
        <x:v>97500</x:v>
      </x:c>
      <x:c r="Q14" t="n">
        <x:f>((IF(Q$1-'Underlying Mechanics'!$B$8&lt;0,0,'Underlying Mechanics'!$B$22*'Underlying Mechanics'!$B$15*INDEX('Underlying Mechanics'!$B$31:$B$51,Q$1-'Underlying Mechanics'!$B$8+1)*'Underlying Mechanics'!$B$5))*(1-$A14))-IF(Q$1=0,'Underlying Mechanics'!$B$23*(1-$B14),0)-IF(Q$1&gt;0,'Underlying Mechanics'!$B$22*'Underlying Mechanics'!$B$17,0)-IF(Q$1&gt;0,'Underlying Mechanics'!$B$12*'Underlying Mechanics'!$B$18,0)</x:f>
        <x:v>97500</x:v>
      </x:c>
      <x:c r="R14" t="n">
        <x:f>((IF(R$1-'Underlying Mechanics'!$B$8&lt;0,0,'Underlying Mechanics'!$B$22*'Underlying Mechanics'!$B$15*INDEX('Underlying Mechanics'!$B$31:$B$51,R$1-'Underlying Mechanics'!$B$8+1)*'Underlying Mechanics'!$B$5))*(1-$A14))-IF(R$1=0,'Underlying Mechanics'!$B$23*(1-$B14),0)-IF(R$1&gt;0,'Underlying Mechanics'!$B$22*'Underlying Mechanics'!$B$17,0)-IF(R$1&gt;0,'Underlying Mechanics'!$B$12*'Underlying Mechanics'!$B$18,0)</x:f>
        <x:v>97500</x:v>
      </x:c>
      <x:c r="S14" t="n">
        <x:f>((IF(S$1-'Underlying Mechanics'!$B$8&lt;0,0,'Underlying Mechanics'!$B$22*'Underlying Mechanics'!$B$15*INDEX('Underlying Mechanics'!$B$31:$B$51,S$1-'Underlying Mechanics'!$B$8+1)*'Underlying Mechanics'!$B$5))*(1-$A14))-IF(S$1=0,'Underlying Mechanics'!$B$23*(1-$B14),0)-IF(S$1&gt;0,'Underlying Mechanics'!$B$22*'Underlying Mechanics'!$B$17,0)-IF(S$1&gt;0,'Underlying Mechanics'!$B$12*'Underlying Mechanics'!$B$18,0)</x:f>
        <x:v>97500</x:v>
      </x:c>
      <x:c r="T14" t="n">
        <x:f>((IF(T$1-'Underlying Mechanics'!$B$8&lt;0,0,'Underlying Mechanics'!$B$22*'Underlying Mechanics'!$B$15*INDEX('Underlying Mechanics'!$B$31:$B$51,T$1-'Underlying Mechanics'!$B$8+1)*'Underlying Mechanics'!$B$5))*(1-$A14))-IF(T$1=0,'Underlying Mechanics'!$B$23*(1-$B14),0)-IF(T$1&gt;0,'Underlying Mechanics'!$B$22*'Underlying Mechanics'!$B$17,0)-IF(T$1&gt;0,'Underlying Mechanics'!$B$12*'Underlying Mechanics'!$B$18,0)</x:f>
        <x:v>97500</x:v>
      </x:c>
      <x:c r="U14" t="n">
        <x:f>((IF(U$1-'Underlying Mechanics'!$B$8&lt;0,0,'Underlying Mechanics'!$B$22*'Underlying Mechanics'!$B$15*INDEX('Underlying Mechanics'!$B$31:$B$51,U$1-'Underlying Mechanics'!$B$8+1)*'Underlying Mechanics'!$B$5))*(1-$A14))-IF(U$1=0,'Underlying Mechanics'!$B$23*(1-$B14),0)-IF(U$1&gt;0,'Underlying Mechanics'!$B$22*'Underlying Mechanics'!$B$17,0)-IF(U$1&gt;0,'Underlying Mechanics'!$B$12*'Underlying Mechanics'!$B$18,0)</x:f>
        <x:v>97500</x:v>
      </x:c>
      <x:c r="V14" t="n">
        <x:f>((IF(V$1-'Underlying Mechanics'!$B$8&lt;0,0,'Underlying Mechanics'!$B$22*'Underlying Mechanics'!$B$15*INDEX('Underlying Mechanics'!$B$31:$B$51,V$1-'Underlying Mechanics'!$B$8+1)*'Underlying Mechanics'!$B$5))*(1-$A14))-IF(V$1=0,'Underlying Mechanics'!$B$23*(1-$B14),0)-IF(V$1&gt;0,'Underlying Mechanics'!$B$22*'Underlying Mechanics'!$B$17,0)-IF(V$1&gt;0,'Underlying Mechanics'!$B$12*'Underlying Mechanics'!$B$18,0)</x:f>
        <x:v>97500</x:v>
      </x:c>
      <x:c r="W14" t="n">
        <x:f>((IF(W$1-'Underlying Mechanics'!$B$8&lt;0,0,'Underlying Mechanics'!$B$22*'Underlying Mechanics'!$B$15*INDEX('Underlying Mechanics'!$B$31:$B$51,W$1-'Underlying Mechanics'!$B$8+1)*'Underlying Mechanics'!$B$5))*(1-$A14))-IF(W$1=0,'Underlying Mechanics'!$B$23*(1-$B14),0)-IF(W$1&gt;0,'Underlying Mechanics'!$B$22*'Underlying Mechanics'!$B$17,0)-IF(W$1&gt;0,'Underlying Mechanics'!$B$12*'Underlying Mechanics'!$B$18,0)</x:f>
        <x:v>97500</x:v>
      </x:c>
      <x:c r="X14" t="n">
        <x:f>IFERROR(IRR(C14:W14),-1)</x:f>
        <x:v>0.16982908254925355</x:v>
      </x:c>
    </x:row>
    <x:row r="15">
      <x:c r="A15" t="n">
        <x:v>0</x:v>
      </x:c>
      <x:c r="B15" t="n">
        <x:v>0.65</x:v>
      </x:c>
      <x:c r="C15" t="n">
        <x:f>((IF(C$1-'Underlying Mechanics'!$B$8&lt;0,0,'Underlying Mechanics'!$B$22*'Underlying Mechanics'!$B$15*INDEX('Underlying Mechanics'!$B$31:$B$51,C$1-'Underlying Mechanics'!$B$8+1)*'Underlying Mechanics'!$B$5))*(1-$A15))-IF(C$1=0,'Underlying Mechanics'!$B$23*(1-$B15),0)-IF(C$1&gt;0,'Underlying Mechanics'!$B$22*'Underlying Mechanics'!$B$17,0)-IF(C$1&gt;0,'Underlying Mechanics'!$B$12*'Underlying Mechanics'!$B$18,0)</x:f>
        <x:v>-52500</x:v>
      </x:c>
      <x:c r="D15" t="n">
        <x:f>((IF(D$1-'Underlying Mechanics'!$B$8&lt;0,0,'Underlying Mechanics'!$B$22*'Underlying Mechanics'!$B$15*INDEX('Underlying Mechanics'!$B$31:$B$51,D$1-'Underlying Mechanics'!$B$8+1)*'Underlying Mechanics'!$B$5))*(1-$A15))-IF(D$1=0,'Underlying Mechanics'!$B$23*(1-$B15),0)-IF(D$1&gt;0,'Underlying Mechanics'!$B$22*'Underlying Mechanics'!$B$17,0)-IF(D$1&gt;0,'Underlying Mechanics'!$B$12*'Underlying Mechanics'!$B$18,0)</x:f>
        <x:v>-22500</x:v>
      </x:c>
      <x:c r="E15" t="n">
        <x:f>((IF(E$1-'Underlying Mechanics'!$B$8&lt;0,0,'Underlying Mechanics'!$B$22*'Underlying Mechanics'!$B$15*INDEX('Underlying Mechanics'!$B$31:$B$51,E$1-'Underlying Mechanics'!$B$8+1)*'Underlying Mechanics'!$B$5))*(1-$A15))-IF(E$1=0,'Underlying Mechanics'!$B$23*(1-$B15),0)-IF(E$1&gt;0,'Underlying Mechanics'!$B$22*'Underlying Mechanics'!$B$17,0)-IF(E$1&gt;0,'Underlying Mechanics'!$B$12*'Underlying Mechanics'!$B$18,0)</x:f>
        <x:v>-22500</x:v>
      </x:c>
      <x:c r="F15" t="n">
        <x:f>((IF(F$1-'Underlying Mechanics'!$B$8&lt;0,0,'Underlying Mechanics'!$B$22*'Underlying Mechanics'!$B$15*INDEX('Underlying Mechanics'!$B$31:$B$51,F$1-'Underlying Mechanics'!$B$8+1)*'Underlying Mechanics'!$B$5))*(1-$A15))-IF(F$1=0,'Underlying Mechanics'!$B$23*(1-$B15),0)-IF(F$1&gt;0,'Underlying Mechanics'!$B$22*'Underlying Mechanics'!$B$17,0)-IF(F$1&gt;0,'Underlying Mechanics'!$B$12*'Underlying Mechanics'!$B$18,0)</x:f>
        <x:v>-20100</x:v>
      </x:c>
      <x:c r="G15" t="n">
        <x:f>((IF(G$1-'Underlying Mechanics'!$B$8&lt;0,0,'Underlying Mechanics'!$B$22*'Underlying Mechanics'!$B$15*INDEX('Underlying Mechanics'!$B$31:$B$51,G$1-'Underlying Mechanics'!$B$8+1)*'Underlying Mechanics'!$B$5))*(1-$A15))-IF(G$1=0,'Underlying Mechanics'!$B$23*(1-$B15),0)-IF(G$1&gt;0,'Underlying Mechanics'!$B$22*'Underlying Mechanics'!$B$17,0)-IF(G$1&gt;0,'Underlying Mechanics'!$B$12*'Underlying Mechanics'!$B$18,0)</x:f>
        <x:v>-16500</x:v>
      </x:c>
      <x:c r="H15" t="n">
        <x:f>((IF(H$1-'Underlying Mechanics'!$B$8&lt;0,0,'Underlying Mechanics'!$B$22*'Underlying Mechanics'!$B$15*INDEX('Underlying Mechanics'!$B$31:$B$51,H$1-'Underlying Mechanics'!$B$8+1)*'Underlying Mechanics'!$B$5))*(1-$A15))-IF(H$1=0,'Underlying Mechanics'!$B$23*(1-$B15),0)-IF(H$1&gt;0,'Underlying Mechanics'!$B$22*'Underlying Mechanics'!$B$17,0)-IF(H$1&gt;0,'Underlying Mechanics'!$B$12*'Underlying Mechanics'!$B$18,0)</x:f>
        <x:v>-10500</x:v>
      </x:c>
      <x:c r="I15" t="n">
        <x:f>((IF(I$1-'Underlying Mechanics'!$B$8&lt;0,0,'Underlying Mechanics'!$B$22*'Underlying Mechanics'!$B$15*INDEX('Underlying Mechanics'!$B$31:$B$51,I$1-'Underlying Mechanics'!$B$8+1)*'Underlying Mechanics'!$B$5))*(1-$A15))-IF(I$1=0,'Underlying Mechanics'!$B$23*(1-$B15),0)-IF(I$1&gt;0,'Underlying Mechanics'!$B$22*'Underlying Mechanics'!$B$17,0)-IF(I$1&gt;0,'Underlying Mechanics'!$B$12*'Underlying Mechanics'!$B$18,0)</x:f>
        <x:v>-900</x:v>
      </x:c>
      <x:c r="J15" t="n">
        <x:f>((IF(J$1-'Underlying Mechanics'!$B$8&lt;0,0,'Underlying Mechanics'!$B$22*'Underlying Mechanics'!$B$15*INDEX('Underlying Mechanics'!$B$31:$B$51,J$1-'Underlying Mechanics'!$B$8+1)*'Underlying Mechanics'!$B$5))*(1-$A15))-IF(J$1=0,'Underlying Mechanics'!$B$23*(1-$B15),0)-IF(J$1&gt;0,'Underlying Mechanics'!$B$22*'Underlying Mechanics'!$B$17,0)-IF(J$1&gt;0,'Underlying Mechanics'!$B$12*'Underlying Mechanics'!$B$18,0)</x:f>
        <x:v>11100.000000000007</x:v>
      </x:c>
      <x:c r="K15" t="n">
        <x:f>((IF(K$1-'Underlying Mechanics'!$B$8&lt;0,0,'Underlying Mechanics'!$B$22*'Underlying Mechanics'!$B$15*INDEX('Underlying Mechanics'!$B$31:$B$51,K$1-'Underlying Mechanics'!$B$8+1)*'Underlying Mechanics'!$B$5))*(1-$A15))-IF(K$1=0,'Underlying Mechanics'!$B$23*(1-$B15),0)-IF(K$1&gt;0,'Underlying Mechanics'!$B$22*'Underlying Mechanics'!$B$17,0)-IF(K$1&gt;0,'Underlying Mechanics'!$B$12*'Underlying Mechanics'!$B$18,0)</x:f>
        <x:v>25500</x:v>
      </x:c>
      <x:c r="L15" t="n">
        <x:f>((IF(L$1-'Underlying Mechanics'!$B$8&lt;0,0,'Underlying Mechanics'!$B$22*'Underlying Mechanics'!$B$15*INDEX('Underlying Mechanics'!$B$31:$B$51,L$1-'Underlying Mechanics'!$B$8+1)*'Underlying Mechanics'!$B$5))*(1-$A15))-IF(L$1=0,'Underlying Mechanics'!$B$23*(1-$B15),0)-IF(L$1&gt;0,'Underlying Mechanics'!$B$22*'Underlying Mechanics'!$B$17,0)-IF(L$1&gt;0,'Underlying Mechanics'!$B$12*'Underlying Mechanics'!$B$18,0)</x:f>
        <x:v>42300</x:v>
      </x:c>
      <x:c r="M15" t="n">
        <x:f>((IF(M$1-'Underlying Mechanics'!$B$8&lt;0,0,'Underlying Mechanics'!$B$22*'Underlying Mechanics'!$B$15*INDEX('Underlying Mechanics'!$B$31:$B$51,M$1-'Underlying Mechanics'!$B$8+1)*'Underlying Mechanics'!$B$5))*(1-$A15))-IF(M$1=0,'Underlying Mechanics'!$B$23*(1-$B15),0)-IF(M$1&gt;0,'Underlying Mechanics'!$B$22*'Underlying Mechanics'!$B$17,0)-IF(M$1&gt;0,'Underlying Mechanics'!$B$12*'Underlying Mechanics'!$B$18,0)</x:f>
        <x:v>59100.000000000015</x:v>
      </x:c>
      <x:c r="N15" t="n">
        <x:f>((IF(N$1-'Underlying Mechanics'!$B$8&lt;0,0,'Underlying Mechanics'!$B$22*'Underlying Mechanics'!$B$15*INDEX('Underlying Mechanics'!$B$31:$B$51,N$1-'Underlying Mechanics'!$B$8+1)*'Underlying Mechanics'!$B$5))*(1-$A15))-IF(N$1=0,'Underlying Mechanics'!$B$23*(1-$B15),0)-IF(N$1&gt;0,'Underlying Mechanics'!$B$22*'Underlying Mechanics'!$B$17,0)-IF(N$1&gt;0,'Underlying Mechanics'!$B$12*'Underlying Mechanics'!$B$18,0)</x:f>
        <x:v>73500</x:v>
      </x:c>
      <x:c r="O15" t="n">
        <x:f>((IF(O$1-'Underlying Mechanics'!$B$8&lt;0,0,'Underlying Mechanics'!$B$22*'Underlying Mechanics'!$B$15*INDEX('Underlying Mechanics'!$B$31:$B$51,O$1-'Underlying Mechanics'!$B$8+1)*'Underlying Mechanics'!$B$5))*(1-$A15))-IF(O$1=0,'Underlying Mechanics'!$B$23*(1-$B15),0)-IF(O$1&gt;0,'Underlying Mechanics'!$B$22*'Underlying Mechanics'!$B$17,0)-IF(O$1&gt;0,'Underlying Mechanics'!$B$12*'Underlying Mechanics'!$B$18,0)</x:f>
        <x:v>85500</x:v>
      </x:c>
      <x:c r="P15" t="n">
        <x:f>((IF(P$1-'Underlying Mechanics'!$B$8&lt;0,0,'Underlying Mechanics'!$B$22*'Underlying Mechanics'!$B$15*INDEX('Underlying Mechanics'!$B$31:$B$51,P$1-'Underlying Mechanics'!$B$8+1)*'Underlying Mechanics'!$B$5))*(1-$A15))-IF(P$1=0,'Underlying Mechanics'!$B$23*(1-$B15),0)-IF(P$1&gt;0,'Underlying Mechanics'!$B$22*'Underlying Mechanics'!$B$17,0)-IF(P$1&gt;0,'Underlying Mechanics'!$B$12*'Underlying Mechanics'!$B$18,0)</x:f>
        <x:v>97500</x:v>
      </x:c>
      <x:c r="Q15" t="n">
        <x:f>((IF(Q$1-'Underlying Mechanics'!$B$8&lt;0,0,'Underlying Mechanics'!$B$22*'Underlying Mechanics'!$B$15*INDEX('Underlying Mechanics'!$B$31:$B$51,Q$1-'Underlying Mechanics'!$B$8+1)*'Underlying Mechanics'!$B$5))*(1-$A15))-IF(Q$1=0,'Underlying Mechanics'!$B$23*(1-$B15),0)-IF(Q$1&gt;0,'Underlying Mechanics'!$B$22*'Underlying Mechanics'!$B$17,0)-IF(Q$1&gt;0,'Underlying Mechanics'!$B$12*'Underlying Mechanics'!$B$18,0)</x:f>
        <x:v>97500</x:v>
      </x:c>
      <x:c r="R15" t="n">
        <x:f>((IF(R$1-'Underlying Mechanics'!$B$8&lt;0,0,'Underlying Mechanics'!$B$22*'Underlying Mechanics'!$B$15*INDEX('Underlying Mechanics'!$B$31:$B$51,R$1-'Underlying Mechanics'!$B$8+1)*'Underlying Mechanics'!$B$5))*(1-$A15))-IF(R$1=0,'Underlying Mechanics'!$B$23*(1-$B15),0)-IF(R$1&gt;0,'Underlying Mechanics'!$B$22*'Underlying Mechanics'!$B$17,0)-IF(R$1&gt;0,'Underlying Mechanics'!$B$12*'Underlying Mechanics'!$B$18,0)</x:f>
        <x:v>97500</x:v>
      </x:c>
      <x:c r="S15" t="n">
        <x:f>((IF(S$1-'Underlying Mechanics'!$B$8&lt;0,0,'Underlying Mechanics'!$B$22*'Underlying Mechanics'!$B$15*INDEX('Underlying Mechanics'!$B$31:$B$51,S$1-'Underlying Mechanics'!$B$8+1)*'Underlying Mechanics'!$B$5))*(1-$A15))-IF(S$1=0,'Underlying Mechanics'!$B$23*(1-$B15),0)-IF(S$1&gt;0,'Underlying Mechanics'!$B$22*'Underlying Mechanics'!$B$17,0)-IF(S$1&gt;0,'Underlying Mechanics'!$B$12*'Underlying Mechanics'!$B$18,0)</x:f>
        <x:v>97500</x:v>
      </x:c>
      <x:c r="T15" t="n">
        <x:f>((IF(T$1-'Underlying Mechanics'!$B$8&lt;0,0,'Underlying Mechanics'!$B$22*'Underlying Mechanics'!$B$15*INDEX('Underlying Mechanics'!$B$31:$B$51,T$1-'Underlying Mechanics'!$B$8+1)*'Underlying Mechanics'!$B$5))*(1-$A15))-IF(T$1=0,'Underlying Mechanics'!$B$23*(1-$B15),0)-IF(T$1&gt;0,'Underlying Mechanics'!$B$22*'Underlying Mechanics'!$B$17,0)-IF(T$1&gt;0,'Underlying Mechanics'!$B$12*'Underlying Mechanics'!$B$18,0)</x:f>
        <x:v>97500</x:v>
      </x:c>
      <x:c r="U15" t="n">
        <x:f>((IF(U$1-'Underlying Mechanics'!$B$8&lt;0,0,'Underlying Mechanics'!$B$22*'Underlying Mechanics'!$B$15*INDEX('Underlying Mechanics'!$B$31:$B$51,U$1-'Underlying Mechanics'!$B$8+1)*'Underlying Mechanics'!$B$5))*(1-$A15))-IF(U$1=0,'Underlying Mechanics'!$B$23*(1-$B15),0)-IF(U$1&gt;0,'Underlying Mechanics'!$B$22*'Underlying Mechanics'!$B$17,0)-IF(U$1&gt;0,'Underlying Mechanics'!$B$12*'Underlying Mechanics'!$B$18,0)</x:f>
        <x:v>97500</x:v>
      </x:c>
      <x:c r="V15" t="n">
        <x:f>((IF(V$1-'Underlying Mechanics'!$B$8&lt;0,0,'Underlying Mechanics'!$B$22*'Underlying Mechanics'!$B$15*INDEX('Underlying Mechanics'!$B$31:$B$51,V$1-'Underlying Mechanics'!$B$8+1)*'Underlying Mechanics'!$B$5))*(1-$A15))-IF(V$1=0,'Underlying Mechanics'!$B$23*(1-$B15),0)-IF(V$1&gt;0,'Underlying Mechanics'!$B$22*'Underlying Mechanics'!$B$17,0)-IF(V$1&gt;0,'Underlying Mechanics'!$B$12*'Underlying Mechanics'!$B$18,0)</x:f>
        <x:v>97500</x:v>
      </x:c>
      <x:c r="W15" t="n">
        <x:f>((IF(W$1-'Underlying Mechanics'!$B$8&lt;0,0,'Underlying Mechanics'!$B$22*'Underlying Mechanics'!$B$15*INDEX('Underlying Mechanics'!$B$31:$B$51,W$1-'Underlying Mechanics'!$B$8+1)*'Underlying Mechanics'!$B$5))*(1-$A15))-IF(W$1=0,'Underlying Mechanics'!$B$23*(1-$B15),0)-IF(W$1&gt;0,'Underlying Mechanics'!$B$22*'Underlying Mechanics'!$B$17,0)-IF(W$1&gt;0,'Underlying Mechanics'!$B$12*'Underlying Mechanics'!$B$18,0)</x:f>
        <x:v>97500</x:v>
      </x:c>
      <x:c r="X15" t="n">
        <x:f>IFERROR(IRR(C15:W15),-1)</x:f>
        <x:v>0.1762366142066623</x:v>
      </x:c>
    </x:row>
    <x:row r="16">
      <x:c r="A16" t="n">
        <x:v>0</x:v>
      </x:c>
      <x:c r="B16" t="n">
        <x:v>0.7</x:v>
      </x:c>
      <x:c r="C16" t="n">
        <x:f>((IF(C$1-'Underlying Mechanics'!$B$8&lt;0,0,'Underlying Mechanics'!$B$22*'Underlying Mechanics'!$B$15*INDEX('Underlying Mechanics'!$B$31:$B$51,C$1-'Underlying Mechanics'!$B$8+1)*'Underlying Mechanics'!$B$5))*(1-$A16))-IF(C$1=0,'Underlying Mechanics'!$B$23*(1-$B16),0)-IF(C$1&gt;0,'Underlying Mechanics'!$B$22*'Underlying Mechanics'!$B$17,0)-IF(C$1&gt;0,'Underlying Mechanics'!$B$12*'Underlying Mechanics'!$B$18,0)</x:f>
        <x:v>-45000.00000000001</x:v>
      </x:c>
      <x:c r="D16" t="n">
        <x:f>((IF(D$1-'Underlying Mechanics'!$B$8&lt;0,0,'Underlying Mechanics'!$B$22*'Underlying Mechanics'!$B$15*INDEX('Underlying Mechanics'!$B$31:$B$51,D$1-'Underlying Mechanics'!$B$8+1)*'Underlying Mechanics'!$B$5))*(1-$A16))-IF(D$1=0,'Underlying Mechanics'!$B$23*(1-$B16),0)-IF(D$1&gt;0,'Underlying Mechanics'!$B$22*'Underlying Mechanics'!$B$17,0)-IF(D$1&gt;0,'Underlying Mechanics'!$B$12*'Underlying Mechanics'!$B$18,0)</x:f>
        <x:v>-22500</x:v>
      </x:c>
      <x:c r="E16" t="n">
        <x:f>((IF(E$1-'Underlying Mechanics'!$B$8&lt;0,0,'Underlying Mechanics'!$B$22*'Underlying Mechanics'!$B$15*INDEX('Underlying Mechanics'!$B$31:$B$51,E$1-'Underlying Mechanics'!$B$8+1)*'Underlying Mechanics'!$B$5))*(1-$A16))-IF(E$1=0,'Underlying Mechanics'!$B$23*(1-$B16),0)-IF(E$1&gt;0,'Underlying Mechanics'!$B$22*'Underlying Mechanics'!$B$17,0)-IF(E$1&gt;0,'Underlying Mechanics'!$B$12*'Underlying Mechanics'!$B$18,0)</x:f>
        <x:v>-22500</x:v>
      </x:c>
      <x:c r="F16" t="n">
        <x:f>((IF(F$1-'Underlying Mechanics'!$B$8&lt;0,0,'Underlying Mechanics'!$B$22*'Underlying Mechanics'!$B$15*INDEX('Underlying Mechanics'!$B$31:$B$51,F$1-'Underlying Mechanics'!$B$8+1)*'Underlying Mechanics'!$B$5))*(1-$A16))-IF(F$1=0,'Underlying Mechanics'!$B$23*(1-$B16),0)-IF(F$1&gt;0,'Underlying Mechanics'!$B$22*'Underlying Mechanics'!$B$17,0)-IF(F$1&gt;0,'Underlying Mechanics'!$B$12*'Underlying Mechanics'!$B$18,0)</x:f>
        <x:v>-20100</x:v>
      </x:c>
      <x:c r="G16" t="n">
        <x:f>((IF(G$1-'Underlying Mechanics'!$B$8&lt;0,0,'Underlying Mechanics'!$B$22*'Underlying Mechanics'!$B$15*INDEX('Underlying Mechanics'!$B$31:$B$51,G$1-'Underlying Mechanics'!$B$8+1)*'Underlying Mechanics'!$B$5))*(1-$A16))-IF(G$1=0,'Underlying Mechanics'!$B$23*(1-$B16),0)-IF(G$1&gt;0,'Underlying Mechanics'!$B$22*'Underlying Mechanics'!$B$17,0)-IF(G$1&gt;0,'Underlying Mechanics'!$B$12*'Underlying Mechanics'!$B$18,0)</x:f>
        <x:v>-16500</x:v>
      </x:c>
      <x:c r="H16" t="n">
        <x:f>((IF(H$1-'Underlying Mechanics'!$B$8&lt;0,0,'Underlying Mechanics'!$B$22*'Underlying Mechanics'!$B$15*INDEX('Underlying Mechanics'!$B$31:$B$51,H$1-'Underlying Mechanics'!$B$8+1)*'Underlying Mechanics'!$B$5))*(1-$A16))-IF(H$1=0,'Underlying Mechanics'!$B$23*(1-$B16),0)-IF(H$1&gt;0,'Underlying Mechanics'!$B$22*'Underlying Mechanics'!$B$17,0)-IF(H$1&gt;0,'Underlying Mechanics'!$B$12*'Underlying Mechanics'!$B$18,0)</x:f>
        <x:v>-10500</x:v>
      </x:c>
      <x:c r="I16" t="n">
        <x:f>((IF(I$1-'Underlying Mechanics'!$B$8&lt;0,0,'Underlying Mechanics'!$B$22*'Underlying Mechanics'!$B$15*INDEX('Underlying Mechanics'!$B$31:$B$51,I$1-'Underlying Mechanics'!$B$8+1)*'Underlying Mechanics'!$B$5))*(1-$A16))-IF(I$1=0,'Underlying Mechanics'!$B$23*(1-$B16),0)-IF(I$1&gt;0,'Underlying Mechanics'!$B$22*'Underlying Mechanics'!$B$17,0)-IF(I$1&gt;0,'Underlying Mechanics'!$B$12*'Underlying Mechanics'!$B$18,0)</x:f>
        <x:v>-900</x:v>
      </x:c>
      <x:c r="J16" t="n">
        <x:f>((IF(J$1-'Underlying Mechanics'!$B$8&lt;0,0,'Underlying Mechanics'!$B$22*'Underlying Mechanics'!$B$15*INDEX('Underlying Mechanics'!$B$31:$B$51,J$1-'Underlying Mechanics'!$B$8+1)*'Underlying Mechanics'!$B$5))*(1-$A16))-IF(J$1=0,'Underlying Mechanics'!$B$23*(1-$B16),0)-IF(J$1&gt;0,'Underlying Mechanics'!$B$22*'Underlying Mechanics'!$B$17,0)-IF(J$1&gt;0,'Underlying Mechanics'!$B$12*'Underlying Mechanics'!$B$18,0)</x:f>
        <x:v>11100.000000000007</x:v>
      </x:c>
      <x:c r="K16" t="n">
        <x:f>((IF(K$1-'Underlying Mechanics'!$B$8&lt;0,0,'Underlying Mechanics'!$B$22*'Underlying Mechanics'!$B$15*INDEX('Underlying Mechanics'!$B$31:$B$51,K$1-'Underlying Mechanics'!$B$8+1)*'Underlying Mechanics'!$B$5))*(1-$A16))-IF(K$1=0,'Underlying Mechanics'!$B$23*(1-$B16),0)-IF(K$1&gt;0,'Underlying Mechanics'!$B$22*'Underlying Mechanics'!$B$17,0)-IF(K$1&gt;0,'Underlying Mechanics'!$B$12*'Underlying Mechanics'!$B$18,0)</x:f>
        <x:v>25500</x:v>
      </x:c>
      <x:c r="L16" t="n">
        <x:f>((IF(L$1-'Underlying Mechanics'!$B$8&lt;0,0,'Underlying Mechanics'!$B$22*'Underlying Mechanics'!$B$15*INDEX('Underlying Mechanics'!$B$31:$B$51,L$1-'Underlying Mechanics'!$B$8+1)*'Underlying Mechanics'!$B$5))*(1-$A16))-IF(L$1=0,'Underlying Mechanics'!$B$23*(1-$B16),0)-IF(L$1&gt;0,'Underlying Mechanics'!$B$22*'Underlying Mechanics'!$B$17,0)-IF(L$1&gt;0,'Underlying Mechanics'!$B$12*'Underlying Mechanics'!$B$18,0)</x:f>
        <x:v>42300</x:v>
      </x:c>
      <x:c r="M16" t="n">
        <x:f>((IF(M$1-'Underlying Mechanics'!$B$8&lt;0,0,'Underlying Mechanics'!$B$22*'Underlying Mechanics'!$B$15*INDEX('Underlying Mechanics'!$B$31:$B$51,M$1-'Underlying Mechanics'!$B$8+1)*'Underlying Mechanics'!$B$5))*(1-$A16))-IF(M$1=0,'Underlying Mechanics'!$B$23*(1-$B16),0)-IF(M$1&gt;0,'Underlying Mechanics'!$B$22*'Underlying Mechanics'!$B$17,0)-IF(M$1&gt;0,'Underlying Mechanics'!$B$12*'Underlying Mechanics'!$B$18,0)</x:f>
        <x:v>59100.000000000015</x:v>
      </x:c>
      <x:c r="N16" t="n">
        <x:f>((IF(N$1-'Underlying Mechanics'!$B$8&lt;0,0,'Underlying Mechanics'!$B$22*'Underlying Mechanics'!$B$15*INDEX('Underlying Mechanics'!$B$31:$B$51,N$1-'Underlying Mechanics'!$B$8+1)*'Underlying Mechanics'!$B$5))*(1-$A16))-IF(N$1=0,'Underlying Mechanics'!$B$23*(1-$B16),0)-IF(N$1&gt;0,'Underlying Mechanics'!$B$22*'Underlying Mechanics'!$B$17,0)-IF(N$1&gt;0,'Underlying Mechanics'!$B$12*'Underlying Mechanics'!$B$18,0)</x:f>
        <x:v>73500</x:v>
      </x:c>
      <x:c r="O16" t="n">
        <x:f>((IF(O$1-'Underlying Mechanics'!$B$8&lt;0,0,'Underlying Mechanics'!$B$22*'Underlying Mechanics'!$B$15*INDEX('Underlying Mechanics'!$B$31:$B$51,O$1-'Underlying Mechanics'!$B$8+1)*'Underlying Mechanics'!$B$5))*(1-$A16))-IF(O$1=0,'Underlying Mechanics'!$B$23*(1-$B16),0)-IF(O$1&gt;0,'Underlying Mechanics'!$B$22*'Underlying Mechanics'!$B$17,0)-IF(O$1&gt;0,'Underlying Mechanics'!$B$12*'Underlying Mechanics'!$B$18,0)</x:f>
        <x:v>85500</x:v>
      </x:c>
      <x:c r="P16" t="n">
        <x:f>((IF(P$1-'Underlying Mechanics'!$B$8&lt;0,0,'Underlying Mechanics'!$B$22*'Underlying Mechanics'!$B$15*INDEX('Underlying Mechanics'!$B$31:$B$51,P$1-'Underlying Mechanics'!$B$8+1)*'Underlying Mechanics'!$B$5))*(1-$A16))-IF(P$1=0,'Underlying Mechanics'!$B$23*(1-$B16),0)-IF(P$1&gt;0,'Underlying Mechanics'!$B$22*'Underlying Mechanics'!$B$17,0)-IF(P$1&gt;0,'Underlying Mechanics'!$B$12*'Underlying Mechanics'!$B$18,0)</x:f>
        <x:v>97500</x:v>
      </x:c>
      <x:c r="Q16" t="n">
        <x:f>((IF(Q$1-'Underlying Mechanics'!$B$8&lt;0,0,'Underlying Mechanics'!$B$22*'Underlying Mechanics'!$B$15*INDEX('Underlying Mechanics'!$B$31:$B$51,Q$1-'Underlying Mechanics'!$B$8+1)*'Underlying Mechanics'!$B$5))*(1-$A16))-IF(Q$1=0,'Underlying Mechanics'!$B$23*(1-$B16),0)-IF(Q$1&gt;0,'Underlying Mechanics'!$B$22*'Underlying Mechanics'!$B$17,0)-IF(Q$1&gt;0,'Underlying Mechanics'!$B$12*'Underlying Mechanics'!$B$18,0)</x:f>
        <x:v>97500</x:v>
      </x:c>
      <x:c r="R16" t="n">
        <x:f>((IF(R$1-'Underlying Mechanics'!$B$8&lt;0,0,'Underlying Mechanics'!$B$22*'Underlying Mechanics'!$B$15*INDEX('Underlying Mechanics'!$B$31:$B$51,R$1-'Underlying Mechanics'!$B$8+1)*'Underlying Mechanics'!$B$5))*(1-$A16))-IF(R$1=0,'Underlying Mechanics'!$B$23*(1-$B16),0)-IF(R$1&gt;0,'Underlying Mechanics'!$B$22*'Underlying Mechanics'!$B$17,0)-IF(R$1&gt;0,'Underlying Mechanics'!$B$12*'Underlying Mechanics'!$B$18,0)</x:f>
        <x:v>97500</x:v>
      </x:c>
      <x:c r="S16" t="n">
        <x:f>((IF(S$1-'Underlying Mechanics'!$B$8&lt;0,0,'Underlying Mechanics'!$B$22*'Underlying Mechanics'!$B$15*INDEX('Underlying Mechanics'!$B$31:$B$51,S$1-'Underlying Mechanics'!$B$8+1)*'Underlying Mechanics'!$B$5))*(1-$A16))-IF(S$1=0,'Underlying Mechanics'!$B$23*(1-$B16),0)-IF(S$1&gt;0,'Underlying Mechanics'!$B$22*'Underlying Mechanics'!$B$17,0)-IF(S$1&gt;0,'Underlying Mechanics'!$B$12*'Underlying Mechanics'!$B$18,0)</x:f>
        <x:v>97500</x:v>
      </x:c>
      <x:c r="T16" t="n">
        <x:f>((IF(T$1-'Underlying Mechanics'!$B$8&lt;0,0,'Underlying Mechanics'!$B$22*'Underlying Mechanics'!$B$15*INDEX('Underlying Mechanics'!$B$31:$B$51,T$1-'Underlying Mechanics'!$B$8+1)*'Underlying Mechanics'!$B$5))*(1-$A16))-IF(T$1=0,'Underlying Mechanics'!$B$23*(1-$B16),0)-IF(T$1&gt;0,'Underlying Mechanics'!$B$22*'Underlying Mechanics'!$B$17,0)-IF(T$1&gt;0,'Underlying Mechanics'!$B$12*'Underlying Mechanics'!$B$18,0)</x:f>
        <x:v>97500</x:v>
      </x:c>
      <x:c r="U16" t="n">
        <x:f>((IF(U$1-'Underlying Mechanics'!$B$8&lt;0,0,'Underlying Mechanics'!$B$22*'Underlying Mechanics'!$B$15*INDEX('Underlying Mechanics'!$B$31:$B$51,U$1-'Underlying Mechanics'!$B$8+1)*'Underlying Mechanics'!$B$5))*(1-$A16))-IF(U$1=0,'Underlying Mechanics'!$B$23*(1-$B16),0)-IF(U$1&gt;0,'Underlying Mechanics'!$B$22*'Underlying Mechanics'!$B$17,0)-IF(U$1&gt;0,'Underlying Mechanics'!$B$12*'Underlying Mechanics'!$B$18,0)</x:f>
        <x:v>97500</x:v>
      </x:c>
      <x:c r="V16" t="n">
        <x:f>((IF(V$1-'Underlying Mechanics'!$B$8&lt;0,0,'Underlying Mechanics'!$B$22*'Underlying Mechanics'!$B$15*INDEX('Underlying Mechanics'!$B$31:$B$51,V$1-'Underlying Mechanics'!$B$8+1)*'Underlying Mechanics'!$B$5))*(1-$A16))-IF(V$1=0,'Underlying Mechanics'!$B$23*(1-$B16),0)-IF(V$1&gt;0,'Underlying Mechanics'!$B$22*'Underlying Mechanics'!$B$17,0)-IF(V$1&gt;0,'Underlying Mechanics'!$B$12*'Underlying Mechanics'!$B$18,0)</x:f>
        <x:v>97500</x:v>
      </x:c>
      <x:c r="W16" t="n">
        <x:f>((IF(W$1-'Underlying Mechanics'!$B$8&lt;0,0,'Underlying Mechanics'!$B$22*'Underlying Mechanics'!$B$15*INDEX('Underlying Mechanics'!$B$31:$B$51,W$1-'Underlying Mechanics'!$B$8+1)*'Underlying Mechanics'!$B$5))*(1-$A16))-IF(W$1=0,'Underlying Mechanics'!$B$23*(1-$B16),0)-IF(W$1&gt;0,'Underlying Mechanics'!$B$22*'Underlying Mechanics'!$B$17,0)-IF(W$1&gt;0,'Underlying Mechanics'!$B$12*'Underlying Mechanics'!$B$18,0)</x:f>
        <x:v>97500</x:v>
      </x:c>
      <x:c r="X16" t="n">
        <x:f>IFERROR(IRR(C16:W16),-1)</x:f>
        <x:v>0.18325517245622241</x:v>
      </x:c>
    </x:row>
    <x:row r="17">
      <x:c r="A17" t="n">
        <x:v>0</x:v>
      </x:c>
      <x:c r="B17" t="n">
        <x:v>0.75</x:v>
      </x:c>
      <x:c r="C17" t="n">
        <x:f>((IF(C$1-'Underlying Mechanics'!$B$8&lt;0,0,'Underlying Mechanics'!$B$22*'Underlying Mechanics'!$B$15*INDEX('Underlying Mechanics'!$B$31:$B$51,C$1-'Underlying Mechanics'!$B$8+1)*'Underlying Mechanics'!$B$5))*(1-$A17))-IF(C$1=0,'Underlying Mechanics'!$B$23*(1-$B17),0)-IF(C$1&gt;0,'Underlying Mechanics'!$B$22*'Underlying Mechanics'!$B$17,0)-IF(C$1&gt;0,'Underlying Mechanics'!$B$12*'Underlying Mechanics'!$B$18,0)</x:f>
        <x:v>-37500</x:v>
      </x:c>
      <x:c r="D17" t="n">
        <x:f>((IF(D$1-'Underlying Mechanics'!$B$8&lt;0,0,'Underlying Mechanics'!$B$22*'Underlying Mechanics'!$B$15*INDEX('Underlying Mechanics'!$B$31:$B$51,D$1-'Underlying Mechanics'!$B$8+1)*'Underlying Mechanics'!$B$5))*(1-$A17))-IF(D$1=0,'Underlying Mechanics'!$B$23*(1-$B17),0)-IF(D$1&gt;0,'Underlying Mechanics'!$B$22*'Underlying Mechanics'!$B$17,0)-IF(D$1&gt;0,'Underlying Mechanics'!$B$12*'Underlying Mechanics'!$B$18,0)</x:f>
        <x:v>-22500</x:v>
      </x:c>
      <x:c r="E17" t="n">
        <x:f>((IF(E$1-'Underlying Mechanics'!$B$8&lt;0,0,'Underlying Mechanics'!$B$22*'Underlying Mechanics'!$B$15*INDEX('Underlying Mechanics'!$B$31:$B$51,E$1-'Underlying Mechanics'!$B$8+1)*'Underlying Mechanics'!$B$5))*(1-$A17))-IF(E$1=0,'Underlying Mechanics'!$B$23*(1-$B17),0)-IF(E$1&gt;0,'Underlying Mechanics'!$B$22*'Underlying Mechanics'!$B$17,0)-IF(E$1&gt;0,'Underlying Mechanics'!$B$12*'Underlying Mechanics'!$B$18,0)</x:f>
        <x:v>-22500</x:v>
      </x:c>
      <x:c r="F17" t="n">
        <x:f>((IF(F$1-'Underlying Mechanics'!$B$8&lt;0,0,'Underlying Mechanics'!$B$22*'Underlying Mechanics'!$B$15*INDEX('Underlying Mechanics'!$B$31:$B$51,F$1-'Underlying Mechanics'!$B$8+1)*'Underlying Mechanics'!$B$5))*(1-$A17))-IF(F$1=0,'Underlying Mechanics'!$B$23*(1-$B17),0)-IF(F$1&gt;0,'Underlying Mechanics'!$B$22*'Underlying Mechanics'!$B$17,0)-IF(F$1&gt;0,'Underlying Mechanics'!$B$12*'Underlying Mechanics'!$B$18,0)</x:f>
        <x:v>-20100</x:v>
      </x:c>
      <x:c r="G17" t="n">
        <x:f>((IF(G$1-'Underlying Mechanics'!$B$8&lt;0,0,'Underlying Mechanics'!$B$22*'Underlying Mechanics'!$B$15*INDEX('Underlying Mechanics'!$B$31:$B$51,G$1-'Underlying Mechanics'!$B$8+1)*'Underlying Mechanics'!$B$5))*(1-$A17))-IF(G$1=0,'Underlying Mechanics'!$B$23*(1-$B17),0)-IF(G$1&gt;0,'Underlying Mechanics'!$B$22*'Underlying Mechanics'!$B$17,0)-IF(G$1&gt;0,'Underlying Mechanics'!$B$12*'Underlying Mechanics'!$B$18,0)</x:f>
        <x:v>-16500</x:v>
      </x:c>
      <x:c r="H17" t="n">
        <x:f>((IF(H$1-'Underlying Mechanics'!$B$8&lt;0,0,'Underlying Mechanics'!$B$22*'Underlying Mechanics'!$B$15*INDEX('Underlying Mechanics'!$B$31:$B$51,H$1-'Underlying Mechanics'!$B$8+1)*'Underlying Mechanics'!$B$5))*(1-$A17))-IF(H$1=0,'Underlying Mechanics'!$B$23*(1-$B17),0)-IF(H$1&gt;0,'Underlying Mechanics'!$B$22*'Underlying Mechanics'!$B$17,0)-IF(H$1&gt;0,'Underlying Mechanics'!$B$12*'Underlying Mechanics'!$B$18,0)</x:f>
        <x:v>-10500</x:v>
      </x:c>
      <x:c r="I17" t="n">
        <x:f>((IF(I$1-'Underlying Mechanics'!$B$8&lt;0,0,'Underlying Mechanics'!$B$22*'Underlying Mechanics'!$B$15*INDEX('Underlying Mechanics'!$B$31:$B$51,I$1-'Underlying Mechanics'!$B$8+1)*'Underlying Mechanics'!$B$5))*(1-$A17))-IF(I$1=0,'Underlying Mechanics'!$B$23*(1-$B17),0)-IF(I$1&gt;0,'Underlying Mechanics'!$B$22*'Underlying Mechanics'!$B$17,0)-IF(I$1&gt;0,'Underlying Mechanics'!$B$12*'Underlying Mechanics'!$B$18,0)</x:f>
        <x:v>-900</x:v>
      </x:c>
      <x:c r="J17" t="n">
        <x:f>((IF(J$1-'Underlying Mechanics'!$B$8&lt;0,0,'Underlying Mechanics'!$B$22*'Underlying Mechanics'!$B$15*INDEX('Underlying Mechanics'!$B$31:$B$51,J$1-'Underlying Mechanics'!$B$8+1)*'Underlying Mechanics'!$B$5))*(1-$A17))-IF(J$1=0,'Underlying Mechanics'!$B$23*(1-$B17),0)-IF(J$1&gt;0,'Underlying Mechanics'!$B$22*'Underlying Mechanics'!$B$17,0)-IF(J$1&gt;0,'Underlying Mechanics'!$B$12*'Underlying Mechanics'!$B$18,0)</x:f>
        <x:v>11100.000000000007</x:v>
      </x:c>
      <x:c r="K17" t="n">
        <x:f>((IF(K$1-'Underlying Mechanics'!$B$8&lt;0,0,'Underlying Mechanics'!$B$22*'Underlying Mechanics'!$B$15*INDEX('Underlying Mechanics'!$B$31:$B$51,K$1-'Underlying Mechanics'!$B$8+1)*'Underlying Mechanics'!$B$5))*(1-$A17))-IF(K$1=0,'Underlying Mechanics'!$B$23*(1-$B17),0)-IF(K$1&gt;0,'Underlying Mechanics'!$B$22*'Underlying Mechanics'!$B$17,0)-IF(K$1&gt;0,'Underlying Mechanics'!$B$12*'Underlying Mechanics'!$B$18,0)</x:f>
        <x:v>25500</x:v>
      </x:c>
      <x:c r="L17" t="n">
        <x:f>((IF(L$1-'Underlying Mechanics'!$B$8&lt;0,0,'Underlying Mechanics'!$B$22*'Underlying Mechanics'!$B$15*INDEX('Underlying Mechanics'!$B$31:$B$51,L$1-'Underlying Mechanics'!$B$8+1)*'Underlying Mechanics'!$B$5))*(1-$A17))-IF(L$1=0,'Underlying Mechanics'!$B$23*(1-$B17),0)-IF(L$1&gt;0,'Underlying Mechanics'!$B$22*'Underlying Mechanics'!$B$17,0)-IF(L$1&gt;0,'Underlying Mechanics'!$B$12*'Underlying Mechanics'!$B$18,0)</x:f>
        <x:v>42300</x:v>
      </x:c>
      <x:c r="M17" t="n">
        <x:f>((IF(M$1-'Underlying Mechanics'!$B$8&lt;0,0,'Underlying Mechanics'!$B$22*'Underlying Mechanics'!$B$15*INDEX('Underlying Mechanics'!$B$31:$B$51,M$1-'Underlying Mechanics'!$B$8+1)*'Underlying Mechanics'!$B$5))*(1-$A17))-IF(M$1=0,'Underlying Mechanics'!$B$23*(1-$B17),0)-IF(M$1&gt;0,'Underlying Mechanics'!$B$22*'Underlying Mechanics'!$B$17,0)-IF(M$1&gt;0,'Underlying Mechanics'!$B$12*'Underlying Mechanics'!$B$18,0)</x:f>
        <x:v>59100.000000000015</x:v>
      </x:c>
      <x:c r="N17" t="n">
        <x:f>((IF(N$1-'Underlying Mechanics'!$B$8&lt;0,0,'Underlying Mechanics'!$B$22*'Underlying Mechanics'!$B$15*INDEX('Underlying Mechanics'!$B$31:$B$51,N$1-'Underlying Mechanics'!$B$8+1)*'Underlying Mechanics'!$B$5))*(1-$A17))-IF(N$1=0,'Underlying Mechanics'!$B$23*(1-$B17),0)-IF(N$1&gt;0,'Underlying Mechanics'!$B$22*'Underlying Mechanics'!$B$17,0)-IF(N$1&gt;0,'Underlying Mechanics'!$B$12*'Underlying Mechanics'!$B$18,0)</x:f>
        <x:v>73500</x:v>
      </x:c>
      <x:c r="O17" t="n">
        <x:f>((IF(O$1-'Underlying Mechanics'!$B$8&lt;0,0,'Underlying Mechanics'!$B$22*'Underlying Mechanics'!$B$15*INDEX('Underlying Mechanics'!$B$31:$B$51,O$1-'Underlying Mechanics'!$B$8+1)*'Underlying Mechanics'!$B$5))*(1-$A17))-IF(O$1=0,'Underlying Mechanics'!$B$23*(1-$B17),0)-IF(O$1&gt;0,'Underlying Mechanics'!$B$22*'Underlying Mechanics'!$B$17,0)-IF(O$1&gt;0,'Underlying Mechanics'!$B$12*'Underlying Mechanics'!$B$18,0)</x:f>
        <x:v>85500</x:v>
      </x:c>
      <x:c r="P17" t="n">
        <x:f>((IF(P$1-'Underlying Mechanics'!$B$8&lt;0,0,'Underlying Mechanics'!$B$22*'Underlying Mechanics'!$B$15*INDEX('Underlying Mechanics'!$B$31:$B$51,P$1-'Underlying Mechanics'!$B$8+1)*'Underlying Mechanics'!$B$5))*(1-$A17))-IF(P$1=0,'Underlying Mechanics'!$B$23*(1-$B17),0)-IF(P$1&gt;0,'Underlying Mechanics'!$B$22*'Underlying Mechanics'!$B$17,0)-IF(P$1&gt;0,'Underlying Mechanics'!$B$12*'Underlying Mechanics'!$B$18,0)</x:f>
        <x:v>97500</x:v>
      </x:c>
      <x:c r="Q17" t="n">
        <x:f>((IF(Q$1-'Underlying Mechanics'!$B$8&lt;0,0,'Underlying Mechanics'!$B$22*'Underlying Mechanics'!$B$15*INDEX('Underlying Mechanics'!$B$31:$B$51,Q$1-'Underlying Mechanics'!$B$8+1)*'Underlying Mechanics'!$B$5))*(1-$A17))-IF(Q$1=0,'Underlying Mechanics'!$B$23*(1-$B17),0)-IF(Q$1&gt;0,'Underlying Mechanics'!$B$22*'Underlying Mechanics'!$B$17,0)-IF(Q$1&gt;0,'Underlying Mechanics'!$B$12*'Underlying Mechanics'!$B$18,0)</x:f>
        <x:v>97500</x:v>
      </x:c>
      <x:c r="R17" t="n">
        <x:f>((IF(R$1-'Underlying Mechanics'!$B$8&lt;0,0,'Underlying Mechanics'!$B$22*'Underlying Mechanics'!$B$15*INDEX('Underlying Mechanics'!$B$31:$B$51,R$1-'Underlying Mechanics'!$B$8+1)*'Underlying Mechanics'!$B$5))*(1-$A17))-IF(R$1=0,'Underlying Mechanics'!$B$23*(1-$B17),0)-IF(R$1&gt;0,'Underlying Mechanics'!$B$22*'Underlying Mechanics'!$B$17,0)-IF(R$1&gt;0,'Underlying Mechanics'!$B$12*'Underlying Mechanics'!$B$18,0)</x:f>
        <x:v>97500</x:v>
      </x:c>
      <x:c r="S17" t="n">
        <x:f>((IF(S$1-'Underlying Mechanics'!$B$8&lt;0,0,'Underlying Mechanics'!$B$22*'Underlying Mechanics'!$B$15*INDEX('Underlying Mechanics'!$B$31:$B$51,S$1-'Underlying Mechanics'!$B$8+1)*'Underlying Mechanics'!$B$5))*(1-$A17))-IF(S$1=0,'Underlying Mechanics'!$B$23*(1-$B17),0)-IF(S$1&gt;0,'Underlying Mechanics'!$B$22*'Underlying Mechanics'!$B$17,0)-IF(S$1&gt;0,'Underlying Mechanics'!$B$12*'Underlying Mechanics'!$B$18,0)</x:f>
        <x:v>97500</x:v>
      </x:c>
      <x:c r="T17" t="n">
        <x:f>((IF(T$1-'Underlying Mechanics'!$B$8&lt;0,0,'Underlying Mechanics'!$B$22*'Underlying Mechanics'!$B$15*INDEX('Underlying Mechanics'!$B$31:$B$51,T$1-'Underlying Mechanics'!$B$8+1)*'Underlying Mechanics'!$B$5))*(1-$A17))-IF(T$1=0,'Underlying Mechanics'!$B$23*(1-$B17),0)-IF(T$1&gt;0,'Underlying Mechanics'!$B$22*'Underlying Mechanics'!$B$17,0)-IF(T$1&gt;0,'Underlying Mechanics'!$B$12*'Underlying Mechanics'!$B$18,0)</x:f>
        <x:v>97500</x:v>
      </x:c>
      <x:c r="U17" t="n">
        <x:f>((IF(U$1-'Underlying Mechanics'!$B$8&lt;0,0,'Underlying Mechanics'!$B$22*'Underlying Mechanics'!$B$15*INDEX('Underlying Mechanics'!$B$31:$B$51,U$1-'Underlying Mechanics'!$B$8+1)*'Underlying Mechanics'!$B$5))*(1-$A17))-IF(U$1=0,'Underlying Mechanics'!$B$23*(1-$B17),0)-IF(U$1&gt;0,'Underlying Mechanics'!$B$22*'Underlying Mechanics'!$B$17,0)-IF(U$1&gt;0,'Underlying Mechanics'!$B$12*'Underlying Mechanics'!$B$18,0)</x:f>
        <x:v>97500</x:v>
      </x:c>
      <x:c r="V17" t="n">
        <x:f>((IF(V$1-'Underlying Mechanics'!$B$8&lt;0,0,'Underlying Mechanics'!$B$22*'Underlying Mechanics'!$B$15*INDEX('Underlying Mechanics'!$B$31:$B$51,V$1-'Underlying Mechanics'!$B$8+1)*'Underlying Mechanics'!$B$5))*(1-$A17))-IF(V$1=0,'Underlying Mechanics'!$B$23*(1-$B17),0)-IF(V$1&gt;0,'Underlying Mechanics'!$B$22*'Underlying Mechanics'!$B$17,0)-IF(V$1&gt;0,'Underlying Mechanics'!$B$12*'Underlying Mechanics'!$B$18,0)</x:f>
        <x:v>97500</x:v>
      </x:c>
      <x:c r="W17" t="n">
        <x:f>((IF(W$1-'Underlying Mechanics'!$B$8&lt;0,0,'Underlying Mechanics'!$B$22*'Underlying Mechanics'!$B$15*INDEX('Underlying Mechanics'!$B$31:$B$51,W$1-'Underlying Mechanics'!$B$8+1)*'Underlying Mechanics'!$B$5))*(1-$A17))-IF(W$1=0,'Underlying Mechanics'!$B$23*(1-$B17),0)-IF(W$1&gt;0,'Underlying Mechanics'!$B$22*'Underlying Mechanics'!$B$17,0)-IF(W$1&gt;0,'Underlying Mechanics'!$B$12*'Underlying Mechanics'!$B$18,0)</x:f>
        <x:v>97500</x:v>
      </x:c>
      <x:c r="X17" t="n">
        <x:f>IFERROR(IRR(C17:W17),-1)</x:f>
        <x:v>0.19100942120845554</x:v>
      </x:c>
    </x:row>
    <x:row r="18">
      <x:c r="A18" t="n">
        <x:v>0</x:v>
      </x:c>
      <x:c r="B18" t="n">
        <x:v>0.8</x:v>
      </x:c>
      <x:c r="C18" t="n">
        <x:f>((IF(C$1-'Underlying Mechanics'!$B$8&lt;0,0,'Underlying Mechanics'!$B$22*'Underlying Mechanics'!$B$15*INDEX('Underlying Mechanics'!$B$31:$B$51,C$1-'Underlying Mechanics'!$B$8+1)*'Underlying Mechanics'!$B$5))*(1-$A18))-IF(C$1=0,'Underlying Mechanics'!$B$23*(1-$B18),0)-IF(C$1&gt;0,'Underlying Mechanics'!$B$22*'Underlying Mechanics'!$B$17,0)-IF(C$1&gt;0,'Underlying Mechanics'!$B$12*'Underlying Mechanics'!$B$18,0)</x:f>
        <x:v>-29999.999999999993</x:v>
      </x:c>
      <x:c r="D18" t="n">
        <x:f>((IF(D$1-'Underlying Mechanics'!$B$8&lt;0,0,'Underlying Mechanics'!$B$22*'Underlying Mechanics'!$B$15*INDEX('Underlying Mechanics'!$B$31:$B$51,D$1-'Underlying Mechanics'!$B$8+1)*'Underlying Mechanics'!$B$5))*(1-$A18))-IF(D$1=0,'Underlying Mechanics'!$B$23*(1-$B18),0)-IF(D$1&gt;0,'Underlying Mechanics'!$B$22*'Underlying Mechanics'!$B$17,0)-IF(D$1&gt;0,'Underlying Mechanics'!$B$12*'Underlying Mechanics'!$B$18,0)</x:f>
        <x:v>-22500</x:v>
      </x:c>
      <x:c r="E18" t="n">
        <x:f>((IF(E$1-'Underlying Mechanics'!$B$8&lt;0,0,'Underlying Mechanics'!$B$22*'Underlying Mechanics'!$B$15*INDEX('Underlying Mechanics'!$B$31:$B$51,E$1-'Underlying Mechanics'!$B$8+1)*'Underlying Mechanics'!$B$5))*(1-$A18))-IF(E$1=0,'Underlying Mechanics'!$B$23*(1-$B18),0)-IF(E$1&gt;0,'Underlying Mechanics'!$B$22*'Underlying Mechanics'!$B$17,0)-IF(E$1&gt;0,'Underlying Mechanics'!$B$12*'Underlying Mechanics'!$B$18,0)</x:f>
        <x:v>-22500</x:v>
      </x:c>
      <x:c r="F18" t="n">
        <x:f>((IF(F$1-'Underlying Mechanics'!$B$8&lt;0,0,'Underlying Mechanics'!$B$22*'Underlying Mechanics'!$B$15*INDEX('Underlying Mechanics'!$B$31:$B$51,F$1-'Underlying Mechanics'!$B$8+1)*'Underlying Mechanics'!$B$5))*(1-$A18))-IF(F$1=0,'Underlying Mechanics'!$B$23*(1-$B18),0)-IF(F$1&gt;0,'Underlying Mechanics'!$B$22*'Underlying Mechanics'!$B$17,0)-IF(F$1&gt;0,'Underlying Mechanics'!$B$12*'Underlying Mechanics'!$B$18,0)</x:f>
        <x:v>-20100</x:v>
      </x:c>
      <x:c r="G18" t="n">
        <x:f>((IF(G$1-'Underlying Mechanics'!$B$8&lt;0,0,'Underlying Mechanics'!$B$22*'Underlying Mechanics'!$B$15*INDEX('Underlying Mechanics'!$B$31:$B$51,G$1-'Underlying Mechanics'!$B$8+1)*'Underlying Mechanics'!$B$5))*(1-$A18))-IF(G$1=0,'Underlying Mechanics'!$B$23*(1-$B18),0)-IF(G$1&gt;0,'Underlying Mechanics'!$B$22*'Underlying Mechanics'!$B$17,0)-IF(G$1&gt;0,'Underlying Mechanics'!$B$12*'Underlying Mechanics'!$B$18,0)</x:f>
        <x:v>-16500</x:v>
      </x:c>
      <x:c r="H18" t="n">
        <x:f>((IF(H$1-'Underlying Mechanics'!$B$8&lt;0,0,'Underlying Mechanics'!$B$22*'Underlying Mechanics'!$B$15*INDEX('Underlying Mechanics'!$B$31:$B$51,H$1-'Underlying Mechanics'!$B$8+1)*'Underlying Mechanics'!$B$5))*(1-$A18))-IF(H$1=0,'Underlying Mechanics'!$B$23*(1-$B18),0)-IF(H$1&gt;0,'Underlying Mechanics'!$B$22*'Underlying Mechanics'!$B$17,0)-IF(H$1&gt;0,'Underlying Mechanics'!$B$12*'Underlying Mechanics'!$B$18,0)</x:f>
        <x:v>-10500</x:v>
      </x:c>
      <x:c r="I18" t="n">
        <x:f>((IF(I$1-'Underlying Mechanics'!$B$8&lt;0,0,'Underlying Mechanics'!$B$22*'Underlying Mechanics'!$B$15*INDEX('Underlying Mechanics'!$B$31:$B$51,I$1-'Underlying Mechanics'!$B$8+1)*'Underlying Mechanics'!$B$5))*(1-$A18))-IF(I$1=0,'Underlying Mechanics'!$B$23*(1-$B18),0)-IF(I$1&gt;0,'Underlying Mechanics'!$B$22*'Underlying Mechanics'!$B$17,0)-IF(I$1&gt;0,'Underlying Mechanics'!$B$12*'Underlying Mechanics'!$B$18,0)</x:f>
        <x:v>-900</x:v>
      </x:c>
      <x:c r="J18" t="n">
        <x:f>((IF(J$1-'Underlying Mechanics'!$B$8&lt;0,0,'Underlying Mechanics'!$B$22*'Underlying Mechanics'!$B$15*INDEX('Underlying Mechanics'!$B$31:$B$51,J$1-'Underlying Mechanics'!$B$8+1)*'Underlying Mechanics'!$B$5))*(1-$A18))-IF(J$1=0,'Underlying Mechanics'!$B$23*(1-$B18),0)-IF(J$1&gt;0,'Underlying Mechanics'!$B$22*'Underlying Mechanics'!$B$17,0)-IF(J$1&gt;0,'Underlying Mechanics'!$B$12*'Underlying Mechanics'!$B$18,0)</x:f>
        <x:v>11100.000000000007</x:v>
      </x:c>
      <x:c r="K18" t="n">
        <x:f>((IF(K$1-'Underlying Mechanics'!$B$8&lt;0,0,'Underlying Mechanics'!$B$22*'Underlying Mechanics'!$B$15*INDEX('Underlying Mechanics'!$B$31:$B$51,K$1-'Underlying Mechanics'!$B$8+1)*'Underlying Mechanics'!$B$5))*(1-$A18))-IF(K$1=0,'Underlying Mechanics'!$B$23*(1-$B18),0)-IF(K$1&gt;0,'Underlying Mechanics'!$B$22*'Underlying Mechanics'!$B$17,0)-IF(K$1&gt;0,'Underlying Mechanics'!$B$12*'Underlying Mechanics'!$B$18,0)</x:f>
        <x:v>25500</x:v>
      </x:c>
      <x:c r="L18" t="n">
        <x:f>((IF(L$1-'Underlying Mechanics'!$B$8&lt;0,0,'Underlying Mechanics'!$B$22*'Underlying Mechanics'!$B$15*INDEX('Underlying Mechanics'!$B$31:$B$51,L$1-'Underlying Mechanics'!$B$8+1)*'Underlying Mechanics'!$B$5))*(1-$A18))-IF(L$1=0,'Underlying Mechanics'!$B$23*(1-$B18),0)-IF(L$1&gt;0,'Underlying Mechanics'!$B$22*'Underlying Mechanics'!$B$17,0)-IF(L$1&gt;0,'Underlying Mechanics'!$B$12*'Underlying Mechanics'!$B$18,0)</x:f>
        <x:v>42300</x:v>
      </x:c>
      <x:c r="M18" t="n">
        <x:f>((IF(M$1-'Underlying Mechanics'!$B$8&lt;0,0,'Underlying Mechanics'!$B$22*'Underlying Mechanics'!$B$15*INDEX('Underlying Mechanics'!$B$31:$B$51,M$1-'Underlying Mechanics'!$B$8+1)*'Underlying Mechanics'!$B$5))*(1-$A18))-IF(M$1=0,'Underlying Mechanics'!$B$23*(1-$B18),0)-IF(M$1&gt;0,'Underlying Mechanics'!$B$22*'Underlying Mechanics'!$B$17,0)-IF(M$1&gt;0,'Underlying Mechanics'!$B$12*'Underlying Mechanics'!$B$18,0)</x:f>
        <x:v>59100.000000000015</x:v>
      </x:c>
      <x:c r="N18" t="n">
        <x:f>((IF(N$1-'Underlying Mechanics'!$B$8&lt;0,0,'Underlying Mechanics'!$B$22*'Underlying Mechanics'!$B$15*INDEX('Underlying Mechanics'!$B$31:$B$51,N$1-'Underlying Mechanics'!$B$8+1)*'Underlying Mechanics'!$B$5))*(1-$A18))-IF(N$1=0,'Underlying Mechanics'!$B$23*(1-$B18),0)-IF(N$1&gt;0,'Underlying Mechanics'!$B$22*'Underlying Mechanics'!$B$17,0)-IF(N$1&gt;0,'Underlying Mechanics'!$B$12*'Underlying Mechanics'!$B$18,0)</x:f>
        <x:v>73500</x:v>
      </x:c>
      <x:c r="O18" t="n">
        <x:f>((IF(O$1-'Underlying Mechanics'!$B$8&lt;0,0,'Underlying Mechanics'!$B$22*'Underlying Mechanics'!$B$15*INDEX('Underlying Mechanics'!$B$31:$B$51,O$1-'Underlying Mechanics'!$B$8+1)*'Underlying Mechanics'!$B$5))*(1-$A18))-IF(O$1=0,'Underlying Mechanics'!$B$23*(1-$B18),0)-IF(O$1&gt;0,'Underlying Mechanics'!$B$22*'Underlying Mechanics'!$B$17,0)-IF(O$1&gt;0,'Underlying Mechanics'!$B$12*'Underlying Mechanics'!$B$18,0)</x:f>
        <x:v>85500</x:v>
      </x:c>
      <x:c r="P18" t="n">
        <x:f>((IF(P$1-'Underlying Mechanics'!$B$8&lt;0,0,'Underlying Mechanics'!$B$22*'Underlying Mechanics'!$B$15*INDEX('Underlying Mechanics'!$B$31:$B$51,P$1-'Underlying Mechanics'!$B$8+1)*'Underlying Mechanics'!$B$5))*(1-$A18))-IF(P$1=0,'Underlying Mechanics'!$B$23*(1-$B18),0)-IF(P$1&gt;0,'Underlying Mechanics'!$B$22*'Underlying Mechanics'!$B$17,0)-IF(P$1&gt;0,'Underlying Mechanics'!$B$12*'Underlying Mechanics'!$B$18,0)</x:f>
        <x:v>97500</x:v>
      </x:c>
      <x:c r="Q18" t="n">
        <x:f>((IF(Q$1-'Underlying Mechanics'!$B$8&lt;0,0,'Underlying Mechanics'!$B$22*'Underlying Mechanics'!$B$15*INDEX('Underlying Mechanics'!$B$31:$B$51,Q$1-'Underlying Mechanics'!$B$8+1)*'Underlying Mechanics'!$B$5))*(1-$A18))-IF(Q$1=0,'Underlying Mechanics'!$B$23*(1-$B18),0)-IF(Q$1&gt;0,'Underlying Mechanics'!$B$22*'Underlying Mechanics'!$B$17,0)-IF(Q$1&gt;0,'Underlying Mechanics'!$B$12*'Underlying Mechanics'!$B$18,0)</x:f>
        <x:v>97500</x:v>
      </x:c>
      <x:c r="R18" t="n">
        <x:f>((IF(R$1-'Underlying Mechanics'!$B$8&lt;0,0,'Underlying Mechanics'!$B$22*'Underlying Mechanics'!$B$15*INDEX('Underlying Mechanics'!$B$31:$B$51,R$1-'Underlying Mechanics'!$B$8+1)*'Underlying Mechanics'!$B$5))*(1-$A18))-IF(R$1=0,'Underlying Mechanics'!$B$23*(1-$B18),0)-IF(R$1&gt;0,'Underlying Mechanics'!$B$22*'Underlying Mechanics'!$B$17,0)-IF(R$1&gt;0,'Underlying Mechanics'!$B$12*'Underlying Mechanics'!$B$18,0)</x:f>
        <x:v>97500</x:v>
      </x:c>
      <x:c r="S18" t="n">
        <x:f>((IF(S$1-'Underlying Mechanics'!$B$8&lt;0,0,'Underlying Mechanics'!$B$22*'Underlying Mechanics'!$B$15*INDEX('Underlying Mechanics'!$B$31:$B$51,S$1-'Underlying Mechanics'!$B$8+1)*'Underlying Mechanics'!$B$5))*(1-$A18))-IF(S$1=0,'Underlying Mechanics'!$B$23*(1-$B18),0)-IF(S$1&gt;0,'Underlying Mechanics'!$B$22*'Underlying Mechanics'!$B$17,0)-IF(S$1&gt;0,'Underlying Mechanics'!$B$12*'Underlying Mechanics'!$B$18,0)</x:f>
        <x:v>97500</x:v>
      </x:c>
      <x:c r="T18" t="n">
        <x:f>((IF(T$1-'Underlying Mechanics'!$B$8&lt;0,0,'Underlying Mechanics'!$B$22*'Underlying Mechanics'!$B$15*INDEX('Underlying Mechanics'!$B$31:$B$51,T$1-'Underlying Mechanics'!$B$8+1)*'Underlying Mechanics'!$B$5))*(1-$A18))-IF(T$1=0,'Underlying Mechanics'!$B$23*(1-$B18),0)-IF(T$1&gt;0,'Underlying Mechanics'!$B$22*'Underlying Mechanics'!$B$17,0)-IF(T$1&gt;0,'Underlying Mechanics'!$B$12*'Underlying Mechanics'!$B$18,0)</x:f>
        <x:v>97500</x:v>
      </x:c>
      <x:c r="U18" t="n">
        <x:f>((IF(U$1-'Underlying Mechanics'!$B$8&lt;0,0,'Underlying Mechanics'!$B$22*'Underlying Mechanics'!$B$15*INDEX('Underlying Mechanics'!$B$31:$B$51,U$1-'Underlying Mechanics'!$B$8+1)*'Underlying Mechanics'!$B$5))*(1-$A18))-IF(U$1=0,'Underlying Mechanics'!$B$23*(1-$B18),0)-IF(U$1&gt;0,'Underlying Mechanics'!$B$22*'Underlying Mechanics'!$B$17,0)-IF(U$1&gt;0,'Underlying Mechanics'!$B$12*'Underlying Mechanics'!$B$18,0)</x:f>
        <x:v>97500</x:v>
      </x:c>
      <x:c r="V18" t="n">
        <x:f>((IF(V$1-'Underlying Mechanics'!$B$8&lt;0,0,'Underlying Mechanics'!$B$22*'Underlying Mechanics'!$B$15*INDEX('Underlying Mechanics'!$B$31:$B$51,V$1-'Underlying Mechanics'!$B$8+1)*'Underlying Mechanics'!$B$5))*(1-$A18))-IF(V$1=0,'Underlying Mechanics'!$B$23*(1-$B18),0)-IF(V$1&gt;0,'Underlying Mechanics'!$B$22*'Underlying Mechanics'!$B$17,0)-IF(V$1&gt;0,'Underlying Mechanics'!$B$12*'Underlying Mechanics'!$B$18,0)</x:f>
        <x:v>97500</x:v>
      </x:c>
      <x:c r="W18" t="n">
        <x:f>((IF(W$1-'Underlying Mechanics'!$B$8&lt;0,0,'Underlying Mechanics'!$B$22*'Underlying Mechanics'!$B$15*INDEX('Underlying Mechanics'!$B$31:$B$51,W$1-'Underlying Mechanics'!$B$8+1)*'Underlying Mechanics'!$B$5))*(1-$A18))-IF(W$1=0,'Underlying Mechanics'!$B$23*(1-$B18),0)-IF(W$1&gt;0,'Underlying Mechanics'!$B$22*'Underlying Mechanics'!$B$17,0)-IF(W$1&gt;0,'Underlying Mechanics'!$B$12*'Underlying Mechanics'!$B$18,0)</x:f>
        <x:v>97500</x:v>
      </x:c>
      <x:c r="X18" t="n">
        <x:f>IFERROR(IRR(C18:W18),-1)</x:f>
        <x:v>0.19966644682556856</x:v>
      </x:c>
    </x:row>
    <x:row r="19">
      <x:c r="A19" t="n">
        <x:v>0</x:v>
      </x:c>
      <x:c r="B19" t="n">
        <x:v>0.85</x:v>
      </x:c>
      <x:c r="C19" t="n">
        <x:f>((IF(C$1-'Underlying Mechanics'!$B$8&lt;0,0,'Underlying Mechanics'!$B$22*'Underlying Mechanics'!$B$15*INDEX('Underlying Mechanics'!$B$31:$B$51,C$1-'Underlying Mechanics'!$B$8+1)*'Underlying Mechanics'!$B$5))*(1-$A19))-IF(C$1=0,'Underlying Mechanics'!$B$23*(1-$B19),0)-IF(C$1&gt;0,'Underlying Mechanics'!$B$22*'Underlying Mechanics'!$B$17,0)-IF(C$1&gt;0,'Underlying Mechanics'!$B$12*'Underlying Mechanics'!$B$18,0)</x:f>
        <x:v>-22500.000000000004</x:v>
      </x:c>
      <x:c r="D19" t="n">
        <x:f>((IF(D$1-'Underlying Mechanics'!$B$8&lt;0,0,'Underlying Mechanics'!$B$22*'Underlying Mechanics'!$B$15*INDEX('Underlying Mechanics'!$B$31:$B$51,D$1-'Underlying Mechanics'!$B$8+1)*'Underlying Mechanics'!$B$5))*(1-$A19))-IF(D$1=0,'Underlying Mechanics'!$B$23*(1-$B19),0)-IF(D$1&gt;0,'Underlying Mechanics'!$B$22*'Underlying Mechanics'!$B$17,0)-IF(D$1&gt;0,'Underlying Mechanics'!$B$12*'Underlying Mechanics'!$B$18,0)</x:f>
        <x:v>-22500</x:v>
      </x:c>
      <x:c r="E19" t="n">
        <x:f>((IF(E$1-'Underlying Mechanics'!$B$8&lt;0,0,'Underlying Mechanics'!$B$22*'Underlying Mechanics'!$B$15*INDEX('Underlying Mechanics'!$B$31:$B$51,E$1-'Underlying Mechanics'!$B$8+1)*'Underlying Mechanics'!$B$5))*(1-$A19))-IF(E$1=0,'Underlying Mechanics'!$B$23*(1-$B19),0)-IF(E$1&gt;0,'Underlying Mechanics'!$B$22*'Underlying Mechanics'!$B$17,0)-IF(E$1&gt;0,'Underlying Mechanics'!$B$12*'Underlying Mechanics'!$B$18,0)</x:f>
        <x:v>-22500</x:v>
      </x:c>
      <x:c r="F19" t="n">
        <x:f>((IF(F$1-'Underlying Mechanics'!$B$8&lt;0,0,'Underlying Mechanics'!$B$22*'Underlying Mechanics'!$B$15*INDEX('Underlying Mechanics'!$B$31:$B$51,F$1-'Underlying Mechanics'!$B$8+1)*'Underlying Mechanics'!$B$5))*(1-$A19))-IF(F$1=0,'Underlying Mechanics'!$B$23*(1-$B19),0)-IF(F$1&gt;0,'Underlying Mechanics'!$B$22*'Underlying Mechanics'!$B$17,0)-IF(F$1&gt;0,'Underlying Mechanics'!$B$12*'Underlying Mechanics'!$B$18,0)</x:f>
        <x:v>-20100</x:v>
      </x:c>
      <x:c r="G19" t="n">
        <x:f>((IF(G$1-'Underlying Mechanics'!$B$8&lt;0,0,'Underlying Mechanics'!$B$22*'Underlying Mechanics'!$B$15*INDEX('Underlying Mechanics'!$B$31:$B$51,G$1-'Underlying Mechanics'!$B$8+1)*'Underlying Mechanics'!$B$5))*(1-$A19))-IF(G$1=0,'Underlying Mechanics'!$B$23*(1-$B19),0)-IF(G$1&gt;0,'Underlying Mechanics'!$B$22*'Underlying Mechanics'!$B$17,0)-IF(G$1&gt;0,'Underlying Mechanics'!$B$12*'Underlying Mechanics'!$B$18,0)</x:f>
        <x:v>-16500</x:v>
      </x:c>
      <x:c r="H19" t="n">
        <x:f>((IF(H$1-'Underlying Mechanics'!$B$8&lt;0,0,'Underlying Mechanics'!$B$22*'Underlying Mechanics'!$B$15*INDEX('Underlying Mechanics'!$B$31:$B$51,H$1-'Underlying Mechanics'!$B$8+1)*'Underlying Mechanics'!$B$5))*(1-$A19))-IF(H$1=0,'Underlying Mechanics'!$B$23*(1-$B19),0)-IF(H$1&gt;0,'Underlying Mechanics'!$B$22*'Underlying Mechanics'!$B$17,0)-IF(H$1&gt;0,'Underlying Mechanics'!$B$12*'Underlying Mechanics'!$B$18,0)</x:f>
        <x:v>-10500</x:v>
      </x:c>
      <x:c r="I19" t="n">
        <x:f>((IF(I$1-'Underlying Mechanics'!$B$8&lt;0,0,'Underlying Mechanics'!$B$22*'Underlying Mechanics'!$B$15*INDEX('Underlying Mechanics'!$B$31:$B$51,I$1-'Underlying Mechanics'!$B$8+1)*'Underlying Mechanics'!$B$5))*(1-$A19))-IF(I$1=0,'Underlying Mechanics'!$B$23*(1-$B19),0)-IF(I$1&gt;0,'Underlying Mechanics'!$B$22*'Underlying Mechanics'!$B$17,0)-IF(I$1&gt;0,'Underlying Mechanics'!$B$12*'Underlying Mechanics'!$B$18,0)</x:f>
        <x:v>-900</x:v>
      </x:c>
      <x:c r="J19" t="n">
        <x:f>((IF(J$1-'Underlying Mechanics'!$B$8&lt;0,0,'Underlying Mechanics'!$B$22*'Underlying Mechanics'!$B$15*INDEX('Underlying Mechanics'!$B$31:$B$51,J$1-'Underlying Mechanics'!$B$8+1)*'Underlying Mechanics'!$B$5))*(1-$A19))-IF(J$1=0,'Underlying Mechanics'!$B$23*(1-$B19),0)-IF(J$1&gt;0,'Underlying Mechanics'!$B$22*'Underlying Mechanics'!$B$17,0)-IF(J$1&gt;0,'Underlying Mechanics'!$B$12*'Underlying Mechanics'!$B$18,0)</x:f>
        <x:v>11100.000000000007</x:v>
      </x:c>
      <x:c r="K19" t="n">
        <x:f>((IF(K$1-'Underlying Mechanics'!$B$8&lt;0,0,'Underlying Mechanics'!$B$22*'Underlying Mechanics'!$B$15*INDEX('Underlying Mechanics'!$B$31:$B$51,K$1-'Underlying Mechanics'!$B$8+1)*'Underlying Mechanics'!$B$5))*(1-$A19))-IF(K$1=0,'Underlying Mechanics'!$B$23*(1-$B19),0)-IF(K$1&gt;0,'Underlying Mechanics'!$B$22*'Underlying Mechanics'!$B$17,0)-IF(K$1&gt;0,'Underlying Mechanics'!$B$12*'Underlying Mechanics'!$B$18,0)</x:f>
        <x:v>25500</x:v>
      </x:c>
      <x:c r="L19" t="n">
        <x:f>((IF(L$1-'Underlying Mechanics'!$B$8&lt;0,0,'Underlying Mechanics'!$B$22*'Underlying Mechanics'!$B$15*INDEX('Underlying Mechanics'!$B$31:$B$51,L$1-'Underlying Mechanics'!$B$8+1)*'Underlying Mechanics'!$B$5))*(1-$A19))-IF(L$1=0,'Underlying Mechanics'!$B$23*(1-$B19),0)-IF(L$1&gt;0,'Underlying Mechanics'!$B$22*'Underlying Mechanics'!$B$17,0)-IF(L$1&gt;0,'Underlying Mechanics'!$B$12*'Underlying Mechanics'!$B$18,0)</x:f>
        <x:v>42300</x:v>
      </x:c>
      <x:c r="M19" t="n">
        <x:f>((IF(M$1-'Underlying Mechanics'!$B$8&lt;0,0,'Underlying Mechanics'!$B$22*'Underlying Mechanics'!$B$15*INDEX('Underlying Mechanics'!$B$31:$B$51,M$1-'Underlying Mechanics'!$B$8+1)*'Underlying Mechanics'!$B$5))*(1-$A19))-IF(M$1=0,'Underlying Mechanics'!$B$23*(1-$B19),0)-IF(M$1&gt;0,'Underlying Mechanics'!$B$22*'Underlying Mechanics'!$B$17,0)-IF(M$1&gt;0,'Underlying Mechanics'!$B$12*'Underlying Mechanics'!$B$18,0)</x:f>
        <x:v>59100.000000000015</x:v>
      </x:c>
      <x:c r="N19" t="n">
        <x:f>((IF(N$1-'Underlying Mechanics'!$B$8&lt;0,0,'Underlying Mechanics'!$B$22*'Underlying Mechanics'!$B$15*INDEX('Underlying Mechanics'!$B$31:$B$51,N$1-'Underlying Mechanics'!$B$8+1)*'Underlying Mechanics'!$B$5))*(1-$A19))-IF(N$1=0,'Underlying Mechanics'!$B$23*(1-$B19),0)-IF(N$1&gt;0,'Underlying Mechanics'!$B$22*'Underlying Mechanics'!$B$17,0)-IF(N$1&gt;0,'Underlying Mechanics'!$B$12*'Underlying Mechanics'!$B$18,0)</x:f>
        <x:v>73500</x:v>
      </x:c>
      <x:c r="O19" t="n">
        <x:f>((IF(O$1-'Underlying Mechanics'!$B$8&lt;0,0,'Underlying Mechanics'!$B$22*'Underlying Mechanics'!$B$15*INDEX('Underlying Mechanics'!$B$31:$B$51,O$1-'Underlying Mechanics'!$B$8+1)*'Underlying Mechanics'!$B$5))*(1-$A19))-IF(O$1=0,'Underlying Mechanics'!$B$23*(1-$B19),0)-IF(O$1&gt;0,'Underlying Mechanics'!$B$22*'Underlying Mechanics'!$B$17,0)-IF(O$1&gt;0,'Underlying Mechanics'!$B$12*'Underlying Mechanics'!$B$18,0)</x:f>
        <x:v>85500</x:v>
      </x:c>
      <x:c r="P19" t="n">
        <x:f>((IF(P$1-'Underlying Mechanics'!$B$8&lt;0,0,'Underlying Mechanics'!$B$22*'Underlying Mechanics'!$B$15*INDEX('Underlying Mechanics'!$B$31:$B$51,P$1-'Underlying Mechanics'!$B$8+1)*'Underlying Mechanics'!$B$5))*(1-$A19))-IF(P$1=0,'Underlying Mechanics'!$B$23*(1-$B19),0)-IF(P$1&gt;0,'Underlying Mechanics'!$B$22*'Underlying Mechanics'!$B$17,0)-IF(P$1&gt;0,'Underlying Mechanics'!$B$12*'Underlying Mechanics'!$B$18,0)</x:f>
        <x:v>97500</x:v>
      </x:c>
      <x:c r="Q19" t="n">
        <x:f>((IF(Q$1-'Underlying Mechanics'!$B$8&lt;0,0,'Underlying Mechanics'!$B$22*'Underlying Mechanics'!$B$15*INDEX('Underlying Mechanics'!$B$31:$B$51,Q$1-'Underlying Mechanics'!$B$8+1)*'Underlying Mechanics'!$B$5))*(1-$A19))-IF(Q$1=0,'Underlying Mechanics'!$B$23*(1-$B19),0)-IF(Q$1&gt;0,'Underlying Mechanics'!$B$22*'Underlying Mechanics'!$B$17,0)-IF(Q$1&gt;0,'Underlying Mechanics'!$B$12*'Underlying Mechanics'!$B$18,0)</x:f>
        <x:v>97500</x:v>
      </x:c>
      <x:c r="R19" t="n">
        <x:f>((IF(R$1-'Underlying Mechanics'!$B$8&lt;0,0,'Underlying Mechanics'!$B$22*'Underlying Mechanics'!$B$15*INDEX('Underlying Mechanics'!$B$31:$B$51,R$1-'Underlying Mechanics'!$B$8+1)*'Underlying Mechanics'!$B$5))*(1-$A19))-IF(R$1=0,'Underlying Mechanics'!$B$23*(1-$B19),0)-IF(R$1&gt;0,'Underlying Mechanics'!$B$22*'Underlying Mechanics'!$B$17,0)-IF(R$1&gt;0,'Underlying Mechanics'!$B$12*'Underlying Mechanics'!$B$18,0)</x:f>
        <x:v>97500</x:v>
      </x:c>
      <x:c r="S19" t="n">
        <x:f>((IF(S$1-'Underlying Mechanics'!$B$8&lt;0,0,'Underlying Mechanics'!$B$22*'Underlying Mechanics'!$B$15*INDEX('Underlying Mechanics'!$B$31:$B$51,S$1-'Underlying Mechanics'!$B$8+1)*'Underlying Mechanics'!$B$5))*(1-$A19))-IF(S$1=0,'Underlying Mechanics'!$B$23*(1-$B19),0)-IF(S$1&gt;0,'Underlying Mechanics'!$B$22*'Underlying Mechanics'!$B$17,0)-IF(S$1&gt;0,'Underlying Mechanics'!$B$12*'Underlying Mechanics'!$B$18,0)</x:f>
        <x:v>97500</x:v>
      </x:c>
      <x:c r="T19" t="n">
        <x:f>((IF(T$1-'Underlying Mechanics'!$B$8&lt;0,0,'Underlying Mechanics'!$B$22*'Underlying Mechanics'!$B$15*INDEX('Underlying Mechanics'!$B$31:$B$51,T$1-'Underlying Mechanics'!$B$8+1)*'Underlying Mechanics'!$B$5))*(1-$A19))-IF(T$1=0,'Underlying Mechanics'!$B$23*(1-$B19),0)-IF(T$1&gt;0,'Underlying Mechanics'!$B$22*'Underlying Mechanics'!$B$17,0)-IF(T$1&gt;0,'Underlying Mechanics'!$B$12*'Underlying Mechanics'!$B$18,0)</x:f>
        <x:v>97500</x:v>
      </x:c>
      <x:c r="U19" t="n">
        <x:f>((IF(U$1-'Underlying Mechanics'!$B$8&lt;0,0,'Underlying Mechanics'!$B$22*'Underlying Mechanics'!$B$15*INDEX('Underlying Mechanics'!$B$31:$B$51,U$1-'Underlying Mechanics'!$B$8+1)*'Underlying Mechanics'!$B$5))*(1-$A19))-IF(U$1=0,'Underlying Mechanics'!$B$23*(1-$B19),0)-IF(U$1&gt;0,'Underlying Mechanics'!$B$22*'Underlying Mechanics'!$B$17,0)-IF(U$1&gt;0,'Underlying Mechanics'!$B$12*'Underlying Mechanics'!$B$18,0)</x:f>
        <x:v>97500</x:v>
      </x:c>
      <x:c r="V19" t="n">
        <x:f>((IF(V$1-'Underlying Mechanics'!$B$8&lt;0,0,'Underlying Mechanics'!$B$22*'Underlying Mechanics'!$B$15*INDEX('Underlying Mechanics'!$B$31:$B$51,V$1-'Underlying Mechanics'!$B$8+1)*'Underlying Mechanics'!$B$5))*(1-$A19))-IF(V$1=0,'Underlying Mechanics'!$B$23*(1-$B19),0)-IF(V$1&gt;0,'Underlying Mechanics'!$B$22*'Underlying Mechanics'!$B$17,0)-IF(V$1&gt;0,'Underlying Mechanics'!$B$12*'Underlying Mechanics'!$B$18,0)</x:f>
        <x:v>97500</x:v>
      </x:c>
      <x:c r="W19" t="n">
        <x:f>((IF(W$1-'Underlying Mechanics'!$B$8&lt;0,0,'Underlying Mechanics'!$B$22*'Underlying Mechanics'!$B$15*INDEX('Underlying Mechanics'!$B$31:$B$51,W$1-'Underlying Mechanics'!$B$8+1)*'Underlying Mechanics'!$B$5))*(1-$A19))-IF(W$1=0,'Underlying Mechanics'!$B$23*(1-$B19),0)-IF(W$1&gt;0,'Underlying Mechanics'!$B$22*'Underlying Mechanics'!$B$17,0)-IF(W$1&gt;0,'Underlying Mechanics'!$B$12*'Underlying Mechanics'!$B$18,0)</x:f>
        <x:v>97500</x:v>
      </x:c>
      <x:c r="X19" t="n">
        <x:f>IFERROR(IRR(C19:W19),-1)</x:f>
        <x:v>0.20945759169407746</x:v>
      </x:c>
    </x:row>
    <x:row r="20">
      <x:c r="A20" t="n">
        <x:v>0</x:v>
      </x:c>
      <x:c r="B20" t="n">
        <x:v>0.9</x:v>
      </x:c>
      <x:c r="C20" t="n">
        <x:f>((IF(C$1-'Underlying Mechanics'!$B$8&lt;0,0,'Underlying Mechanics'!$B$22*'Underlying Mechanics'!$B$15*INDEX('Underlying Mechanics'!$B$31:$B$51,C$1-'Underlying Mechanics'!$B$8+1)*'Underlying Mechanics'!$B$5))*(1-$A20))-IF(C$1=0,'Underlying Mechanics'!$B$23*(1-$B20),0)-IF(C$1&gt;0,'Underlying Mechanics'!$B$22*'Underlying Mechanics'!$B$17,0)-IF(C$1&gt;0,'Underlying Mechanics'!$B$12*'Underlying Mechanics'!$B$18,0)</x:f>
        <x:v>-14999.999999999996</x:v>
      </x:c>
      <x:c r="D20" t="n">
        <x:f>((IF(D$1-'Underlying Mechanics'!$B$8&lt;0,0,'Underlying Mechanics'!$B$22*'Underlying Mechanics'!$B$15*INDEX('Underlying Mechanics'!$B$31:$B$51,D$1-'Underlying Mechanics'!$B$8+1)*'Underlying Mechanics'!$B$5))*(1-$A20))-IF(D$1=0,'Underlying Mechanics'!$B$23*(1-$B20),0)-IF(D$1&gt;0,'Underlying Mechanics'!$B$22*'Underlying Mechanics'!$B$17,0)-IF(D$1&gt;0,'Underlying Mechanics'!$B$12*'Underlying Mechanics'!$B$18,0)</x:f>
        <x:v>-22500</x:v>
      </x:c>
      <x:c r="E20" t="n">
        <x:f>((IF(E$1-'Underlying Mechanics'!$B$8&lt;0,0,'Underlying Mechanics'!$B$22*'Underlying Mechanics'!$B$15*INDEX('Underlying Mechanics'!$B$31:$B$51,E$1-'Underlying Mechanics'!$B$8+1)*'Underlying Mechanics'!$B$5))*(1-$A20))-IF(E$1=0,'Underlying Mechanics'!$B$23*(1-$B20),0)-IF(E$1&gt;0,'Underlying Mechanics'!$B$22*'Underlying Mechanics'!$B$17,0)-IF(E$1&gt;0,'Underlying Mechanics'!$B$12*'Underlying Mechanics'!$B$18,0)</x:f>
        <x:v>-22500</x:v>
      </x:c>
      <x:c r="F20" t="n">
        <x:f>((IF(F$1-'Underlying Mechanics'!$B$8&lt;0,0,'Underlying Mechanics'!$B$22*'Underlying Mechanics'!$B$15*INDEX('Underlying Mechanics'!$B$31:$B$51,F$1-'Underlying Mechanics'!$B$8+1)*'Underlying Mechanics'!$B$5))*(1-$A20))-IF(F$1=0,'Underlying Mechanics'!$B$23*(1-$B20),0)-IF(F$1&gt;0,'Underlying Mechanics'!$B$22*'Underlying Mechanics'!$B$17,0)-IF(F$1&gt;0,'Underlying Mechanics'!$B$12*'Underlying Mechanics'!$B$18,0)</x:f>
        <x:v>-20100</x:v>
      </x:c>
      <x:c r="G20" t="n">
        <x:f>((IF(G$1-'Underlying Mechanics'!$B$8&lt;0,0,'Underlying Mechanics'!$B$22*'Underlying Mechanics'!$B$15*INDEX('Underlying Mechanics'!$B$31:$B$51,G$1-'Underlying Mechanics'!$B$8+1)*'Underlying Mechanics'!$B$5))*(1-$A20))-IF(G$1=0,'Underlying Mechanics'!$B$23*(1-$B20),0)-IF(G$1&gt;0,'Underlying Mechanics'!$B$22*'Underlying Mechanics'!$B$17,0)-IF(G$1&gt;0,'Underlying Mechanics'!$B$12*'Underlying Mechanics'!$B$18,0)</x:f>
        <x:v>-16500</x:v>
      </x:c>
      <x:c r="H20" t="n">
        <x:f>((IF(H$1-'Underlying Mechanics'!$B$8&lt;0,0,'Underlying Mechanics'!$B$22*'Underlying Mechanics'!$B$15*INDEX('Underlying Mechanics'!$B$31:$B$51,H$1-'Underlying Mechanics'!$B$8+1)*'Underlying Mechanics'!$B$5))*(1-$A20))-IF(H$1=0,'Underlying Mechanics'!$B$23*(1-$B20),0)-IF(H$1&gt;0,'Underlying Mechanics'!$B$22*'Underlying Mechanics'!$B$17,0)-IF(H$1&gt;0,'Underlying Mechanics'!$B$12*'Underlying Mechanics'!$B$18,0)</x:f>
        <x:v>-10500</x:v>
      </x:c>
      <x:c r="I20" t="n">
        <x:f>((IF(I$1-'Underlying Mechanics'!$B$8&lt;0,0,'Underlying Mechanics'!$B$22*'Underlying Mechanics'!$B$15*INDEX('Underlying Mechanics'!$B$31:$B$51,I$1-'Underlying Mechanics'!$B$8+1)*'Underlying Mechanics'!$B$5))*(1-$A20))-IF(I$1=0,'Underlying Mechanics'!$B$23*(1-$B20),0)-IF(I$1&gt;0,'Underlying Mechanics'!$B$22*'Underlying Mechanics'!$B$17,0)-IF(I$1&gt;0,'Underlying Mechanics'!$B$12*'Underlying Mechanics'!$B$18,0)</x:f>
        <x:v>-900</x:v>
      </x:c>
      <x:c r="J20" t="n">
        <x:f>((IF(J$1-'Underlying Mechanics'!$B$8&lt;0,0,'Underlying Mechanics'!$B$22*'Underlying Mechanics'!$B$15*INDEX('Underlying Mechanics'!$B$31:$B$51,J$1-'Underlying Mechanics'!$B$8+1)*'Underlying Mechanics'!$B$5))*(1-$A20))-IF(J$1=0,'Underlying Mechanics'!$B$23*(1-$B20),0)-IF(J$1&gt;0,'Underlying Mechanics'!$B$22*'Underlying Mechanics'!$B$17,0)-IF(J$1&gt;0,'Underlying Mechanics'!$B$12*'Underlying Mechanics'!$B$18,0)</x:f>
        <x:v>11100.000000000007</x:v>
      </x:c>
      <x:c r="K20" t="n">
        <x:f>((IF(K$1-'Underlying Mechanics'!$B$8&lt;0,0,'Underlying Mechanics'!$B$22*'Underlying Mechanics'!$B$15*INDEX('Underlying Mechanics'!$B$31:$B$51,K$1-'Underlying Mechanics'!$B$8+1)*'Underlying Mechanics'!$B$5))*(1-$A20))-IF(K$1=0,'Underlying Mechanics'!$B$23*(1-$B20),0)-IF(K$1&gt;0,'Underlying Mechanics'!$B$22*'Underlying Mechanics'!$B$17,0)-IF(K$1&gt;0,'Underlying Mechanics'!$B$12*'Underlying Mechanics'!$B$18,0)</x:f>
        <x:v>25500</x:v>
      </x:c>
      <x:c r="L20" t="n">
        <x:f>((IF(L$1-'Underlying Mechanics'!$B$8&lt;0,0,'Underlying Mechanics'!$B$22*'Underlying Mechanics'!$B$15*INDEX('Underlying Mechanics'!$B$31:$B$51,L$1-'Underlying Mechanics'!$B$8+1)*'Underlying Mechanics'!$B$5))*(1-$A20))-IF(L$1=0,'Underlying Mechanics'!$B$23*(1-$B20),0)-IF(L$1&gt;0,'Underlying Mechanics'!$B$22*'Underlying Mechanics'!$B$17,0)-IF(L$1&gt;0,'Underlying Mechanics'!$B$12*'Underlying Mechanics'!$B$18,0)</x:f>
        <x:v>42300</x:v>
      </x:c>
      <x:c r="M20" t="n">
        <x:f>((IF(M$1-'Underlying Mechanics'!$B$8&lt;0,0,'Underlying Mechanics'!$B$22*'Underlying Mechanics'!$B$15*INDEX('Underlying Mechanics'!$B$31:$B$51,M$1-'Underlying Mechanics'!$B$8+1)*'Underlying Mechanics'!$B$5))*(1-$A20))-IF(M$1=0,'Underlying Mechanics'!$B$23*(1-$B20),0)-IF(M$1&gt;0,'Underlying Mechanics'!$B$22*'Underlying Mechanics'!$B$17,0)-IF(M$1&gt;0,'Underlying Mechanics'!$B$12*'Underlying Mechanics'!$B$18,0)</x:f>
        <x:v>59100.000000000015</x:v>
      </x:c>
      <x:c r="N20" t="n">
        <x:f>((IF(N$1-'Underlying Mechanics'!$B$8&lt;0,0,'Underlying Mechanics'!$B$22*'Underlying Mechanics'!$B$15*INDEX('Underlying Mechanics'!$B$31:$B$51,N$1-'Underlying Mechanics'!$B$8+1)*'Underlying Mechanics'!$B$5))*(1-$A20))-IF(N$1=0,'Underlying Mechanics'!$B$23*(1-$B20),0)-IF(N$1&gt;0,'Underlying Mechanics'!$B$22*'Underlying Mechanics'!$B$17,0)-IF(N$1&gt;0,'Underlying Mechanics'!$B$12*'Underlying Mechanics'!$B$18,0)</x:f>
        <x:v>73500</x:v>
      </x:c>
      <x:c r="O20" t="n">
        <x:f>((IF(O$1-'Underlying Mechanics'!$B$8&lt;0,0,'Underlying Mechanics'!$B$22*'Underlying Mechanics'!$B$15*INDEX('Underlying Mechanics'!$B$31:$B$51,O$1-'Underlying Mechanics'!$B$8+1)*'Underlying Mechanics'!$B$5))*(1-$A20))-IF(O$1=0,'Underlying Mechanics'!$B$23*(1-$B20),0)-IF(O$1&gt;0,'Underlying Mechanics'!$B$22*'Underlying Mechanics'!$B$17,0)-IF(O$1&gt;0,'Underlying Mechanics'!$B$12*'Underlying Mechanics'!$B$18,0)</x:f>
        <x:v>85500</x:v>
      </x:c>
      <x:c r="P20" t="n">
        <x:f>((IF(P$1-'Underlying Mechanics'!$B$8&lt;0,0,'Underlying Mechanics'!$B$22*'Underlying Mechanics'!$B$15*INDEX('Underlying Mechanics'!$B$31:$B$51,P$1-'Underlying Mechanics'!$B$8+1)*'Underlying Mechanics'!$B$5))*(1-$A20))-IF(P$1=0,'Underlying Mechanics'!$B$23*(1-$B20),0)-IF(P$1&gt;0,'Underlying Mechanics'!$B$22*'Underlying Mechanics'!$B$17,0)-IF(P$1&gt;0,'Underlying Mechanics'!$B$12*'Underlying Mechanics'!$B$18,0)</x:f>
        <x:v>97500</x:v>
      </x:c>
      <x:c r="Q20" t="n">
        <x:f>((IF(Q$1-'Underlying Mechanics'!$B$8&lt;0,0,'Underlying Mechanics'!$B$22*'Underlying Mechanics'!$B$15*INDEX('Underlying Mechanics'!$B$31:$B$51,Q$1-'Underlying Mechanics'!$B$8+1)*'Underlying Mechanics'!$B$5))*(1-$A20))-IF(Q$1=0,'Underlying Mechanics'!$B$23*(1-$B20),0)-IF(Q$1&gt;0,'Underlying Mechanics'!$B$22*'Underlying Mechanics'!$B$17,0)-IF(Q$1&gt;0,'Underlying Mechanics'!$B$12*'Underlying Mechanics'!$B$18,0)</x:f>
        <x:v>97500</x:v>
      </x:c>
      <x:c r="R20" t="n">
        <x:f>((IF(R$1-'Underlying Mechanics'!$B$8&lt;0,0,'Underlying Mechanics'!$B$22*'Underlying Mechanics'!$B$15*INDEX('Underlying Mechanics'!$B$31:$B$51,R$1-'Underlying Mechanics'!$B$8+1)*'Underlying Mechanics'!$B$5))*(1-$A20))-IF(R$1=0,'Underlying Mechanics'!$B$23*(1-$B20),0)-IF(R$1&gt;0,'Underlying Mechanics'!$B$22*'Underlying Mechanics'!$B$17,0)-IF(R$1&gt;0,'Underlying Mechanics'!$B$12*'Underlying Mechanics'!$B$18,0)</x:f>
        <x:v>97500</x:v>
      </x:c>
      <x:c r="S20" t="n">
        <x:f>((IF(S$1-'Underlying Mechanics'!$B$8&lt;0,0,'Underlying Mechanics'!$B$22*'Underlying Mechanics'!$B$15*INDEX('Underlying Mechanics'!$B$31:$B$51,S$1-'Underlying Mechanics'!$B$8+1)*'Underlying Mechanics'!$B$5))*(1-$A20))-IF(S$1=0,'Underlying Mechanics'!$B$23*(1-$B20),0)-IF(S$1&gt;0,'Underlying Mechanics'!$B$22*'Underlying Mechanics'!$B$17,0)-IF(S$1&gt;0,'Underlying Mechanics'!$B$12*'Underlying Mechanics'!$B$18,0)</x:f>
        <x:v>97500</x:v>
      </x:c>
      <x:c r="T20" t="n">
        <x:f>((IF(T$1-'Underlying Mechanics'!$B$8&lt;0,0,'Underlying Mechanics'!$B$22*'Underlying Mechanics'!$B$15*INDEX('Underlying Mechanics'!$B$31:$B$51,T$1-'Underlying Mechanics'!$B$8+1)*'Underlying Mechanics'!$B$5))*(1-$A20))-IF(T$1=0,'Underlying Mechanics'!$B$23*(1-$B20),0)-IF(T$1&gt;0,'Underlying Mechanics'!$B$22*'Underlying Mechanics'!$B$17,0)-IF(T$1&gt;0,'Underlying Mechanics'!$B$12*'Underlying Mechanics'!$B$18,0)</x:f>
        <x:v>97500</x:v>
      </x:c>
      <x:c r="U20" t="n">
        <x:f>((IF(U$1-'Underlying Mechanics'!$B$8&lt;0,0,'Underlying Mechanics'!$B$22*'Underlying Mechanics'!$B$15*INDEX('Underlying Mechanics'!$B$31:$B$51,U$1-'Underlying Mechanics'!$B$8+1)*'Underlying Mechanics'!$B$5))*(1-$A20))-IF(U$1=0,'Underlying Mechanics'!$B$23*(1-$B20),0)-IF(U$1&gt;0,'Underlying Mechanics'!$B$22*'Underlying Mechanics'!$B$17,0)-IF(U$1&gt;0,'Underlying Mechanics'!$B$12*'Underlying Mechanics'!$B$18,0)</x:f>
        <x:v>97500</x:v>
      </x:c>
      <x:c r="V20" t="n">
        <x:f>((IF(V$1-'Underlying Mechanics'!$B$8&lt;0,0,'Underlying Mechanics'!$B$22*'Underlying Mechanics'!$B$15*INDEX('Underlying Mechanics'!$B$31:$B$51,V$1-'Underlying Mechanics'!$B$8+1)*'Underlying Mechanics'!$B$5))*(1-$A20))-IF(V$1=0,'Underlying Mechanics'!$B$23*(1-$B20),0)-IF(V$1&gt;0,'Underlying Mechanics'!$B$22*'Underlying Mechanics'!$B$17,0)-IF(V$1&gt;0,'Underlying Mechanics'!$B$12*'Underlying Mechanics'!$B$18,0)</x:f>
        <x:v>97500</x:v>
      </x:c>
      <x:c r="W20" t="n">
        <x:f>((IF(W$1-'Underlying Mechanics'!$B$8&lt;0,0,'Underlying Mechanics'!$B$22*'Underlying Mechanics'!$B$15*INDEX('Underlying Mechanics'!$B$31:$B$51,W$1-'Underlying Mechanics'!$B$8+1)*'Underlying Mechanics'!$B$5))*(1-$A20))-IF(W$1=0,'Underlying Mechanics'!$B$23*(1-$B20),0)-IF(W$1&gt;0,'Underlying Mechanics'!$B$22*'Underlying Mechanics'!$B$17,0)-IF(W$1&gt;0,'Underlying Mechanics'!$B$12*'Underlying Mechanics'!$B$18,0)</x:f>
        <x:v>97500</x:v>
      </x:c>
      <x:c r="X20" t="n">
        <x:f>IFERROR(IRR(C20:W20),-1)</x:f>
        <x:v>0.2207165519965648</x:v>
      </x:c>
    </x:row>
    <x:row r="21">
      <x:c r="A21" t="n">
        <x:v>0</x:v>
      </x:c>
      <x:c r="B21" t="n">
        <x:v>0.95</x:v>
      </x:c>
      <x:c r="C21" t="n">
        <x:f>((IF(C$1-'Underlying Mechanics'!$B$8&lt;0,0,'Underlying Mechanics'!$B$22*'Underlying Mechanics'!$B$15*INDEX('Underlying Mechanics'!$B$31:$B$51,C$1-'Underlying Mechanics'!$B$8+1)*'Underlying Mechanics'!$B$5))*(1-$A21))-IF(C$1=0,'Underlying Mechanics'!$B$23*(1-$B21),0)-IF(C$1&gt;0,'Underlying Mechanics'!$B$22*'Underlying Mechanics'!$B$17,0)-IF(C$1&gt;0,'Underlying Mechanics'!$B$12*'Underlying Mechanics'!$B$18,0)</x:f>
        <x:v>-7500.000000000006</x:v>
      </x:c>
      <x:c r="D21" t="n">
        <x:f>((IF(D$1-'Underlying Mechanics'!$B$8&lt;0,0,'Underlying Mechanics'!$B$22*'Underlying Mechanics'!$B$15*INDEX('Underlying Mechanics'!$B$31:$B$51,D$1-'Underlying Mechanics'!$B$8+1)*'Underlying Mechanics'!$B$5))*(1-$A21))-IF(D$1=0,'Underlying Mechanics'!$B$23*(1-$B21),0)-IF(D$1&gt;0,'Underlying Mechanics'!$B$22*'Underlying Mechanics'!$B$17,0)-IF(D$1&gt;0,'Underlying Mechanics'!$B$12*'Underlying Mechanics'!$B$18,0)</x:f>
        <x:v>-22500</x:v>
      </x:c>
      <x:c r="E21" t="n">
        <x:f>((IF(E$1-'Underlying Mechanics'!$B$8&lt;0,0,'Underlying Mechanics'!$B$22*'Underlying Mechanics'!$B$15*INDEX('Underlying Mechanics'!$B$31:$B$51,E$1-'Underlying Mechanics'!$B$8+1)*'Underlying Mechanics'!$B$5))*(1-$A21))-IF(E$1=0,'Underlying Mechanics'!$B$23*(1-$B21),0)-IF(E$1&gt;0,'Underlying Mechanics'!$B$22*'Underlying Mechanics'!$B$17,0)-IF(E$1&gt;0,'Underlying Mechanics'!$B$12*'Underlying Mechanics'!$B$18,0)</x:f>
        <x:v>-22500</x:v>
      </x:c>
      <x:c r="F21" t="n">
        <x:f>((IF(F$1-'Underlying Mechanics'!$B$8&lt;0,0,'Underlying Mechanics'!$B$22*'Underlying Mechanics'!$B$15*INDEX('Underlying Mechanics'!$B$31:$B$51,F$1-'Underlying Mechanics'!$B$8+1)*'Underlying Mechanics'!$B$5))*(1-$A21))-IF(F$1=0,'Underlying Mechanics'!$B$23*(1-$B21),0)-IF(F$1&gt;0,'Underlying Mechanics'!$B$22*'Underlying Mechanics'!$B$17,0)-IF(F$1&gt;0,'Underlying Mechanics'!$B$12*'Underlying Mechanics'!$B$18,0)</x:f>
        <x:v>-20100</x:v>
      </x:c>
      <x:c r="G21" t="n">
        <x:f>((IF(G$1-'Underlying Mechanics'!$B$8&lt;0,0,'Underlying Mechanics'!$B$22*'Underlying Mechanics'!$B$15*INDEX('Underlying Mechanics'!$B$31:$B$51,G$1-'Underlying Mechanics'!$B$8+1)*'Underlying Mechanics'!$B$5))*(1-$A21))-IF(G$1=0,'Underlying Mechanics'!$B$23*(1-$B21),0)-IF(G$1&gt;0,'Underlying Mechanics'!$B$22*'Underlying Mechanics'!$B$17,0)-IF(G$1&gt;0,'Underlying Mechanics'!$B$12*'Underlying Mechanics'!$B$18,0)</x:f>
        <x:v>-16500</x:v>
      </x:c>
      <x:c r="H21" t="n">
        <x:f>((IF(H$1-'Underlying Mechanics'!$B$8&lt;0,0,'Underlying Mechanics'!$B$22*'Underlying Mechanics'!$B$15*INDEX('Underlying Mechanics'!$B$31:$B$51,H$1-'Underlying Mechanics'!$B$8+1)*'Underlying Mechanics'!$B$5))*(1-$A21))-IF(H$1=0,'Underlying Mechanics'!$B$23*(1-$B21),0)-IF(H$1&gt;0,'Underlying Mechanics'!$B$22*'Underlying Mechanics'!$B$17,0)-IF(H$1&gt;0,'Underlying Mechanics'!$B$12*'Underlying Mechanics'!$B$18,0)</x:f>
        <x:v>-10500</x:v>
      </x:c>
      <x:c r="I21" t="n">
        <x:f>((IF(I$1-'Underlying Mechanics'!$B$8&lt;0,0,'Underlying Mechanics'!$B$22*'Underlying Mechanics'!$B$15*INDEX('Underlying Mechanics'!$B$31:$B$51,I$1-'Underlying Mechanics'!$B$8+1)*'Underlying Mechanics'!$B$5))*(1-$A21))-IF(I$1=0,'Underlying Mechanics'!$B$23*(1-$B21),0)-IF(I$1&gt;0,'Underlying Mechanics'!$B$22*'Underlying Mechanics'!$B$17,0)-IF(I$1&gt;0,'Underlying Mechanics'!$B$12*'Underlying Mechanics'!$B$18,0)</x:f>
        <x:v>-900</x:v>
      </x:c>
      <x:c r="J21" t="n">
        <x:f>((IF(J$1-'Underlying Mechanics'!$B$8&lt;0,0,'Underlying Mechanics'!$B$22*'Underlying Mechanics'!$B$15*INDEX('Underlying Mechanics'!$B$31:$B$51,J$1-'Underlying Mechanics'!$B$8+1)*'Underlying Mechanics'!$B$5))*(1-$A21))-IF(J$1=0,'Underlying Mechanics'!$B$23*(1-$B21),0)-IF(J$1&gt;0,'Underlying Mechanics'!$B$22*'Underlying Mechanics'!$B$17,0)-IF(J$1&gt;0,'Underlying Mechanics'!$B$12*'Underlying Mechanics'!$B$18,0)</x:f>
        <x:v>11100.000000000007</x:v>
      </x:c>
      <x:c r="K21" t="n">
        <x:f>((IF(K$1-'Underlying Mechanics'!$B$8&lt;0,0,'Underlying Mechanics'!$B$22*'Underlying Mechanics'!$B$15*INDEX('Underlying Mechanics'!$B$31:$B$51,K$1-'Underlying Mechanics'!$B$8+1)*'Underlying Mechanics'!$B$5))*(1-$A21))-IF(K$1=0,'Underlying Mechanics'!$B$23*(1-$B21),0)-IF(K$1&gt;0,'Underlying Mechanics'!$B$22*'Underlying Mechanics'!$B$17,0)-IF(K$1&gt;0,'Underlying Mechanics'!$B$12*'Underlying Mechanics'!$B$18,0)</x:f>
        <x:v>25500</x:v>
      </x:c>
      <x:c r="L21" t="n">
        <x:f>((IF(L$1-'Underlying Mechanics'!$B$8&lt;0,0,'Underlying Mechanics'!$B$22*'Underlying Mechanics'!$B$15*INDEX('Underlying Mechanics'!$B$31:$B$51,L$1-'Underlying Mechanics'!$B$8+1)*'Underlying Mechanics'!$B$5))*(1-$A21))-IF(L$1=0,'Underlying Mechanics'!$B$23*(1-$B21),0)-IF(L$1&gt;0,'Underlying Mechanics'!$B$22*'Underlying Mechanics'!$B$17,0)-IF(L$1&gt;0,'Underlying Mechanics'!$B$12*'Underlying Mechanics'!$B$18,0)</x:f>
        <x:v>42300</x:v>
      </x:c>
      <x:c r="M21" t="n">
        <x:f>((IF(M$1-'Underlying Mechanics'!$B$8&lt;0,0,'Underlying Mechanics'!$B$22*'Underlying Mechanics'!$B$15*INDEX('Underlying Mechanics'!$B$31:$B$51,M$1-'Underlying Mechanics'!$B$8+1)*'Underlying Mechanics'!$B$5))*(1-$A21))-IF(M$1=0,'Underlying Mechanics'!$B$23*(1-$B21),0)-IF(M$1&gt;0,'Underlying Mechanics'!$B$22*'Underlying Mechanics'!$B$17,0)-IF(M$1&gt;0,'Underlying Mechanics'!$B$12*'Underlying Mechanics'!$B$18,0)</x:f>
        <x:v>59100.000000000015</x:v>
      </x:c>
      <x:c r="N21" t="n">
        <x:f>((IF(N$1-'Underlying Mechanics'!$B$8&lt;0,0,'Underlying Mechanics'!$B$22*'Underlying Mechanics'!$B$15*INDEX('Underlying Mechanics'!$B$31:$B$51,N$1-'Underlying Mechanics'!$B$8+1)*'Underlying Mechanics'!$B$5))*(1-$A21))-IF(N$1=0,'Underlying Mechanics'!$B$23*(1-$B21),0)-IF(N$1&gt;0,'Underlying Mechanics'!$B$22*'Underlying Mechanics'!$B$17,0)-IF(N$1&gt;0,'Underlying Mechanics'!$B$12*'Underlying Mechanics'!$B$18,0)</x:f>
        <x:v>73500</x:v>
      </x:c>
      <x:c r="O21" t="n">
        <x:f>((IF(O$1-'Underlying Mechanics'!$B$8&lt;0,0,'Underlying Mechanics'!$B$22*'Underlying Mechanics'!$B$15*INDEX('Underlying Mechanics'!$B$31:$B$51,O$1-'Underlying Mechanics'!$B$8+1)*'Underlying Mechanics'!$B$5))*(1-$A21))-IF(O$1=0,'Underlying Mechanics'!$B$23*(1-$B21),0)-IF(O$1&gt;0,'Underlying Mechanics'!$B$22*'Underlying Mechanics'!$B$17,0)-IF(O$1&gt;0,'Underlying Mechanics'!$B$12*'Underlying Mechanics'!$B$18,0)</x:f>
        <x:v>85500</x:v>
      </x:c>
      <x:c r="P21" t="n">
        <x:f>((IF(P$1-'Underlying Mechanics'!$B$8&lt;0,0,'Underlying Mechanics'!$B$22*'Underlying Mechanics'!$B$15*INDEX('Underlying Mechanics'!$B$31:$B$51,P$1-'Underlying Mechanics'!$B$8+1)*'Underlying Mechanics'!$B$5))*(1-$A21))-IF(P$1=0,'Underlying Mechanics'!$B$23*(1-$B21),0)-IF(P$1&gt;0,'Underlying Mechanics'!$B$22*'Underlying Mechanics'!$B$17,0)-IF(P$1&gt;0,'Underlying Mechanics'!$B$12*'Underlying Mechanics'!$B$18,0)</x:f>
        <x:v>97500</x:v>
      </x:c>
      <x:c r="Q21" t="n">
        <x:f>((IF(Q$1-'Underlying Mechanics'!$B$8&lt;0,0,'Underlying Mechanics'!$B$22*'Underlying Mechanics'!$B$15*INDEX('Underlying Mechanics'!$B$31:$B$51,Q$1-'Underlying Mechanics'!$B$8+1)*'Underlying Mechanics'!$B$5))*(1-$A21))-IF(Q$1=0,'Underlying Mechanics'!$B$23*(1-$B21),0)-IF(Q$1&gt;0,'Underlying Mechanics'!$B$22*'Underlying Mechanics'!$B$17,0)-IF(Q$1&gt;0,'Underlying Mechanics'!$B$12*'Underlying Mechanics'!$B$18,0)</x:f>
        <x:v>97500</x:v>
      </x:c>
      <x:c r="R21" t="n">
        <x:f>((IF(R$1-'Underlying Mechanics'!$B$8&lt;0,0,'Underlying Mechanics'!$B$22*'Underlying Mechanics'!$B$15*INDEX('Underlying Mechanics'!$B$31:$B$51,R$1-'Underlying Mechanics'!$B$8+1)*'Underlying Mechanics'!$B$5))*(1-$A21))-IF(R$1=0,'Underlying Mechanics'!$B$23*(1-$B21),0)-IF(R$1&gt;0,'Underlying Mechanics'!$B$22*'Underlying Mechanics'!$B$17,0)-IF(R$1&gt;0,'Underlying Mechanics'!$B$12*'Underlying Mechanics'!$B$18,0)</x:f>
        <x:v>97500</x:v>
      </x:c>
      <x:c r="S21" t="n">
        <x:f>((IF(S$1-'Underlying Mechanics'!$B$8&lt;0,0,'Underlying Mechanics'!$B$22*'Underlying Mechanics'!$B$15*INDEX('Underlying Mechanics'!$B$31:$B$51,S$1-'Underlying Mechanics'!$B$8+1)*'Underlying Mechanics'!$B$5))*(1-$A21))-IF(S$1=0,'Underlying Mechanics'!$B$23*(1-$B21),0)-IF(S$1&gt;0,'Underlying Mechanics'!$B$22*'Underlying Mechanics'!$B$17,0)-IF(S$1&gt;0,'Underlying Mechanics'!$B$12*'Underlying Mechanics'!$B$18,0)</x:f>
        <x:v>97500</x:v>
      </x:c>
      <x:c r="T21" t="n">
        <x:f>((IF(T$1-'Underlying Mechanics'!$B$8&lt;0,0,'Underlying Mechanics'!$B$22*'Underlying Mechanics'!$B$15*INDEX('Underlying Mechanics'!$B$31:$B$51,T$1-'Underlying Mechanics'!$B$8+1)*'Underlying Mechanics'!$B$5))*(1-$A21))-IF(T$1=0,'Underlying Mechanics'!$B$23*(1-$B21),0)-IF(T$1&gt;0,'Underlying Mechanics'!$B$22*'Underlying Mechanics'!$B$17,0)-IF(T$1&gt;0,'Underlying Mechanics'!$B$12*'Underlying Mechanics'!$B$18,0)</x:f>
        <x:v>97500</x:v>
      </x:c>
      <x:c r="U21" t="n">
        <x:f>((IF(U$1-'Underlying Mechanics'!$B$8&lt;0,0,'Underlying Mechanics'!$B$22*'Underlying Mechanics'!$B$15*INDEX('Underlying Mechanics'!$B$31:$B$51,U$1-'Underlying Mechanics'!$B$8+1)*'Underlying Mechanics'!$B$5))*(1-$A21))-IF(U$1=0,'Underlying Mechanics'!$B$23*(1-$B21),0)-IF(U$1&gt;0,'Underlying Mechanics'!$B$22*'Underlying Mechanics'!$B$17,0)-IF(U$1&gt;0,'Underlying Mechanics'!$B$12*'Underlying Mechanics'!$B$18,0)</x:f>
        <x:v>97500</x:v>
      </x:c>
      <x:c r="V21" t="n">
        <x:f>((IF(V$1-'Underlying Mechanics'!$B$8&lt;0,0,'Underlying Mechanics'!$B$22*'Underlying Mechanics'!$B$15*INDEX('Underlying Mechanics'!$B$31:$B$51,V$1-'Underlying Mechanics'!$B$8+1)*'Underlying Mechanics'!$B$5))*(1-$A21))-IF(V$1=0,'Underlying Mechanics'!$B$23*(1-$B21),0)-IF(V$1&gt;0,'Underlying Mechanics'!$B$22*'Underlying Mechanics'!$B$17,0)-IF(V$1&gt;0,'Underlying Mechanics'!$B$12*'Underlying Mechanics'!$B$18,0)</x:f>
        <x:v>97500</x:v>
      </x:c>
      <x:c r="W21" t="n">
        <x:f>((IF(W$1-'Underlying Mechanics'!$B$8&lt;0,0,'Underlying Mechanics'!$B$22*'Underlying Mechanics'!$B$15*INDEX('Underlying Mechanics'!$B$31:$B$51,W$1-'Underlying Mechanics'!$B$8+1)*'Underlying Mechanics'!$B$5))*(1-$A21))-IF(W$1=0,'Underlying Mechanics'!$B$23*(1-$B21),0)-IF(W$1&gt;0,'Underlying Mechanics'!$B$22*'Underlying Mechanics'!$B$17,0)-IF(W$1&gt;0,'Underlying Mechanics'!$B$12*'Underlying Mechanics'!$B$18,0)</x:f>
        <x:v>97500</x:v>
      </x:c>
      <x:c r="X21" t="n">
        <x:f>IFERROR(IRR(C21:W21),-1)</x:f>
        <x:v>0.23395100968669247</x:v>
      </x:c>
    </x:row>
    <x:row r="22">
      <x:c r="A22" t="n">
        <x:v>0</x:v>
      </x:c>
      <x:c r="B22" t="n">
        <x:v>1</x:v>
      </x:c>
      <x:c r="C22" t="n">
        <x:f>((IF(C$1-'Underlying Mechanics'!$B$8&lt;0,0,'Underlying Mechanics'!$B$22*'Underlying Mechanics'!$B$15*INDEX('Underlying Mechanics'!$B$31:$B$51,C$1-'Underlying Mechanics'!$B$8+1)*'Underlying Mechanics'!$B$5))*(1-$A22))-IF(C$1=0,'Underlying Mechanics'!$B$23*(1-$B22),0)-IF(C$1&gt;0,'Underlying Mechanics'!$B$22*'Underlying Mechanics'!$B$17,0)-IF(C$1&gt;0,'Underlying Mechanics'!$B$12*'Underlying Mechanics'!$B$18,0)</x:f>
        <x:v>0</x:v>
      </x:c>
      <x:c r="D22" t="n">
        <x:f>((IF(D$1-'Underlying Mechanics'!$B$8&lt;0,0,'Underlying Mechanics'!$B$22*'Underlying Mechanics'!$B$15*INDEX('Underlying Mechanics'!$B$31:$B$51,D$1-'Underlying Mechanics'!$B$8+1)*'Underlying Mechanics'!$B$5))*(1-$A22))-IF(D$1=0,'Underlying Mechanics'!$B$23*(1-$B22),0)-IF(D$1&gt;0,'Underlying Mechanics'!$B$22*'Underlying Mechanics'!$B$17,0)-IF(D$1&gt;0,'Underlying Mechanics'!$B$12*'Underlying Mechanics'!$B$18,0)</x:f>
        <x:v>-22500</x:v>
      </x:c>
      <x:c r="E22" t="n">
        <x:f>((IF(E$1-'Underlying Mechanics'!$B$8&lt;0,0,'Underlying Mechanics'!$B$22*'Underlying Mechanics'!$B$15*INDEX('Underlying Mechanics'!$B$31:$B$51,E$1-'Underlying Mechanics'!$B$8+1)*'Underlying Mechanics'!$B$5))*(1-$A22))-IF(E$1=0,'Underlying Mechanics'!$B$23*(1-$B22),0)-IF(E$1&gt;0,'Underlying Mechanics'!$B$22*'Underlying Mechanics'!$B$17,0)-IF(E$1&gt;0,'Underlying Mechanics'!$B$12*'Underlying Mechanics'!$B$18,0)</x:f>
        <x:v>-22500</x:v>
      </x:c>
      <x:c r="F22" t="n">
        <x:f>((IF(F$1-'Underlying Mechanics'!$B$8&lt;0,0,'Underlying Mechanics'!$B$22*'Underlying Mechanics'!$B$15*INDEX('Underlying Mechanics'!$B$31:$B$51,F$1-'Underlying Mechanics'!$B$8+1)*'Underlying Mechanics'!$B$5))*(1-$A22))-IF(F$1=0,'Underlying Mechanics'!$B$23*(1-$B22),0)-IF(F$1&gt;0,'Underlying Mechanics'!$B$22*'Underlying Mechanics'!$B$17,0)-IF(F$1&gt;0,'Underlying Mechanics'!$B$12*'Underlying Mechanics'!$B$18,0)</x:f>
        <x:v>-20100</x:v>
      </x:c>
      <x:c r="G22" t="n">
        <x:f>((IF(G$1-'Underlying Mechanics'!$B$8&lt;0,0,'Underlying Mechanics'!$B$22*'Underlying Mechanics'!$B$15*INDEX('Underlying Mechanics'!$B$31:$B$51,G$1-'Underlying Mechanics'!$B$8+1)*'Underlying Mechanics'!$B$5))*(1-$A22))-IF(G$1=0,'Underlying Mechanics'!$B$23*(1-$B22),0)-IF(G$1&gt;0,'Underlying Mechanics'!$B$22*'Underlying Mechanics'!$B$17,0)-IF(G$1&gt;0,'Underlying Mechanics'!$B$12*'Underlying Mechanics'!$B$18,0)</x:f>
        <x:v>-16500</x:v>
      </x:c>
      <x:c r="H22" t="n">
        <x:f>((IF(H$1-'Underlying Mechanics'!$B$8&lt;0,0,'Underlying Mechanics'!$B$22*'Underlying Mechanics'!$B$15*INDEX('Underlying Mechanics'!$B$31:$B$51,H$1-'Underlying Mechanics'!$B$8+1)*'Underlying Mechanics'!$B$5))*(1-$A22))-IF(H$1=0,'Underlying Mechanics'!$B$23*(1-$B22),0)-IF(H$1&gt;0,'Underlying Mechanics'!$B$22*'Underlying Mechanics'!$B$17,0)-IF(H$1&gt;0,'Underlying Mechanics'!$B$12*'Underlying Mechanics'!$B$18,0)</x:f>
        <x:v>-10500</x:v>
      </x:c>
      <x:c r="I22" t="n">
        <x:f>((IF(I$1-'Underlying Mechanics'!$B$8&lt;0,0,'Underlying Mechanics'!$B$22*'Underlying Mechanics'!$B$15*INDEX('Underlying Mechanics'!$B$31:$B$51,I$1-'Underlying Mechanics'!$B$8+1)*'Underlying Mechanics'!$B$5))*(1-$A22))-IF(I$1=0,'Underlying Mechanics'!$B$23*(1-$B22),0)-IF(I$1&gt;0,'Underlying Mechanics'!$B$22*'Underlying Mechanics'!$B$17,0)-IF(I$1&gt;0,'Underlying Mechanics'!$B$12*'Underlying Mechanics'!$B$18,0)</x:f>
        <x:v>-900</x:v>
      </x:c>
      <x:c r="J22" t="n">
        <x:f>((IF(J$1-'Underlying Mechanics'!$B$8&lt;0,0,'Underlying Mechanics'!$B$22*'Underlying Mechanics'!$B$15*INDEX('Underlying Mechanics'!$B$31:$B$51,J$1-'Underlying Mechanics'!$B$8+1)*'Underlying Mechanics'!$B$5))*(1-$A22))-IF(J$1=0,'Underlying Mechanics'!$B$23*(1-$B22),0)-IF(J$1&gt;0,'Underlying Mechanics'!$B$22*'Underlying Mechanics'!$B$17,0)-IF(J$1&gt;0,'Underlying Mechanics'!$B$12*'Underlying Mechanics'!$B$18,0)</x:f>
        <x:v>11100.000000000007</x:v>
      </x:c>
      <x:c r="K22" t="n">
        <x:f>((IF(K$1-'Underlying Mechanics'!$B$8&lt;0,0,'Underlying Mechanics'!$B$22*'Underlying Mechanics'!$B$15*INDEX('Underlying Mechanics'!$B$31:$B$51,K$1-'Underlying Mechanics'!$B$8+1)*'Underlying Mechanics'!$B$5))*(1-$A22))-IF(K$1=0,'Underlying Mechanics'!$B$23*(1-$B22),0)-IF(K$1&gt;0,'Underlying Mechanics'!$B$22*'Underlying Mechanics'!$B$17,0)-IF(K$1&gt;0,'Underlying Mechanics'!$B$12*'Underlying Mechanics'!$B$18,0)</x:f>
        <x:v>25500</x:v>
      </x:c>
      <x:c r="L22" t="n">
        <x:f>((IF(L$1-'Underlying Mechanics'!$B$8&lt;0,0,'Underlying Mechanics'!$B$22*'Underlying Mechanics'!$B$15*INDEX('Underlying Mechanics'!$B$31:$B$51,L$1-'Underlying Mechanics'!$B$8+1)*'Underlying Mechanics'!$B$5))*(1-$A22))-IF(L$1=0,'Underlying Mechanics'!$B$23*(1-$B22),0)-IF(L$1&gt;0,'Underlying Mechanics'!$B$22*'Underlying Mechanics'!$B$17,0)-IF(L$1&gt;0,'Underlying Mechanics'!$B$12*'Underlying Mechanics'!$B$18,0)</x:f>
        <x:v>42300</x:v>
      </x:c>
      <x:c r="M22" t="n">
        <x:f>((IF(M$1-'Underlying Mechanics'!$B$8&lt;0,0,'Underlying Mechanics'!$B$22*'Underlying Mechanics'!$B$15*INDEX('Underlying Mechanics'!$B$31:$B$51,M$1-'Underlying Mechanics'!$B$8+1)*'Underlying Mechanics'!$B$5))*(1-$A22))-IF(M$1=0,'Underlying Mechanics'!$B$23*(1-$B22),0)-IF(M$1&gt;0,'Underlying Mechanics'!$B$22*'Underlying Mechanics'!$B$17,0)-IF(M$1&gt;0,'Underlying Mechanics'!$B$12*'Underlying Mechanics'!$B$18,0)</x:f>
        <x:v>59100.000000000015</x:v>
      </x:c>
      <x:c r="N22" t="n">
        <x:f>((IF(N$1-'Underlying Mechanics'!$B$8&lt;0,0,'Underlying Mechanics'!$B$22*'Underlying Mechanics'!$B$15*INDEX('Underlying Mechanics'!$B$31:$B$51,N$1-'Underlying Mechanics'!$B$8+1)*'Underlying Mechanics'!$B$5))*(1-$A22))-IF(N$1=0,'Underlying Mechanics'!$B$23*(1-$B22),0)-IF(N$1&gt;0,'Underlying Mechanics'!$B$22*'Underlying Mechanics'!$B$17,0)-IF(N$1&gt;0,'Underlying Mechanics'!$B$12*'Underlying Mechanics'!$B$18,0)</x:f>
        <x:v>73500</x:v>
      </x:c>
      <x:c r="O22" t="n">
        <x:f>((IF(O$1-'Underlying Mechanics'!$B$8&lt;0,0,'Underlying Mechanics'!$B$22*'Underlying Mechanics'!$B$15*INDEX('Underlying Mechanics'!$B$31:$B$51,O$1-'Underlying Mechanics'!$B$8+1)*'Underlying Mechanics'!$B$5))*(1-$A22))-IF(O$1=0,'Underlying Mechanics'!$B$23*(1-$B22),0)-IF(O$1&gt;0,'Underlying Mechanics'!$B$22*'Underlying Mechanics'!$B$17,0)-IF(O$1&gt;0,'Underlying Mechanics'!$B$12*'Underlying Mechanics'!$B$18,0)</x:f>
        <x:v>85500</x:v>
      </x:c>
      <x:c r="P22" t="n">
        <x:f>((IF(P$1-'Underlying Mechanics'!$B$8&lt;0,0,'Underlying Mechanics'!$B$22*'Underlying Mechanics'!$B$15*INDEX('Underlying Mechanics'!$B$31:$B$51,P$1-'Underlying Mechanics'!$B$8+1)*'Underlying Mechanics'!$B$5))*(1-$A22))-IF(P$1=0,'Underlying Mechanics'!$B$23*(1-$B22),0)-IF(P$1&gt;0,'Underlying Mechanics'!$B$22*'Underlying Mechanics'!$B$17,0)-IF(P$1&gt;0,'Underlying Mechanics'!$B$12*'Underlying Mechanics'!$B$18,0)</x:f>
        <x:v>97500</x:v>
      </x:c>
      <x:c r="Q22" t="n">
        <x:f>((IF(Q$1-'Underlying Mechanics'!$B$8&lt;0,0,'Underlying Mechanics'!$B$22*'Underlying Mechanics'!$B$15*INDEX('Underlying Mechanics'!$B$31:$B$51,Q$1-'Underlying Mechanics'!$B$8+1)*'Underlying Mechanics'!$B$5))*(1-$A22))-IF(Q$1=0,'Underlying Mechanics'!$B$23*(1-$B22),0)-IF(Q$1&gt;0,'Underlying Mechanics'!$B$22*'Underlying Mechanics'!$B$17,0)-IF(Q$1&gt;0,'Underlying Mechanics'!$B$12*'Underlying Mechanics'!$B$18,0)</x:f>
        <x:v>97500</x:v>
      </x:c>
      <x:c r="R22" t="n">
        <x:f>((IF(R$1-'Underlying Mechanics'!$B$8&lt;0,0,'Underlying Mechanics'!$B$22*'Underlying Mechanics'!$B$15*INDEX('Underlying Mechanics'!$B$31:$B$51,R$1-'Underlying Mechanics'!$B$8+1)*'Underlying Mechanics'!$B$5))*(1-$A22))-IF(R$1=0,'Underlying Mechanics'!$B$23*(1-$B22),0)-IF(R$1&gt;0,'Underlying Mechanics'!$B$22*'Underlying Mechanics'!$B$17,0)-IF(R$1&gt;0,'Underlying Mechanics'!$B$12*'Underlying Mechanics'!$B$18,0)</x:f>
        <x:v>97500</x:v>
      </x:c>
      <x:c r="S22" t="n">
        <x:f>((IF(S$1-'Underlying Mechanics'!$B$8&lt;0,0,'Underlying Mechanics'!$B$22*'Underlying Mechanics'!$B$15*INDEX('Underlying Mechanics'!$B$31:$B$51,S$1-'Underlying Mechanics'!$B$8+1)*'Underlying Mechanics'!$B$5))*(1-$A22))-IF(S$1=0,'Underlying Mechanics'!$B$23*(1-$B22),0)-IF(S$1&gt;0,'Underlying Mechanics'!$B$22*'Underlying Mechanics'!$B$17,0)-IF(S$1&gt;0,'Underlying Mechanics'!$B$12*'Underlying Mechanics'!$B$18,0)</x:f>
        <x:v>97500</x:v>
      </x:c>
      <x:c r="T22" t="n">
        <x:f>((IF(T$1-'Underlying Mechanics'!$B$8&lt;0,0,'Underlying Mechanics'!$B$22*'Underlying Mechanics'!$B$15*INDEX('Underlying Mechanics'!$B$31:$B$51,T$1-'Underlying Mechanics'!$B$8+1)*'Underlying Mechanics'!$B$5))*(1-$A22))-IF(T$1=0,'Underlying Mechanics'!$B$23*(1-$B22),0)-IF(T$1&gt;0,'Underlying Mechanics'!$B$22*'Underlying Mechanics'!$B$17,0)-IF(T$1&gt;0,'Underlying Mechanics'!$B$12*'Underlying Mechanics'!$B$18,0)</x:f>
        <x:v>97500</x:v>
      </x:c>
      <x:c r="U22" t="n">
        <x:f>((IF(U$1-'Underlying Mechanics'!$B$8&lt;0,0,'Underlying Mechanics'!$B$22*'Underlying Mechanics'!$B$15*INDEX('Underlying Mechanics'!$B$31:$B$51,U$1-'Underlying Mechanics'!$B$8+1)*'Underlying Mechanics'!$B$5))*(1-$A22))-IF(U$1=0,'Underlying Mechanics'!$B$23*(1-$B22),0)-IF(U$1&gt;0,'Underlying Mechanics'!$B$22*'Underlying Mechanics'!$B$17,0)-IF(U$1&gt;0,'Underlying Mechanics'!$B$12*'Underlying Mechanics'!$B$18,0)</x:f>
        <x:v>97500</x:v>
      </x:c>
      <x:c r="V22" t="n">
        <x:f>((IF(V$1-'Underlying Mechanics'!$B$8&lt;0,0,'Underlying Mechanics'!$B$22*'Underlying Mechanics'!$B$15*INDEX('Underlying Mechanics'!$B$31:$B$51,V$1-'Underlying Mechanics'!$B$8+1)*'Underlying Mechanics'!$B$5))*(1-$A22))-IF(V$1=0,'Underlying Mechanics'!$B$23*(1-$B22),0)-IF(V$1&gt;0,'Underlying Mechanics'!$B$22*'Underlying Mechanics'!$B$17,0)-IF(V$1&gt;0,'Underlying Mechanics'!$B$12*'Underlying Mechanics'!$B$18,0)</x:f>
        <x:v>97500</x:v>
      </x:c>
      <x:c r="W22" t="n">
        <x:f>((IF(W$1-'Underlying Mechanics'!$B$8&lt;0,0,'Underlying Mechanics'!$B$22*'Underlying Mechanics'!$B$15*INDEX('Underlying Mechanics'!$B$31:$B$51,W$1-'Underlying Mechanics'!$B$8+1)*'Underlying Mechanics'!$B$5))*(1-$A22))-IF(W$1=0,'Underlying Mechanics'!$B$23*(1-$B22),0)-IF(W$1&gt;0,'Underlying Mechanics'!$B$22*'Underlying Mechanics'!$B$17,0)-IF(W$1&gt;0,'Underlying Mechanics'!$B$12*'Underlying Mechanics'!$B$18,0)</x:f>
        <x:v>97500</x:v>
      </x:c>
      <x:c r="X22" t="n">
        <x:f>IFERROR(IRR(C22:W22),-1)</x:f>
        <x:v>0.24999143352518238</x:v>
      </x:c>
    </x:row>
    <x:row r="23">
      <x:c r="A23" t="n">
        <x:v>0.1</x:v>
      </x:c>
      <x:c r="B23" t="n">
        <x:v>0</x:v>
      </x:c>
      <x:c r="C23" t="n">
        <x:f>((IF(C$1-'Underlying Mechanics'!$B$8&lt;0,0,'Underlying Mechanics'!$B$22*'Underlying Mechanics'!$B$15*INDEX('Underlying Mechanics'!$B$31:$B$51,C$1-'Underlying Mechanics'!$B$8+1)*'Underlying Mechanics'!$B$5))*(1-$A23))-IF(C$1=0,'Underlying Mechanics'!$B$23*(1-$B23),0)-IF(C$1&gt;0,'Underlying Mechanics'!$B$22*'Underlying Mechanics'!$B$17,0)-IF(C$1&gt;0,'Underlying Mechanics'!$B$12*'Underlying Mechanics'!$B$18,0)</x:f>
        <x:v>-150000</x:v>
      </x:c>
      <x:c r="D23" t="n">
        <x:f>((IF(D$1-'Underlying Mechanics'!$B$8&lt;0,0,'Underlying Mechanics'!$B$22*'Underlying Mechanics'!$B$15*INDEX('Underlying Mechanics'!$B$31:$B$51,D$1-'Underlying Mechanics'!$B$8+1)*'Underlying Mechanics'!$B$5))*(1-$A23))-IF(D$1=0,'Underlying Mechanics'!$B$23*(1-$B23),0)-IF(D$1&gt;0,'Underlying Mechanics'!$B$22*'Underlying Mechanics'!$B$17,0)-IF(D$1&gt;0,'Underlying Mechanics'!$B$12*'Underlying Mechanics'!$B$18,0)</x:f>
        <x:v>-22500</x:v>
      </x:c>
      <x:c r="E23" t="n">
        <x:f>((IF(E$1-'Underlying Mechanics'!$B$8&lt;0,0,'Underlying Mechanics'!$B$22*'Underlying Mechanics'!$B$15*INDEX('Underlying Mechanics'!$B$31:$B$51,E$1-'Underlying Mechanics'!$B$8+1)*'Underlying Mechanics'!$B$5))*(1-$A23))-IF(E$1=0,'Underlying Mechanics'!$B$23*(1-$B23),0)-IF(E$1&gt;0,'Underlying Mechanics'!$B$22*'Underlying Mechanics'!$B$17,0)-IF(E$1&gt;0,'Underlying Mechanics'!$B$12*'Underlying Mechanics'!$B$18,0)</x:f>
        <x:v>-22500</x:v>
      </x:c>
      <x:c r="F23" t="n">
        <x:f>((IF(F$1-'Underlying Mechanics'!$B$8&lt;0,0,'Underlying Mechanics'!$B$22*'Underlying Mechanics'!$B$15*INDEX('Underlying Mechanics'!$B$31:$B$51,F$1-'Underlying Mechanics'!$B$8+1)*'Underlying Mechanics'!$B$5))*(1-$A23))-IF(F$1=0,'Underlying Mechanics'!$B$23*(1-$B23),0)-IF(F$1&gt;0,'Underlying Mechanics'!$B$22*'Underlying Mechanics'!$B$17,0)-IF(F$1&gt;0,'Underlying Mechanics'!$B$12*'Underlying Mechanics'!$B$18,0)</x:f>
        <x:v>-20340</x:v>
      </x:c>
      <x:c r="G23" t="n">
        <x:f>((IF(G$1-'Underlying Mechanics'!$B$8&lt;0,0,'Underlying Mechanics'!$B$22*'Underlying Mechanics'!$B$15*INDEX('Underlying Mechanics'!$B$31:$B$51,G$1-'Underlying Mechanics'!$B$8+1)*'Underlying Mechanics'!$B$5))*(1-$A23))-IF(G$1=0,'Underlying Mechanics'!$B$23*(1-$B23),0)-IF(G$1&gt;0,'Underlying Mechanics'!$B$22*'Underlying Mechanics'!$B$17,0)-IF(G$1&gt;0,'Underlying Mechanics'!$B$12*'Underlying Mechanics'!$B$18,0)</x:f>
        <x:v>-17100</x:v>
      </x:c>
      <x:c r="H23" t="n">
        <x:f>((IF(H$1-'Underlying Mechanics'!$B$8&lt;0,0,'Underlying Mechanics'!$B$22*'Underlying Mechanics'!$B$15*INDEX('Underlying Mechanics'!$B$31:$B$51,H$1-'Underlying Mechanics'!$B$8+1)*'Underlying Mechanics'!$B$5))*(1-$A23))-IF(H$1=0,'Underlying Mechanics'!$B$23*(1-$B23),0)-IF(H$1&gt;0,'Underlying Mechanics'!$B$22*'Underlying Mechanics'!$B$17,0)-IF(H$1&gt;0,'Underlying Mechanics'!$B$12*'Underlying Mechanics'!$B$18,0)</x:f>
        <x:v>-11700</x:v>
      </x:c>
      <x:c r="I23" t="n">
        <x:f>((IF(I$1-'Underlying Mechanics'!$B$8&lt;0,0,'Underlying Mechanics'!$B$22*'Underlying Mechanics'!$B$15*INDEX('Underlying Mechanics'!$B$31:$B$51,I$1-'Underlying Mechanics'!$B$8+1)*'Underlying Mechanics'!$B$5))*(1-$A23))-IF(I$1=0,'Underlying Mechanics'!$B$23*(1-$B23),0)-IF(I$1&gt;0,'Underlying Mechanics'!$B$22*'Underlying Mechanics'!$B$17,0)-IF(I$1&gt;0,'Underlying Mechanics'!$B$12*'Underlying Mechanics'!$B$18,0)</x:f>
        <x:v>-3060</x:v>
      </x:c>
      <x:c r="J23" t="n">
        <x:f>((IF(J$1-'Underlying Mechanics'!$B$8&lt;0,0,'Underlying Mechanics'!$B$22*'Underlying Mechanics'!$B$15*INDEX('Underlying Mechanics'!$B$31:$B$51,J$1-'Underlying Mechanics'!$B$8+1)*'Underlying Mechanics'!$B$5))*(1-$A23))-IF(J$1=0,'Underlying Mechanics'!$B$23*(1-$B23),0)-IF(J$1&gt;0,'Underlying Mechanics'!$B$22*'Underlying Mechanics'!$B$17,0)-IF(J$1&gt;0,'Underlying Mechanics'!$B$12*'Underlying Mechanics'!$B$18,0)</x:f>
        <x:v>7740.000000000007</x:v>
      </x:c>
      <x:c r="K23" t="n">
        <x:f>((IF(K$1-'Underlying Mechanics'!$B$8&lt;0,0,'Underlying Mechanics'!$B$22*'Underlying Mechanics'!$B$15*INDEX('Underlying Mechanics'!$B$31:$B$51,K$1-'Underlying Mechanics'!$B$8+1)*'Underlying Mechanics'!$B$5))*(1-$A23))-IF(K$1=0,'Underlying Mechanics'!$B$23*(1-$B23),0)-IF(K$1&gt;0,'Underlying Mechanics'!$B$22*'Underlying Mechanics'!$B$17,0)-IF(K$1&gt;0,'Underlying Mechanics'!$B$12*'Underlying Mechanics'!$B$18,0)</x:f>
        <x:v>20700</x:v>
      </x:c>
      <x:c r="L23" t="n">
        <x:f>((IF(L$1-'Underlying Mechanics'!$B$8&lt;0,0,'Underlying Mechanics'!$B$22*'Underlying Mechanics'!$B$15*INDEX('Underlying Mechanics'!$B$31:$B$51,L$1-'Underlying Mechanics'!$B$8+1)*'Underlying Mechanics'!$B$5))*(1-$A23))-IF(L$1=0,'Underlying Mechanics'!$B$23*(1-$B23),0)-IF(L$1&gt;0,'Underlying Mechanics'!$B$22*'Underlying Mechanics'!$B$17,0)-IF(L$1&gt;0,'Underlying Mechanics'!$B$12*'Underlying Mechanics'!$B$18,0)</x:f>
        <x:v>35820</x:v>
      </x:c>
      <x:c r="M23" t="n">
        <x:f>((IF(M$1-'Underlying Mechanics'!$B$8&lt;0,0,'Underlying Mechanics'!$B$22*'Underlying Mechanics'!$B$15*INDEX('Underlying Mechanics'!$B$31:$B$51,M$1-'Underlying Mechanics'!$B$8+1)*'Underlying Mechanics'!$B$5))*(1-$A23))-IF(M$1=0,'Underlying Mechanics'!$B$23*(1-$B23),0)-IF(M$1&gt;0,'Underlying Mechanics'!$B$22*'Underlying Mechanics'!$B$17,0)-IF(M$1&gt;0,'Underlying Mechanics'!$B$12*'Underlying Mechanics'!$B$18,0)</x:f>
        <x:v>50940.000000000015</x:v>
      </x:c>
      <x:c r="N23" t="n">
        <x:f>((IF(N$1-'Underlying Mechanics'!$B$8&lt;0,0,'Underlying Mechanics'!$B$22*'Underlying Mechanics'!$B$15*INDEX('Underlying Mechanics'!$B$31:$B$51,N$1-'Underlying Mechanics'!$B$8+1)*'Underlying Mechanics'!$B$5))*(1-$A23))-IF(N$1=0,'Underlying Mechanics'!$B$23*(1-$B23),0)-IF(N$1&gt;0,'Underlying Mechanics'!$B$22*'Underlying Mechanics'!$B$17,0)-IF(N$1&gt;0,'Underlying Mechanics'!$B$12*'Underlying Mechanics'!$B$18,0)</x:f>
        <x:v>63900</x:v>
      </x:c>
      <x:c r="O23" t="n">
        <x:f>((IF(O$1-'Underlying Mechanics'!$B$8&lt;0,0,'Underlying Mechanics'!$B$22*'Underlying Mechanics'!$B$15*INDEX('Underlying Mechanics'!$B$31:$B$51,O$1-'Underlying Mechanics'!$B$8+1)*'Underlying Mechanics'!$B$5))*(1-$A23))-IF(O$1=0,'Underlying Mechanics'!$B$23*(1-$B23),0)-IF(O$1&gt;0,'Underlying Mechanics'!$B$22*'Underlying Mechanics'!$B$17,0)-IF(O$1&gt;0,'Underlying Mechanics'!$B$12*'Underlying Mechanics'!$B$18,0)</x:f>
        <x:v>74700</x:v>
      </x:c>
      <x:c r="P23" t="n">
        <x:f>((IF(P$1-'Underlying Mechanics'!$B$8&lt;0,0,'Underlying Mechanics'!$B$22*'Underlying Mechanics'!$B$15*INDEX('Underlying Mechanics'!$B$31:$B$51,P$1-'Underlying Mechanics'!$B$8+1)*'Underlying Mechanics'!$B$5))*(1-$A23))-IF(P$1=0,'Underlying Mechanics'!$B$23*(1-$B23),0)-IF(P$1&gt;0,'Underlying Mechanics'!$B$22*'Underlying Mechanics'!$B$17,0)-IF(P$1&gt;0,'Underlying Mechanics'!$B$12*'Underlying Mechanics'!$B$18,0)</x:f>
        <x:v>85500</x:v>
      </x:c>
      <x:c r="Q23" t="n">
        <x:f>((IF(Q$1-'Underlying Mechanics'!$B$8&lt;0,0,'Underlying Mechanics'!$B$22*'Underlying Mechanics'!$B$15*INDEX('Underlying Mechanics'!$B$31:$B$51,Q$1-'Underlying Mechanics'!$B$8+1)*'Underlying Mechanics'!$B$5))*(1-$A23))-IF(Q$1=0,'Underlying Mechanics'!$B$23*(1-$B23),0)-IF(Q$1&gt;0,'Underlying Mechanics'!$B$22*'Underlying Mechanics'!$B$17,0)-IF(Q$1&gt;0,'Underlying Mechanics'!$B$12*'Underlying Mechanics'!$B$18,0)</x:f>
        <x:v>85500</x:v>
      </x:c>
      <x:c r="R23" t="n">
        <x:f>((IF(R$1-'Underlying Mechanics'!$B$8&lt;0,0,'Underlying Mechanics'!$B$22*'Underlying Mechanics'!$B$15*INDEX('Underlying Mechanics'!$B$31:$B$51,R$1-'Underlying Mechanics'!$B$8+1)*'Underlying Mechanics'!$B$5))*(1-$A23))-IF(R$1=0,'Underlying Mechanics'!$B$23*(1-$B23),0)-IF(R$1&gt;0,'Underlying Mechanics'!$B$22*'Underlying Mechanics'!$B$17,0)-IF(R$1&gt;0,'Underlying Mechanics'!$B$12*'Underlying Mechanics'!$B$18,0)</x:f>
        <x:v>85500</x:v>
      </x:c>
      <x:c r="S23" t="n">
        <x:f>((IF(S$1-'Underlying Mechanics'!$B$8&lt;0,0,'Underlying Mechanics'!$B$22*'Underlying Mechanics'!$B$15*INDEX('Underlying Mechanics'!$B$31:$B$51,S$1-'Underlying Mechanics'!$B$8+1)*'Underlying Mechanics'!$B$5))*(1-$A23))-IF(S$1=0,'Underlying Mechanics'!$B$23*(1-$B23),0)-IF(S$1&gt;0,'Underlying Mechanics'!$B$22*'Underlying Mechanics'!$B$17,0)-IF(S$1&gt;0,'Underlying Mechanics'!$B$12*'Underlying Mechanics'!$B$18,0)</x:f>
        <x:v>85500</x:v>
      </x:c>
      <x:c r="T23" t="n">
        <x:f>((IF(T$1-'Underlying Mechanics'!$B$8&lt;0,0,'Underlying Mechanics'!$B$22*'Underlying Mechanics'!$B$15*INDEX('Underlying Mechanics'!$B$31:$B$51,T$1-'Underlying Mechanics'!$B$8+1)*'Underlying Mechanics'!$B$5))*(1-$A23))-IF(T$1=0,'Underlying Mechanics'!$B$23*(1-$B23),0)-IF(T$1&gt;0,'Underlying Mechanics'!$B$22*'Underlying Mechanics'!$B$17,0)-IF(T$1&gt;0,'Underlying Mechanics'!$B$12*'Underlying Mechanics'!$B$18,0)</x:f>
        <x:v>85500</x:v>
      </x:c>
      <x:c r="U23" t="n">
        <x:f>((IF(U$1-'Underlying Mechanics'!$B$8&lt;0,0,'Underlying Mechanics'!$B$22*'Underlying Mechanics'!$B$15*INDEX('Underlying Mechanics'!$B$31:$B$51,U$1-'Underlying Mechanics'!$B$8+1)*'Underlying Mechanics'!$B$5))*(1-$A23))-IF(U$1=0,'Underlying Mechanics'!$B$23*(1-$B23),0)-IF(U$1&gt;0,'Underlying Mechanics'!$B$22*'Underlying Mechanics'!$B$17,0)-IF(U$1&gt;0,'Underlying Mechanics'!$B$12*'Underlying Mechanics'!$B$18,0)</x:f>
        <x:v>85500</x:v>
      </x:c>
      <x:c r="V23" t="n">
        <x:f>((IF(V$1-'Underlying Mechanics'!$B$8&lt;0,0,'Underlying Mechanics'!$B$22*'Underlying Mechanics'!$B$15*INDEX('Underlying Mechanics'!$B$31:$B$51,V$1-'Underlying Mechanics'!$B$8+1)*'Underlying Mechanics'!$B$5))*(1-$A23))-IF(V$1=0,'Underlying Mechanics'!$B$23*(1-$B23),0)-IF(V$1&gt;0,'Underlying Mechanics'!$B$22*'Underlying Mechanics'!$B$17,0)-IF(V$1&gt;0,'Underlying Mechanics'!$B$12*'Underlying Mechanics'!$B$18,0)</x:f>
        <x:v>85500</x:v>
      </x:c>
      <x:c r="W23" t="n">
        <x:f>((IF(W$1-'Underlying Mechanics'!$B$8&lt;0,0,'Underlying Mechanics'!$B$22*'Underlying Mechanics'!$B$15*INDEX('Underlying Mechanics'!$B$31:$B$51,W$1-'Underlying Mechanics'!$B$8+1)*'Underlying Mechanics'!$B$5))*(1-$A23))-IF(W$1=0,'Underlying Mechanics'!$B$23*(1-$B23),0)-IF(W$1&gt;0,'Underlying Mechanics'!$B$22*'Underlying Mechanics'!$B$17,0)-IF(W$1&gt;0,'Underlying Mechanics'!$B$12*'Underlying Mechanics'!$B$18,0)</x:f>
        <x:v>85500</x:v>
      </x:c>
      <x:c r="X23" t="n">
        <x:f>IFERROR(IRR(C23:W23),-1)</x:f>
        <x:v>0.10554269353604391</x:v>
      </x:c>
    </x:row>
    <x:row r="24">
      <x:c r="A24" t="n">
        <x:v>0.1</x:v>
      </x:c>
      <x:c r="B24" t="n">
        <x:v>0.05</x:v>
      </x:c>
      <x:c r="C24" t="n">
        <x:f>((IF(C$1-'Underlying Mechanics'!$B$8&lt;0,0,'Underlying Mechanics'!$B$22*'Underlying Mechanics'!$B$15*INDEX('Underlying Mechanics'!$B$31:$B$51,C$1-'Underlying Mechanics'!$B$8+1)*'Underlying Mechanics'!$B$5))*(1-$A24))-IF(C$1=0,'Underlying Mechanics'!$B$23*(1-$B24),0)-IF(C$1&gt;0,'Underlying Mechanics'!$B$22*'Underlying Mechanics'!$B$17,0)-IF(C$1&gt;0,'Underlying Mechanics'!$B$12*'Underlying Mechanics'!$B$18,0)</x:f>
        <x:v>-142500</x:v>
      </x:c>
      <x:c r="D24" t="n">
        <x:f>((IF(D$1-'Underlying Mechanics'!$B$8&lt;0,0,'Underlying Mechanics'!$B$22*'Underlying Mechanics'!$B$15*INDEX('Underlying Mechanics'!$B$31:$B$51,D$1-'Underlying Mechanics'!$B$8+1)*'Underlying Mechanics'!$B$5))*(1-$A24))-IF(D$1=0,'Underlying Mechanics'!$B$23*(1-$B24),0)-IF(D$1&gt;0,'Underlying Mechanics'!$B$22*'Underlying Mechanics'!$B$17,0)-IF(D$1&gt;0,'Underlying Mechanics'!$B$12*'Underlying Mechanics'!$B$18,0)</x:f>
        <x:v>-22500</x:v>
      </x:c>
      <x:c r="E24" t="n">
        <x:f>((IF(E$1-'Underlying Mechanics'!$B$8&lt;0,0,'Underlying Mechanics'!$B$22*'Underlying Mechanics'!$B$15*INDEX('Underlying Mechanics'!$B$31:$B$51,E$1-'Underlying Mechanics'!$B$8+1)*'Underlying Mechanics'!$B$5))*(1-$A24))-IF(E$1=0,'Underlying Mechanics'!$B$23*(1-$B24),0)-IF(E$1&gt;0,'Underlying Mechanics'!$B$22*'Underlying Mechanics'!$B$17,0)-IF(E$1&gt;0,'Underlying Mechanics'!$B$12*'Underlying Mechanics'!$B$18,0)</x:f>
        <x:v>-22500</x:v>
      </x:c>
      <x:c r="F24" t="n">
        <x:f>((IF(F$1-'Underlying Mechanics'!$B$8&lt;0,0,'Underlying Mechanics'!$B$22*'Underlying Mechanics'!$B$15*INDEX('Underlying Mechanics'!$B$31:$B$51,F$1-'Underlying Mechanics'!$B$8+1)*'Underlying Mechanics'!$B$5))*(1-$A24))-IF(F$1=0,'Underlying Mechanics'!$B$23*(1-$B24),0)-IF(F$1&gt;0,'Underlying Mechanics'!$B$22*'Underlying Mechanics'!$B$17,0)-IF(F$1&gt;0,'Underlying Mechanics'!$B$12*'Underlying Mechanics'!$B$18,0)</x:f>
        <x:v>-20340</x:v>
      </x:c>
      <x:c r="G24" t="n">
        <x:f>((IF(G$1-'Underlying Mechanics'!$B$8&lt;0,0,'Underlying Mechanics'!$B$22*'Underlying Mechanics'!$B$15*INDEX('Underlying Mechanics'!$B$31:$B$51,G$1-'Underlying Mechanics'!$B$8+1)*'Underlying Mechanics'!$B$5))*(1-$A24))-IF(G$1=0,'Underlying Mechanics'!$B$23*(1-$B24),0)-IF(G$1&gt;0,'Underlying Mechanics'!$B$22*'Underlying Mechanics'!$B$17,0)-IF(G$1&gt;0,'Underlying Mechanics'!$B$12*'Underlying Mechanics'!$B$18,0)</x:f>
        <x:v>-17100</x:v>
      </x:c>
      <x:c r="H24" t="n">
        <x:f>((IF(H$1-'Underlying Mechanics'!$B$8&lt;0,0,'Underlying Mechanics'!$B$22*'Underlying Mechanics'!$B$15*INDEX('Underlying Mechanics'!$B$31:$B$51,H$1-'Underlying Mechanics'!$B$8+1)*'Underlying Mechanics'!$B$5))*(1-$A24))-IF(H$1=0,'Underlying Mechanics'!$B$23*(1-$B24),0)-IF(H$1&gt;0,'Underlying Mechanics'!$B$22*'Underlying Mechanics'!$B$17,0)-IF(H$1&gt;0,'Underlying Mechanics'!$B$12*'Underlying Mechanics'!$B$18,0)</x:f>
        <x:v>-11700</x:v>
      </x:c>
      <x:c r="I24" t="n">
        <x:f>((IF(I$1-'Underlying Mechanics'!$B$8&lt;0,0,'Underlying Mechanics'!$B$22*'Underlying Mechanics'!$B$15*INDEX('Underlying Mechanics'!$B$31:$B$51,I$1-'Underlying Mechanics'!$B$8+1)*'Underlying Mechanics'!$B$5))*(1-$A24))-IF(I$1=0,'Underlying Mechanics'!$B$23*(1-$B24),0)-IF(I$1&gt;0,'Underlying Mechanics'!$B$22*'Underlying Mechanics'!$B$17,0)-IF(I$1&gt;0,'Underlying Mechanics'!$B$12*'Underlying Mechanics'!$B$18,0)</x:f>
        <x:v>-3060</x:v>
      </x:c>
      <x:c r="J24" t="n">
        <x:f>((IF(J$1-'Underlying Mechanics'!$B$8&lt;0,0,'Underlying Mechanics'!$B$22*'Underlying Mechanics'!$B$15*INDEX('Underlying Mechanics'!$B$31:$B$51,J$1-'Underlying Mechanics'!$B$8+1)*'Underlying Mechanics'!$B$5))*(1-$A24))-IF(J$1=0,'Underlying Mechanics'!$B$23*(1-$B24),0)-IF(J$1&gt;0,'Underlying Mechanics'!$B$22*'Underlying Mechanics'!$B$17,0)-IF(J$1&gt;0,'Underlying Mechanics'!$B$12*'Underlying Mechanics'!$B$18,0)</x:f>
        <x:v>7740.000000000007</x:v>
      </x:c>
      <x:c r="K24" t="n">
        <x:f>((IF(K$1-'Underlying Mechanics'!$B$8&lt;0,0,'Underlying Mechanics'!$B$22*'Underlying Mechanics'!$B$15*INDEX('Underlying Mechanics'!$B$31:$B$51,K$1-'Underlying Mechanics'!$B$8+1)*'Underlying Mechanics'!$B$5))*(1-$A24))-IF(K$1=0,'Underlying Mechanics'!$B$23*(1-$B24),0)-IF(K$1&gt;0,'Underlying Mechanics'!$B$22*'Underlying Mechanics'!$B$17,0)-IF(K$1&gt;0,'Underlying Mechanics'!$B$12*'Underlying Mechanics'!$B$18,0)</x:f>
        <x:v>20700</x:v>
      </x:c>
      <x:c r="L24" t="n">
        <x:f>((IF(L$1-'Underlying Mechanics'!$B$8&lt;0,0,'Underlying Mechanics'!$B$22*'Underlying Mechanics'!$B$15*INDEX('Underlying Mechanics'!$B$31:$B$51,L$1-'Underlying Mechanics'!$B$8+1)*'Underlying Mechanics'!$B$5))*(1-$A24))-IF(L$1=0,'Underlying Mechanics'!$B$23*(1-$B24),0)-IF(L$1&gt;0,'Underlying Mechanics'!$B$22*'Underlying Mechanics'!$B$17,0)-IF(L$1&gt;0,'Underlying Mechanics'!$B$12*'Underlying Mechanics'!$B$18,0)</x:f>
        <x:v>35820</x:v>
      </x:c>
      <x:c r="M24" t="n">
        <x:f>((IF(M$1-'Underlying Mechanics'!$B$8&lt;0,0,'Underlying Mechanics'!$B$22*'Underlying Mechanics'!$B$15*INDEX('Underlying Mechanics'!$B$31:$B$51,M$1-'Underlying Mechanics'!$B$8+1)*'Underlying Mechanics'!$B$5))*(1-$A24))-IF(M$1=0,'Underlying Mechanics'!$B$23*(1-$B24),0)-IF(M$1&gt;0,'Underlying Mechanics'!$B$22*'Underlying Mechanics'!$B$17,0)-IF(M$1&gt;0,'Underlying Mechanics'!$B$12*'Underlying Mechanics'!$B$18,0)</x:f>
        <x:v>50940.000000000015</x:v>
      </x:c>
      <x:c r="N24" t="n">
        <x:f>((IF(N$1-'Underlying Mechanics'!$B$8&lt;0,0,'Underlying Mechanics'!$B$22*'Underlying Mechanics'!$B$15*INDEX('Underlying Mechanics'!$B$31:$B$51,N$1-'Underlying Mechanics'!$B$8+1)*'Underlying Mechanics'!$B$5))*(1-$A24))-IF(N$1=0,'Underlying Mechanics'!$B$23*(1-$B24),0)-IF(N$1&gt;0,'Underlying Mechanics'!$B$22*'Underlying Mechanics'!$B$17,0)-IF(N$1&gt;0,'Underlying Mechanics'!$B$12*'Underlying Mechanics'!$B$18,0)</x:f>
        <x:v>63900</x:v>
      </x:c>
      <x:c r="O24" t="n">
        <x:f>((IF(O$1-'Underlying Mechanics'!$B$8&lt;0,0,'Underlying Mechanics'!$B$22*'Underlying Mechanics'!$B$15*INDEX('Underlying Mechanics'!$B$31:$B$51,O$1-'Underlying Mechanics'!$B$8+1)*'Underlying Mechanics'!$B$5))*(1-$A24))-IF(O$1=0,'Underlying Mechanics'!$B$23*(1-$B24),0)-IF(O$1&gt;0,'Underlying Mechanics'!$B$22*'Underlying Mechanics'!$B$17,0)-IF(O$1&gt;0,'Underlying Mechanics'!$B$12*'Underlying Mechanics'!$B$18,0)</x:f>
        <x:v>74700</x:v>
      </x:c>
      <x:c r="P24" t="n">
        <x:f>((IF(P$1-'Underlying Mechanics'!$B$8&lt;0,0,'Underlying Mechanics'!$B$22*'Underlying Mechanics'!$B$15*INDEX('Underlying Mechanics'!$B$31:$B$51,P$1-'Underlying Mechanics'!$B$8+1)*'Underlying Mechanics'!$B$5))*(1-$A24))-IF(P$1=0,'Underlying Mechanics'!$B$23*(1-$B24),0)-IF(P$1&gt;0,'Underlying Mechanics'!$B$22*'Underlying Mechanics'!$B$17,0)-IF(P$1&gt;0,'Underlying Mechanics'!$B$12*'Underlying Mechanics'!$B$18,0)</x:f>
        <x:v>85500</x:v>
      </x:c>
      <x:c r="Q24" t="n">
        <x:f>((IF(Q$1-'Underlying Mechanics'!$B$8&lt;0,0,'Underlying Mechanics'!$B$22*'Underlying Mechanics'!$B$15*INDEX('Underlying Mechanics'!$B$31:$B$51,Q$1-'Underlying Mechanics'!$B$8+1)*'Underlying Mechanics'!$B$5))*(1-$A24))-IF(Q$1=0,'Underlying Mechanics'!$B$23*(1-$B24),0)-IF(Q$1&gt;0,'Underlying Mechanics'!$B$22*'Underlying Mechanics'!$B$17,0)-IF(Q$1&gt;0,'Underlying Mechanics'!$B$12*'Underlying Mechanics'!$B$18,0)</x:f>
        <x:v>85500</x:v>
      </x:c>
      <x:c r="R24" t="n">
        <x:f>((IF(R$1-'Underlying Mechanics'!$B$8&lt;0,0,'Underlying Mechanics'!$B$22*'Underlying Mechanics'!$B$15*INDEX('Underlying Mechanics'!$B$31:$B$51,R$1-'Underlying Mechanics'!$B$8+1)*'Underlying Mechanics'!$B$5))*(1-$A24))-IF(R$1=0,'Underlying Mechanics'!$B$23*(1-$B24),0)-IF(R$1&gt;0,'Underlying Mechanics'!$B$22*'Underlying Mechanics'!$B$17,0)-IF(R$1&gt;0,'Underlying Mechanics'!$B$12*'Underlying Mechanics'!$B$18,0)</x:f>
        <x:v>85500</x:v>
      </x:c>
      <x:c r="S24" t="n">
        <x:f>((IF(S$1-'Underlying Mechanics'!$B$8&lt;0,0,'Underlying Mechanics'!$B$22*'Underlying Mechanics'!$B$15*INDEX('Underlying Mechanics'!$B$31:$B$51,S$1-'Underlying Mechanics'!$B$8+1)*'Underlying Mechanics'!$B$5))*(1-$A24))-IF(S$1=0,'Underlying Mechanics'!$B$23*(1-$B24),0)-IF(S$1&gt;0,'Underlying Mechanics'!$B$22*'Underlying Mechanics'!$B$17,0)-IF(S$1&gt;0,'Underlying Mechanics'!$B$12*'Underlying Mechanics'!$B$18,0)</x:f>
        <x:v>85500</x:v>
      </x:c>
      <x:c r="T24" t="n">
        <x:f>((IF(T$1-'Underlying Mechanics'!$B$8&lt;0,0,'Underlying Mechanics'!$B$22*'Underlying Mechanics'!$B$15*INDEX('Underlying Mechanics'!$B$31:$B$51,T$1-'Underlying Mechanics'!$B$8+1)*'Underlying Mechanics'!$B$5))*(1-$A24))-IF(T$1=0,'Underlying Mechanics'!$B$23*(1-$B24),0)-IF(T$1&gt;0,'Underlying Mechanics'!$B$22*'Underlying Mechanics'!$B$17,0)-IF(T$1&gt;0,'Underlying Mechanics'!$B$12*'Underlying Mechanics'!$B$18,0)</x:f>
        <x:v>85500</x:v>
      </x:c>
      <x:c r="U24" t="n">
        <x:f>((IF(U$1-'Underlying Mechanics'!$B$8&lt;0,0,'Underlying Mechanics'!$B$22*'Underlying Mechanics'!$B$15*INDEX('Underlying Mechanics'!$B$31:$B$51,U$1-'Underlying Mechanics'!$B$8+1)*'Underlying Mechanics'!$B$5))*(1-$A24))-IF(U$1=0,'Underlying Mechanics'!$B$23*(1-$B24),0)-IF(U$1&gt;0,'Underlying Mechanics'!$B$22*'Underlying Mechanics'!$B$17,0)-IF(U$1&gt;0,'Underlying Mechanics'!$B$12*'Underlying Mechanics'!$B$18,0)</x:f>
        <x:v>85500</x:v>
      </x:c>
      <x:c r="V24" t="n">
        <x:f>((IF(V$1-'Underlying Mechanics'!$B$8&lt;0,0,'Underlying Mechanics'!$B$22*'Underlying Mechanics'!$B$15*INDEX('Underlying Mechanics'!$B$31:$B$51,V$1-'Underlying Mechanics'!$B$8+1)*'Underlying Mechanics'!$B$5))*(1-$A24))-IF(V$1=0,'Underlying Mechanics'!$B$23*(1-$B24),0)-IF(V$1&gt;0,'Underlying Mechanics'!$B$22*'Underlying Mechanics'!$B$17,0)-IF(V$1&gt;0,'Underlying Mechanics'!$B$12*'Underlying Mechanics'!$B$18,0)</x:f>
        <x:v>85500</x:v>
      </x:c>
      <x:c r="W24" t="n">
        <x:f>((IF(W$1-'Underlying Mechanics'!$B$8&lt;0,0,'Underlying Mechanics'!$B$22*'Underlying Mechanics'!$B$15*INDEX('Underlying Mechanics'!$B$31:$B$51,W$1-'Underlying Mechanics'!$B$8+1)*'Underlying Mechanics'!$B$5))*(1-$A24))-IF(W$1=0,'Underlying Mechanics'!$B$23*(1-$B24),0)-IF(W$1&gt;0,'Underlying Mechanics'!$B$22*'Underlying Mechanics'!$B$17,0)-IF(W$1&gt;0,'Underlying Mechanics'!$B$12*'Underlying Mechanics'!$B$18,0)</x:f>
        <x:v>85500</x:v>
      </x:c>
      <x:c r="X24" t="n">
        <x:f>IFERROR(IRR(C24:W24),-1)</x:f>
        <x:v>0.10849507875167717</x:v>
      </x:c>
    </x:row>
    <x:row r="25">
      <x:c r="A25" t="n">
        <x:v>0.1</x:v>
      </x:c>
      <x:c r="B25" t="n">
        <x:v>0.1</x:v>
      </x:c>
      <x:c r="C25" t="n">
        <x:f>((IF(C$1-'Underlying Mechanics'!$B$8&lt;0,0,'Underlying Mechanics'!$B$22*'Underlying Mechanics'!$B$15*INDEX('Underlying Mechanics'!$B$31:$B$51,C$1-'Underlying Mechanics'!$B$8+1)*'Underlying Mechanics'!$B$5))*(1-$A25))-IF(C$1=0,'Underlying Mechanics'!$B$23*(1-$B25),0)-IF(C$1&gt;0,'Underlying Mechanics'!$B$22*'Underlying Mechanics'!$B$17,0)-IF(C$1&gt;0,'Underlying Mechanics'!$B$12*'Underlying Mechanics'!$B$18,0)</x:f>
        <x:v>-135000</x:v>
      </x:c>
      <x:c r="D25" t="n">
        <x:f>((IF(D$1-'Underlying Mechanics'!$B$8&lt;0,0,'Underlying Mechanics'!$B$22*'Underlying Mechanics'!$B$15*INDEX('Underlying Mechanics'!$B$31:$B$51,D$1-'Underlying Mechanics'!$B$8+1)*'Underlying Mechanics'!$B$5))*(1-$A25))-IF(D$1=0,'Underlying Mechanics'!$B$23*(1-$B25),0)-IF(D$1&gt;0,'Underlying Mechanics'!$B$22*'Underlying Mechanics'!$B$17,0)-IF(D$1&gt;0,'Underlying Mechanics'!$B$12*'Underlying Mechanics'!$B$18,0)</x:f>
        <x:v>-22500</x:v>
      </x:c>
      <x:c r="E25" t="n">
        <x:f>((IF(E$1-'Underlying Mechanics'!$B$8&lt;0,0,'Underlying Mechanics'!$B$22*'Underlying Mechanics'!$B$15*INDEX('Underlying Mechanics'!$B$31:$B$51,E$1-'Underlying Mechanics'!$B$8+1)*'Underlying Mechanics'!$B$5))*(1-$A25))-IF(E$1=0,'Underlying Mechanics'!$B$23*(1-$B25),0)-IF(E$1&gt;0,'Underlying Mechanics'!$B$22*'Underlying Mechanics'!$B$17,0)-IF(E$1&gt;0,'Underlying Mechanics'!$B$12*'Underlying Mechanics'!$B$18,0)</x:f>
        <x:v>-22500</x:v>
      </x:c>
      <x:c r="F25" t="n">
        <x:f>((IF(F$1-'Underlying Mechanics'!$B$8&lt;0,0,'Underlying Mechanics'!$B$22*'Underlying Mechanics'!$B$15*INDEX('Underlying Mechanics'!$B$31:$B$51,F$1-'Underlying Mechanics'!$B$8+1)*'Underlying Mechanics'!$B$5))*(1-$A25))-IF(F$1=0,'Underlying Mechanics'!$B$23*(1-$B25),0)-IF(F$1&gt;0,'Underlying Mechanics'!$B$22*'Underlying Mechanics'!$B$17,0)-IF(F$1&gt;0,'Underlying Mechanics'!$B$12*'Underlying Mechanics'!$B$18,0)</x:f>
        <x:v>-20340</x:v>
      </x:c>
      <x:c r="G25" t="n">
        <x:f>((IF(G$1-'Underlying Mechanics'!$B$8&lt;0,0,'Underlying Mechanics'!$B$22*'Underlying Mechanics'!$B$15*INDEX('Underlying Mechanics'!$B$31:$B$51,G$1-'Underlying Mechanics'!$B$8+1)*'Underlying Mechanics'!$B$5))*(1-$A25))-IF(G$1=0,'Underlying Mechanics'!$B$23*(1-$B25),0)-IF(G$1&gt;0,'Underlying Mechanics'!$B$22*'Underlying Mechanics'!$B$17,0)-IF(G$1&gt;0,'Underlying Mechanics'!$B$12*'Underlying Mechanics'!$B$18,0)</x:f>
        <x:v>-17100</x:v>
      </x:c>
      <x:c r="H25" t="n">
        <x:f>((IF(H$1-'Underlying Mechanics'!$B$8&lt;0,0,'Underlying Mechanics'!$B$22*'Underlying Mechanics'!$B$15*INDEX('Underlying Mechanics'!$B$31:$B$51,H$1-'Underlying Mechanics'!$B$8+1)*'Underlying Mechanics'!$B$5))*(1-$A25))-IF(H$1=0,'Underlying Mechanics'!$B$23*(1-$B25),0)-IF(H$1&gt;0,'Underlying Mechanics'!$B$22*'Underlying Mechanics'!$B$17,0)-IF(H$1&gt;0,'Underlying Mechanics'!$B$12*'Underlying Mechanics'!$B$18,0)</x:f>
        <x:v>-11700</x:v>
      </x:c>
      <x:c r="I25" t="n">
        <x:f>((IF(I$1-'Underlying Mechanics'!$B$8&lt;0,0,'Underlying Mechanics'!$B$22*'Underlying Mechanics'!$B$15*INDEX('Underlying Mechanics'!$B$31:$B$51,I$1-'Underlying Mechanics'!$B$8+1)*'Underlying Mechanics'!$B$5))*(1-$A25))-IF(I$1=0,'Underlying Mechanics'!$B$23*(1-$B25),0)-IF(I$1&gt;0,'Underlying Mechanics'!$B$22*'Underlying Mechanics'!$B$17,0)-IF(I$1&gt;0,'Underlying Mechanics'!$B$12*'Underlying Mechanics'!$B$18,0)</x:f>
        <x:v>-3060</x:v>
      </x:c>
      <x:c r="J25" t="n">
        <x:f>((IF(J$1-'Underlying Mechanics'!$B$8&lt;0,0,'Underlying Mechanics'!$B$22*'Underlying Mechanics'!$B$15*INDEX('Underlying Mechanics'!$B$31:$B$51,J$1-'Underlying Mechanics'!$B$8+1)*'Underlying Mechanics'!$B$5))*(1-$A25))-IF(J$1=0,'Underlying Mechanics'!$B$23*(1-$B25),0)-IF(J$1&gt;0,'Underlying Mechanics'!$B$22*'Underlying Mechanics'!$B$17,0)-IF(J$1&gt;0,'Underlying Mechanics'!$B$12*'Underlying Mechanics'!$B$18,0)</x:f>
        <x:v>7740.000000000007</x:v>
      </x:c>
      <x:c r="K25" t="n">
        <x:f>((IF(K$1-'Underlying Mechanics'!$B$8&lt;0,0,'Underlying Mechanics'!$B$22*'Underlying Mechanics'!$B$15*INDEX('Underlying Mechanics'!$B$31:$B$51,K$1-'Underlying Mechanics'!$B$8+1)*'Underlying Mechanics'!$B$5))*(1-$A25))-IF(K$1=0,'Underlying Mechanics'!$B$23*(1-$B25),0)-IF(K$1&gt;0,'Underlying Mechanics'!$B$22*'Underlying Mechanics'!$B$17,0)-IF(K$1&gt;0,'Underlying Mechanics'!$B$12*'Underlying Mechanics'!$B$18,0)</x:f>
        <x:v>20700</x:v>
      </x:c>
      <x:c r="L25" t="n">
        <x:f>((IF(L$1-'Underlying Mechanics'!$B$8&lt;0,0,'Underlying Mechanics'!$B$22*'Underlying Mechanics'!$B$15*INDEX('Underlying Mechanics'!$B$31:$B$51,L$1-'Underlying Mechanics'!$B$8+1)*'Underlying Mechanics'!$B$5))*(1-$A25))-IF(L$1=0,'Underlying Mechanics'!$B$23*(1-$B25),0)-IF(L$1&gt;0,'Underlying Mechanics'!$B$22*'Underlying Mechanics'!$B$17,0)-IF(L$1&gt;0,'Underlying Mechanics'!$B$12*'Underlying Mechanics'!$B$18,0)</x:f>
        <x:v>35820</x:v>
      </x:c>
      <x:c r="M25" t="n">
        <x:f>((IF(M$1-'Underlying Mechanics'!$B$8&lt;0,0,'Underlying Mechanics'!$B$22*'Underlying Mechanics'!$B$15*INDEX('Underlying Mechanics'!$B$31:$B$51,M$1-'Underlying Mechanics'!$B$8+1)*'Underlying Mechanics'!$B$5))*(1-$A25))-IF(M$1=0,'Underlying Mechanics'!$B$23*(1-$B25),0)-IF(M$1&gt;0,'Underlying Mechanics'!$B$22*'Underlying Mechanics'!$B$17,0)-IF(M$1&gt;0,'Underlying Mechanics'!$B$12*'Underlying Mechanics'!$B$18,0)</x:f>
        <x:v>50940.000000000015</x:v>
      </x:c>
      <x:c r="N25" t="n">
        <x:f>((IF(N$1-'Underlying Mechanics'!$B$8&lt;0,0,'Underlying Mechanics'!$B$22*'Underlying Mechanics'!$B$15*INDEX('Underlying Mechanics'!$B$31:$B$51,N$1-'Underlying Mechanics'!$B$8+1)*'Underlying Mechanics'!$B$5))*(1-$A25))-IF(N$1=0,'Underlying Mechanics'!$B$23*(1-$B25),0)-IF(N$1&gt;0,'Underlying Mechanics'!$B$22*'Underlying Mechanics'!$B$17,0)-IF(N$1&gt;0,'Underlying Mechanics'!$B$12*'Underlying Mechanics'!$B$18,0)</x:f>
        <x:v>63900</x:v>
      </x:c>
      <x:c r="O25" t="n">
        <x:f>((IF(O$1-'Underlying Mechanics'!$B$8&lt;0,0,'Underlying Mechanics'!$B$22*'Underlying Mechanics'!$B$15*INDEX('Underlying Mechanics'!$B$31:$B$51,O$1-'Underlying Mechanics'!$B$8+1)*'Underlying Mechanics'!$B$5))*(1-$A25))-IF(O$1=0,'Underlying Mechanics'!$B$23*(1-$B25),0)-IF(O$1&gt;0,'Underlying Mechanics'!$B$22*'Underlying Mechanics'!$B$17,0)-IF(O$1&gt;0,'Underlying Mechanics'!$B$12*'Underlying Mechanics'!$B$18,0)</x:f>
        <x:v>74700</x:v>
      </x:c>
      <x:c r="P25" t="n">
        <x:f>((IF(P$1-'Underlying Mechanics'!$B$8&lt;0,0,'Underlying Mechanics'!$B$22*'Underlying Mechanics'!$B$15*INDEX('Underlying Mechanics'!$B$31:$B$51,P$1-'Underlying Mechanics'!$B$8+1)*'Underlying Mechanics'!$B$5))*(1-$A25))-IF(P$1=0,'Underlying Mechanics'!$B$23*(1-$B25),0)-IF(P$1&gt;0,'Underlying Mechanics'!$B$22*'Underlying Mechanics'!$B$17,0)-IF(P$1&gt;0,'Underlying Mechanics'!$B$12*'Underlying Mechanics'!$B$18,0)</x:f>
        <x:v>85500</x:v>
      </x:c>
      <x:c r="Q25" t="n">
        <x:f>((IF(Q$1-'Underlying Mechanics'!$B$8&lt;0,0,'Underlying Mechanics'!$B$22*'Underlying Mechanics'!$B$15*INDEX('Underlying Mechanics'!$B$31:$B$51,Q$1-'Underlying Mechanics'!$B$8+1)*'Underlying Mechanics'!$B$5))*(1-$A25))-IF(Q$1=0,'Underlying Mechanics'!$B$23*(1-$B25),0)-IF(Q$1&gt;0,'Underlying Mechanics'!$B$22*'Underlying Mechanics'!$B$17,0)-IF(Q$1&gt;0,'Underlying Mechanics'!$B$12*'Underlying Mechanics'!$B$18,0)</x:f>
        <x:v>85500</x:v>
      </x:c>
      <x:c r="R25" t="n">
        <x:f>((IF(R$1-'Underlying Mechanics'!$B$8&lt;0,0,'Underlying Mechanics'!$B$22*'Underlying Mechanics'!$B$15*INDEX('Underlying Mechanics'!$B$31:$B$51,R$1-'Underlying Mechanics'!$B$8+1)*'Underlying Mechanics'!$B$5))*(1-$A25))-IF(R$1=0,'Underlying Mechanics'!$B$23*(1-$B25),0)-IF(R$1&gt;0,'Underlying Mechanics'!$B$22*'Underlying Mechanics'!$B$17,0)-IF(R$1&gt;0,'Underlying Mechanics'!$B$12*'Underlying Mechanics'!$B$18,0)</x:f>
        <x:v>85500</x:v>
      </x:c>
      <x:c r="S25" t="n">
        <x:f>((IF(S$1-'Underlying Mechanics'!$B$8&lt;0,0,'Underlying Mechanics'!$B$22*'Underlying Mechanics'!$B$15*INDEX('Underlying Mechanics'!$B$31:$B$51,S$1-'Underlying Mechanics'!$B$8+1)*'Underlying Mechanics'!$B$5))*(1-$A25))-IF(S$1=0,'Underlying Mechanics'!$B$23*(1-$B25),0)-IF(S$1&gt;0,'Underlying Mechanics'!$B$22*'Underlying Mechanics'!$B$17,0)-IF(S$1&gt;0,'Underlying Mechanics'!$B$12*'Underlying Mechanics'!$B$18,0)</x:f>
        <x:v>85500</x:v>
      </x:c>
      <x:c r="T25" t="n">
        <x:f>((IF(T$1-'Underlying Mechanics'!$B$8&lt;0,0,'Underlying Mechanics'!$B$22*'Underlying Mechanics'!$B$15*INDEX('Underlying Mechanics'!$B$31:$B$51,T$1-'Underlying Mechanics'!$B$8+1)*'Underlying Mechanics'!$B$5))*(1-$A25))-IF(T$1=0,'Underlying Mechanics'!$B$23*(1-$B25),0)-IF(T$1&gt;0,'Underlying Mechanics'!$B$22*'Underlying Mechanics'!$B$17,0)-IF(T$1&gt;0,'Underlying Mechanics'!$B$12*'Underlying Mechanics'!$B$18,0)</x:f>
        <x:v>85500</x:v>
      </x:c>
      <x:c r="U25" t="n">
        <x:f>((IF(U$1-'Underlying Mechanics'!$B$8&lt;0,0,'Underlying Mechanics'!$B$22*'Underlying Mechanics'!$B$15*INDEX('Underlying Mechanics'!$B$31:$B$51,U$1-'Underlying Mechanics'!$B$8+1)*'Underlying Mechanics'!$B$5))*(1-$A25))-IF(U$1=0,'Underlying Mechanics'!$B$23*(1-$B25),0)-IF(U$1&gt;0,'Underlying Mechanics'!$B$22*'Underlying Mechanics'!$B$17,0)-IF(U$1&gt;0,'Underlying Mechanics'!$B$12*'Underlying Mechanics'!$B$18,0)</x:f>
        <x:v>85500</x:v>
      </x:c>
      <x:c r="V25" t="n">
        <x:f>((IF(V$1-'Underlying Mechanics'!$B$8&lt;0,0,'Underlying Mechanics'!$B$22*'Underlying Mechanics'!$B$15*INDEX('Underlying Mechanics'!$B$31:$B$51,V$1-'Underlying Mechanics'!$B$8+1)*'Underlying Mechanics'!$B$5))*(1-$A25))-IF(V$1=0,'Underlying Mechanics'!$B$23*(1-$B25),0)-IF(V$1&gt;0,'Underlying Mechanics'!$B$22*'Underlying Mechanics'!$B$17,0)-IF(V$1&gt;0,'Underlying Mechanics'!$B$12*'Underlying Mechanics'!$B$18,0)</x:f>
        <x:v>85500</x:v>
      </x:c>
      <x:c r="W25" t="n">
        <x:f>((IF(W$1-'Underlying Mechanics'!$B$8&lt;0,0,'Underlying Mechanics'!$B$22*'Underlying Mechanics'!$B$15*INDEX('Underlying Mechanics'!$B$31:$B$51,W$1-'Underlying Mechanics'!$B$8+1)*'Underlying Mechanics'!$B$5))*(1-$A25))-IF(W$1=0,'Underlying Mechanics'!$B$23*(1-$B25),0)-IF(W$1&gt;0,'Underlying Mechanics'!$B$22*'Underlying Mechanics'!$B$17,0)-IF(W$1&gt;0,'Underlying Mechanics'!$B$12*'Underlying Mechanics'!$B$18,0)</x:f>
        <x:v>85500</x:v>
      </x:c>
      <x:c r="X25" t="n">
        <x:f>IFERROR(IRR(C25:W25),-1)</x:f>
        <x:v>0.11158134988065188</x:v>
      </x:c>
    </x:row>
    <x:row r="26">
      <x:c r="A26" t="n">
        <x:v>0.1</x:v>
      </x:c>
      <x:c r="B26" t="n">
        <x:v>0.15</x:v>
      </x:c>
      <x:c r="C26" t="n">
        <x:f>((IF(C$1-'Underlying Mechanics'!$B$8&lt;0,0,'Underlying Mechanics'!$B$22*'Underlying Mechanics'!$B$15*INDEX('Underlying Mechanics'!$B$31:$B$51,C$1-'Underlying Mechanics'!$B$8+1)*'Underlying Mechanics'!$B$5))*(1-$A26))-IF(C$1=0,'Underlying Mechanics'!$B$23*(1-$B26),0)-IF(C$1&gt;0,'Underlying Mechanics'!$B$22*'Underlying Mechanics'!$B$17,0)-IF(C$1&gt;0,'Underlying Mechanics'!$B$12*'Underlying Mechanics'!$B$18,0)</x:f>
        <x:v>-127500</x:v>
      </x:c>
      <x:c r="D26" t="n">
        <x:f>((IF(D$1-'Underlying Mechanics'!$B$8&lt;0,0,'Underlying Mechanics'!$B$22*'Underlying Mechanics'!$B$15*INDEX('Underlying Mechanics'!$B$31:$B$51,D$1-'Underlying Mechanics'!$B$8+1)*'Underlying Mechanics'!$B$5))*(1-$A26))-IF(D$1=0,'Underlying Mechanics'!$B$23*(1-$B26),0)-IF(D$1&gt;0,'Underlying Mechanics'!$B$22*'Underlying Mechanics'!$B$17,0)-IF(D$1&gt;0,'Underlying Mechanics'!$B$12*'Underlying Mechanics'!$B$18,0)</x:f>
        <x:v>-22500</x:v>
      </x:c>
      <x:c r="E26" t="n">
        <x:f>((IF(E$1-'Underlying Mechanics'!$B$8&lt;0,0,'Underlying Mechanics'!$B$22*'Underlying Mechanics'!$B$15*INDEX('Underlying Mechanics'!$B$31:$B$51,E$1-'Underlying Mechanics'!$B$8+1)*'Underlying Mechanics'!$B$5))*(1-$A26))-IF(E$1=0,'Underlying Mechanics'!$B$23*(1-$B26),0)-IF(E$1&gt;0,'Underlying Mechanics'!$B$22*'Underlying Mechanics'!$B$17,0)-IF(E$1&gt;0,'Underlying Mechanics'!$B$12*'Underlying Mechanics'!$B$18,0)</x:f>
        <x:v>-22500</x:v>
      </x:c>
      <x:c r="F26" t="n">
        <x:f>((IF(F$1-'Underlying Mechanics'!$B$8&lt;0,0,'Underlying Mechanics'!$B$22*'Underlying Mechanics'!$B$15*INDEX('Underlying Mechanics'!$B$31:$B$51,F$1-'Underlying Mechanics'!$B$8+1)*'Underlying Mechanics'!$B$5))*(1-$A26))-IF(F$1=0,'Underlying Mechanics'!$B$23*(1-$B26),0)-IF(F$1&gt;0,'Underlying Mechanics'!$B$22*'Underlying Mechanics'!$B$17,0)-IF(F$1&gt;0,'Underlying Mechanics'!$B$12*'Underlying Mechanics'!$B$18,0)</x:f>
        <x:v>-20340</x:v>
      </x:c>
      <x:c r="G26" t="n">
        <x:f>((IF(G$1-'Underlying Mechanics'!$B$8&lt;0,0,'Underlying Mechanics'!$B$22*'Underlying Mechanics'!$B$15*INDEX('Underlying Mechanics'!$B$31:$B$51,G$1-'Underlying Mechanics'!$B$8+1)*'Underlying Mechanics'!$B$5))*(1-$A26))-IF(G$1=0,'Underlying Mechanics'!$B$23*(1-$B26),0)-IF(G$1&gt;0,'Underlying Mechanics'!$B$22*'Underlying Mechanics'!$B$17,0)-IF(G$1&gt;0,'Underlying Mechanics'!$B$12*'Underlying Mechanics'!$B$18,0)</x:f>
        <x:v>-17100</x:v>
      </x:c>
      <x:c r="H26" t="n">
        <x:f>((IF(H$1-'Underlying Mechanics'!$B$8&lt;0,0,'Underlying Mechanics'!$B$22*'Underlying Mechanics'!$B$15*INDEX('Underlying Mechanics'!$B$31:$B$51,H$1-'Underlying Mechanics'!$B$8+1)*'Underlying Mechanics'!$B$5))*(1-$A26))-IF(H$1=0,'Underlying Mechanics'!$B$23*(1-$B26),0)-IF(H$1&gt;0,'Underlying Mechanics'!$B$22*'Underlying Mechanics'!$B$17,0)-IF(H$1&gt;0,'Underlying Mechanics'!$B$12*'Underlying Mechanics'!$B$18,0)</x:f>
        <x:v>-11700</x:v>
      </x:c>
      <x:c r="I26" t="n">
        <x:f>((IF(I$1-'Underlying Mechanics'!$B$8&lt;0,0,'Underlying Mechanics'!$B$22*'Underlying Mechanics'!$B$15*INDEX('Underlying Mechanics'!$B$31:$B$51,I$1-'Underlying Mechanics'!$B$8+1)*'Underlying Mechanics'!$B$5))*(1-$A26))-IF(I$1=0,'Underlying Mechanics'!$B$23*(1-$B26),0)-IF(I$1&gt;0,'Underlying Mechanics'!$B$22*'Underlying Mechanics'!$B$17,0)-IF(I$1&gt;0,'Underlying Mechanics'!$B$12*'Underlying Mechanics'!$B$18,0)</x:f>
        <x:v>-3060</x:v>
      </x:c>
      <x:c r="J26" t="n">
        <x:f>((IF(J$1-'Underlying Mechanics'!$B$8&lt;0,0,'Underlying Mechanics'!$B$22*'Underlying Mechanics'!$B$15*INDEX('Underlying Mechanics'!$B$31:$B$51,J$1-'Underlying Mechanics'!$B$8+1)*'Underlying Mechanics'!$B$5))*(1-$A26))-IF(J$1=0,'Underlying Mechanics'!$B$23*(1-$B26),0)-IF(J$1&gt;0,'Underlying Mechanics'!$B$22*'Underlying Mechanics'!$B$17,0)-IF(J$1&gt;0,'Underlying Mechanics'!$B$12*'Underlying Mechanics'!$B$18,0)</x:f>
        <x:v>7740.000000000007</x:v>
      </x:c>
      <x:c r="K26" t="n">
        <x:f>((IF(K$1-'Underlying Mechanics'!$B$8&lt;0,0,'Underlying Mechanics'!$B$22*'Underlying Mechanics'!$B$15*INDEX('Underlying Mechanics'!$B$31:$B$51,K$1-'Underlying Mechanics'!$B$8+1)*'Underlying Mechanics'!$B$5))*(1-$A26))-IF(K$1=0,'Underlying Mechanics'!$B$23*(1-$B26),0)-IF(K$1&gt;0,'Underlying Mechanics'!$B$22*'Underlying Mechanics'!$B$17,0)-IF(K$1&gt;0,'Underlying Mechanics'!$B$12*'Underlying Mechanics'!$B$18,0)</x:f>
        <x:v>20700</x:v>
      </x:c>
      <x:c r="L26" t="n">
        <x:f>((IF(L$1-'Underlying Mechanics'!$B$8&lt;0,0,'Underlying Mechanics'!$B$22*'Underlying Mechanics'!$B$15*INDEX('Underlying Mechanics'!$B$31:$B$51,L$1-'Underlying Mechanics'!$B$8+1)*'Underlying Mechanics'!$B$5))*(1-$A26))-IF(L$1=0,'Underlying Mechanics'!$B$23*(1-$B26),0)-IF(L$1&gt;0,'Underlying Mechanics'!$B$22*'Underlying Mechanics'!$B$17,0)-IF(L$1&gt;0,'Underlying Mechanics'!$B$12*'Underlying Mechanics'!$B$18,0)</x:f>
        <x:v>35820</x:v>
      </x:c>
      <x:c r="M26" t="n">
        <x:f>((IF(M$1-'Underlying Mechanics'!$B$8&lt;0,0,'Underlying Mechanics'!$B$22*'Underlying Mechanics'!$B$15*INDEX('Underlying Mechanics'!$B$31:$B$51,M$1-'Underlying Mechanics'!$B$8+1)*'Underlying Mechanics'!$B$5))*(1-$A26))-IF(M$1=0,'Underlying Mechanics'!$B$23*(1-$B26),0)-IF(M$1&gt;0,'Underlying Mechanics'!$B$22*'Underlying Mechanics'!$B$17,0)-IF(M$1&gt;0,'Underlying Mechanics'!$B$12*'Underlying Mechanics'!$B$18,0)</x:f>
        <x:v>50940.000000000015</x:v>
      </x:c>
      <x:c r="N26" t="n">
        <x:f>((IF(N$1-'Underlying Mechanics'!$B$8&lt;0,0,'Underlying Mechanics'!$B$22*'Underlying Mechanics'!$B$15*INDEX('Underlying Mechanics'!$B$31:$B$51,N$1-'Underlying Mechanics'!$B$8+1)*'Underlying Mechanics'!$B$5))*(1-$A26))-IF(N$1=0,'Underlying Mechanics'!$B$23*(1-$B26),0)-IF(N$1&gt;0,'Underlying Mechanics'!$B$22*'Underlying Mechanics'!$B$17,0)-IF(N$1&gt;0,'Underlying Mechanics'!$B$12*'Underlying Mechanics'!$B$18,0)</x:f>
        <x:v>63900</x:v>
      </x:c>
      <x:c r="O26" t="n">
        <x:f>((IF(O$1-'Underlying Mechanics'!$B$8&lt;0,0,'Underlying Mechanics'!$B$22*'Underlying Mechanics'!$B$15*INDEX('Underlying Mechanics'!$B$31:$B$51,O$1-'Underlying Mechanics'!$B$8+1)*'Underlying Mechanics'!$B$5))*(1-$A26))-IF(O$1=0,'Underlying Mechanics'!$B$23*(1-$B26),0)-IF(O$1&gt;0,'Underlying Mechanics'!$B$22*'Underlying Mechanics'!$B$17,0)-IF(O$1&gt;0,'Underlying Mechanics'!$B$12*'Underlying Mechanics'!$B$18,0)</x:f>
        <x:v>74700</x:v>
      </x:c>
      <x:c r="P26" t="n">
        <x:f>((IF(P$1-'Underlying Mechanics'!$B$8&lt;0,0,'Underlying Mechanics'!$B$22*'Underlying Mechanics'!$B$15*INDEX('Underlying Mechanics'!$B$31:$B$51,P$1-'Underlying Mechanics'!$B$8+1)*'Underlying Mechanics'!$B$5))*(1-$A26))-IF(P$1=0,'Underlying Mechanics'!$B$23*(1-$B26),0)-IF(P$1&gt;0,'Underlying Mechanics'!$B$22*'Underlying Mechanics'!$B$17,0)-IF(P$1&gt;0,'Underlying Mechanics'!$B$12*'Underlying Mechanics'!$B$18,0)</x:f>
        <x:v>85500</x:v>
      </x:c>
      <x:c r="Q26" t="n">
        <x:f>((IF(Q$1-'Underlying Mechanics'!$B$8&lt;0,0,'Underlying Mechanics'!$B$22*'Underlying Mechanics'!$B$15*INDEX('Underlying Mechanics'!$B$31:$B$51,Q$1-'Underlying Mechanics'!$B$8+1)*'Underlying Mechanics'!$B$5))*(1-$A26))-IF(Q$1=0,'Underlying Mechanics'!$B$23*(1-$B26),0)-IF(Q$1&gt;0,'Underlying Mechanics'!$B$22*'Underlying Mechanics'!$B$17,0)-IF(Q$1&gt;0,'Underlying Mechanics'!$B$12*'Underlying Mechanics'!$B$18,0)</x:f>
        <x:v>85500</x:v>
      </x:c>
      <x:c r="R26" t="n">
        <x:f>((IF(R$1-'Underlying Mechanics'!$B$8&lt;0,0,'Underlying Mechanics'!$B$22*'Underlying Mechanics'!$B$15*INDEX('Underlying Mechanics'!$B$31:$B$51,R$1-'Underlying Mechanics'!$B$8+1)*'Underlying Mechanics'!$B$5))*(1-$A26))-IF(R$1=0,'Underlying Mechanics'!$B$23*(1-$B26),0)-IF(R$1&gt;0,'Underlying Mechanics'!$B$22*'Underlying Mechanics'!$B$17,0)-IF(R$1&gt;0,'Underlying Mechanics'!$B$12*'Underlying Mechanics'!$B$18,0)</x:f>
        <x:v>85500</x:v>
      </x:c>
      <x:c r="S26" t="n">
        <x:f>((IF(S$1-'Underlying Mechanics'!$B$8&lt;0,0,'Underlying Mechanics'!$B$22*'Underlying Mechanics'!$B$15*INDEX('Underlying Mechanics'!$B$31:$B$51,S$1-'Underlying Mechanics'!$B$8+1)*'Underlying Mechanics'!$B$5))*(1-$A26))-IF(S$1=0,'Underlying Mechanics'!$B$23*(1-$B26),0)-IF(S$1&gt;0,'Underlying Mechanics'!$B$22*'Underlying Mechanics'!$B$17,0)-IF(S$1&gt;0,'Underlying Mechanics'!$B$12*'Underlying Mechanics'!$B$18,0)</x:f>
        <x:v>85500</x:v>
      </x:c>
      <x:c r="T26" t="n">
        <x:f>((IF(T$1-'Underlying Mechanics'!$B$8&lt;0,0,'Underlying Mechanics'!$B$22*'Underlying Mechanics'!$B$15*INDEX('Underlying Mechanics'!$B$31:$B$51,T$1-'Underlying Mechanics'!$B$8+1)*'Underlying Mechanics'!$B$5))*(1-$A26))-IF(T$1=0,'Underlying Mechanics'!$B$23*(1-$B26),0)-IF(T$1&gt;0,'Underlying Mechanics'!$B$22*'Underlying Mechanics'!$B$17,0)-IF(T$1&gt;0,'Underlying Mechanics'!$B$12*'Underlying Mechanics'!$B$18,0)</x:f>
        <x:v>85500</x:v>
      </x:c>
      <x:c r="U26" t="n">
        <x:f>((IF(U$1-'Underlying Mechanics'!$B$8&lt;0,0,'Underlying Mechanics'!$B$22*'Underlying Mechanics'!$B$15*INDEX('Underlying Mechanics'!$B$31:$B$51,U$1-'Underlying Mechanics'!$B$8+1)*'Underlying Mechanics'!$B$5))*(1-$A26))-IF(U$1=0,'Underlying Mechanics'!$B$23*(1-$B26),0)-IF(U$1&gt;0,'Underlying Mechanics'!$B$22*'Underlying Mechanics'!$B$17,0)-IF(U$1&gt;0,'Underlying Mechanics'!$B$12*'Underlying Mechanics'!$B$18,0)</x:f>
        <x:v>85500</x:v>
      </x:c>
      <x:c r="V26" t="n">
        <x:f>((IF(V$1-'Underlying Mechanics'!$B$8&lt;0,0,'Underlying Mechanics'!$B$22*'Underlying Mechanics'!$B$15*INDEX('Underlying Mechanics'!$B$31:$B$51,V$1-'Underlying Mechanics'!$B$8+1)*'Underlying Mechanics'!$B$5))*(1-$A26))-IF(V$1=0,'Underlying Mechanics'!$B$23*(1-$B26),0)-IF(V$1&gt;0,'Underlying Mechanics'!$B$22*'Underlying Mechanics'!$B$17,0)-IF(V$1&gt;0,'Underlying Mechanics'!$B$12*'Underlying Mechanics'!$B$18,0)</x:f>
        <x:v>85500</x:v>
      </x:c>
      <x:c r="W26" t="n">
        <x:f>((IF(W$1-'Underlying Mechanics'!$B$8&lt;0,0,'Underlying Mechanics'!$B$22*'Underlying Mechanics'!$B$15*INDEX('Underlying Mechanics'!$B$31:$B$51,W$1-'Underlying Mechanics'!$B$8+1)*'Underlying Mechanics'!$B$5))*(1-$A26))-IF(W$1=0,'Underlying Mechanics'!$B$23*(1-$B26),0)-IF(W$1&gt;0,'Underlying Mechanics'!$B$22*'Underlying Mechanics'!$B$17,0)-IF(W$1&gt;0,'Underlying Mechanics'!$B$12*'Underlying Mechanics'!$B$18,0)</x:f>
        <x:v>85500</x:v>
      </x:c>
      <x:c r="X26" t="n">
        <x:f>IFERROR(IRR(C26:W26),-1)</x:f>
        <x:v>0.11481373213070363</x:v>
      </x:c>
    </x:row>
    <x:row r="27">
      <x:c r="A27" t="n">
        <x:v>0.1</x:v>
      </x:c>
      <x:c r="B27" t="n">
        <x:v>0.2</x:v>
      </x:c>
      <x:c r="C27" t="n">
        <x:f>((IF(C$1-'Underlying Mechanics'!$B$8&lt;0,0,'Underlying Mechanics'!$B$22*'Underlying Mechanics'!$B$15*INDEX('Underlying Mechanics'!$B$31:$B$51,C$1-'Underlying Mechanics'!$B$8+1)*'Underlying Mechanics'!$B$5))*(1-$A27))-IF(C$1=0,'Underlying Mechanics'!$B$23*(1-$B27),0)-IF(C$1&gt;0,'Underlying Mechanics'!$B$22*'Underlying Mechanics'!$B$17,0)-IF(C$1&gt;0,'Underlying Mechanics'!$B$12*'Underlying Mechanics'!$B$18,0)</x:f>
        <x:v>-120000</x:v>
      </x:c>
      <x:c r="D27" t="n">
        <x:f>((IF(D$1-'Underlying Mechanics'!$B$8&lt;0,0,'Underlying Mechanics'!$B$22*'Underlying Mechanics'!$B$15*INDEX('Underlying Mechanics'!$B$31:$B$51,D$1-'Underlying Mechanics'!$B$8+1)*'Underlying Mechanics'!$B$5))*(1-$A27))-IF(D$1=0,'Underlying Mechanics'!$B$23*(1-$B27),0)-IF(D$1&gt;0,'Underlying Mechanics'!$B$22*'Underlying Mechanics'!$B$17,0)-IF(D$1&gt;0,'Underlying Mechanics'!$B$12*'Underlying Mechanics'!$B$18,0)</x:f>
        <x:v>-22500</x:v>
      </x:c>
      <x:c r="E27" t="n">
        <x:f>((IF(E$1-'Underlying Mechanics'!$B$8&lt;0,0,'Underlying Mechanics'!$B$22*'Underlying Mechanics'!$B$15*INDEX('Underlying Mechanics'!$B$31:$B$51,E$1-'Underlying Mechanics'!$B$8+1)*'Underlying Mechanics'!$B$5))*(1-$A27))-IF(E$1=0,'Underlying Mechanics'!$B$23*(1-$B27),0)-IF(E$1&gt;0,'Underlying Mechanics'!$B$22*'Underlying Mechanics'!$B$17,0)-IF(E$1&gt;0,'Underlying Mechanics'!$B$12*'Underlying Mechanics'!$B$18,0)</x:f>
        <x:v>-22500</x:v>
      </x:c>
      <x:c r="F27" t="n">
        <x:f>((IF(F$1-'Underlying Mechanics'!$B$8&lt;0,0,'Underlying Mechanics'!$B$22*'Underlying Mechanics'!$B$15*INDEX('Underlying Mechanics'!$B$31:$B$51,F$1-'Underlying Mechanics'!$B$8+1)*'Underlying Mechanics'!$B$5))*(1-$A27))-IF(F$1=0,'Underlying Mechanics'!$B$23*(1-$B27),0)-IF(F$1&gt;0,'Underlying Mechanics'!$B$22*'Underlying Mechanics'!$B$17,0)-IF(F$1&gt;0,'Underlying Mechanics'!$B$12*'Underlying Mechanics'!$B$18,0)</x:f>
        <x:v>-20340</x:v>
      </x:c>
      <x:c r="G27" t="n">
        <x:f>((IF(G$1-'Underlying Mechanics'!$B$8&lt;0,0,'Underlying Mechanics'!$B$22*'Underlying Mechanics'!$B$15*INDEX('Underlying Mechanics'!$B$31:$B$51,G$1-'Underlying Mechanics'!$B$8+1)*'Underlying Mechanics'!$B$5))*(1-$A27))-IF(G$1=0,'Underlying Mechanics'!$B$23*(1-$B27),0)-IF(G$1&gt;0,'Underlying Mechanics'!$B$22*'Underlying Mechanics'!$B$17,0)-IF(G$1&gt;0,'Underlying Mechanics'!$B$12*'Underlying Mechanics'!$B$18,0)</x:f>
        <x:v>-17100</x:v>
      </x:c>
      <x:c r="H27" t="n">
        <x:f>((IF(H$1-'Underlying Mechanics'!$B$8&lt;0,0,'Underlying Mechanics'!$B$22*'Underlying Mechanics'!$B$15*INDEX('Underlying Mechanics'!$B$31:$B$51,H$1-'Underlying Mechanics'!$B$8+1)*'Underlying Mechanics'!$B$5))*(1-$A27))-IF(H$1=0,'Underlying Mechanics'!$B$23*(1-$B27),0)-IF(H$1&gt;0,'Underlying Mechanics'!$B$22*'Underlying Mechanics'!$B$17,0)-IF(H$1&gt;0,'Underlying Mechanics'!$B$12*'Underlying Mechanics'!$B$18,0)</x:f>
        <x:v>-11700</x:v>
      </x:c>
      <x:c r="I27" t="n">
        <x:f>((IF(I$1-'Underlying Mechanics'!$B$8&lt;0,0,'Underlying Mechanics'!$B$22*'Underlying Mechanics'!$B$15*INDEX('Underlying Mechanics'!$B$31:$B$51,I$1-'Underlying Mechanics'!$B$8+1)*'Underlying Mechanics'!$B$5))*(1-$A27))-IF(I$1=0,'Underlying Mechanics'!$B$23*(1-$B27),0)-IF(I$1&gt;0,'Underlying Mechanics'!$B$22*'Underlying Mechanics'!$B$17,0)-IF(I$1&gt;0,'Underlying Mechanics'!$B$12*'Underlying Mechanics'!$B$18,0)</x:f>
        <x:v>-3060</x:v>
      </x:c>
      <x:c r="J27" t="n">
        <x:f>((IF(J$1-'Underlying Mechanics'!$B$8&lt;0,0,'Underlying Mechanics'!$B$22*'Underlying Mechanics'!$B$15*INDEX('Underlying Mechanics'!$B$31:$B$51,J$1-'Underlying Mechanics'!$B$8+1)*'Underlying Mechanics'!$B$5))*(1-$A27))-IF(J$1=0,'Underlying Mechanics'!$B$23*(1-$B27),0)-IF(J$1&gt;0,'Underlying Mechanics'!$B$22*'Underlying Mechanics'!$B$17,0)-IF(J$1&gt;0,'Underlying Mechanics'!$B$12*'Underlying Mechanics'!$B$18,0)</x:f>
        <x:v>7740.000000000007</x:v>
      </x:c>
      <x:c r="K27" t="n">
        <x:f>((IF(K$1-'Underlying Mechanics'!$B$8&lt;0,0,'Underlying Mechanics'!$B$22*'Underlying Mechanics'!$B$15*INDEX('Underlying Mechanics'!$B$31:$B$51,K$1-'Underlying Mechanics'!$B$8+1)*'Underlying Mechanics'!$B$5))*(1-$A27))-IF(K$1=0,'Underlying Mechanics'!$B$23*(1-$B27),0)-IF(K$1&gt;0,'Underlying Mechanics'!$B$22*'Underlying Mechanics'!$B$17,0)-IF(K$1&gt;0,'Underlying Mechanics'!$B$12*'Underlying Mechanics'!$B$18,0)</x:f>
        <x:v>20700</x:v>
      </x:c>
      <x:c r="L27" t="n">
        <x:f>((IF(L$1-'Underlying Mechanics'!$B$8&lt;0,0,'Underlying Mechanics'!$B$22*'Underlying Mechanics'!$B$15*INDEX('Underlying Mechanics'!$B$31:$B$51,L$1-'Underlying Mechanics'!$B$8+1)*'Underlying Mechanics'!$B$5))*(1-$A27))-IF(L$1=0,'Underlying Mechanics'!$B$23*(1-$B27),0)-IF(L$1&gt;0,'Underlying Mechanics'!$B$22*'Underlying Mechanics'!$B$17,0)-IF(L$1&gt;0,'Underlying Mechanics'!$B$12*'Underlying Mechanics'!$B$18,0)</x:f>
        <x:v>35820</x:v>
      </x:c>
      <x:c r="M27" t="n">
        <x:f>((IF(M$1-'Underlying Mechanics'!$B$8&lt;0,0,'Underlying Mechanics'!$B$22*'Underlying Mechanics'!$B$15*INDEX('Underlying Mechanics'!$B$31:$B$51,M$1-'Underlying Mechanics'!$B$8+1)*'Underlying Mechanics'!$B$5))*(1-$A27))-IF(M$1=0,'Underlying Mechanics'!$B$23*(1-$B27),0)-IF(M$1&gt;0,'Underlying Mechanics'!$B$22*'Underlying Mechanics'!$B$17,0)-IF(M$1&gt;0,'Underlying Mechanics'!$B$12*'Underlying Mechanics'!$B$18,0)</x:f>
        <x:v>50940.000000000015</x:v>
      </x:c>
      <x:c r="N27" t="n">
        <x:f>((IF(N$1-'Underlying Mechanics'!$B$8&lt;0,0,'Underlying Mechanics'!$B$22*'Underlying Mechanics'!$B$15*INDEX('Underlying Mechanics'!$B$31:$B$51,N$1-'Underlying Mechanics'!$B$8+1)*'Underlying Mechanics'!$B$5))*(1-$A27))-IF(N$1=0,'Underlying Mechanics'!$B$23*(1-$B27),0)-IF(N$1&gt;0,'Underlying Mechanics'!$B$22*'Underlying Mechanics'!$B$17,0)-IF(N$1&gt;0,'Underlying Mechanics'!$B$12*'Underlying Mechanics'!$B$18,0)</x:f>
        <x:v>63900</x:v>
      </x:c>
      <x:c r="O27" t="n">
        <x:f>((IF(O$1-'Underlying Mechanics'!$B$8&lt;0,0,'Underlying Mechanics'!$B$22*'Underlying Mechanics'!$B$15*INDEX('Underlying Mechanics'!$B$31:$B$51,O$1-'Underlying Mechanics'!$B$8+1)*'Underlying Mechanics'!$B$5))*(1-$A27))-IF(O$1=0,'Underlying Mechanics'!$B$23*(1-$B27),0)-IF(O$1&gt;0,'Underlying Mechanics'!$B$22*'Underlying Mechanics'!$B$17,0)-IF(O$1&gt;0,'Underlying Mechanics'!$B$12*'Underlying Mechanics'!$B$18,0)</x:f>
        <x:v>74700</x:v>
      </x:c>
      <x:c r="P27" t="n">
        <x:f>((IF(P$1-'Underlying Mechanics'!$B$8&lt;0,0,'Underlying Mechanics'!$B$22*'Underlying Mechanics'!$B$15*INDEX('Underlying Mechanics'!$B$31:$B$51,P$1-'Underlying Mechanics'!$B$8+1)*'Underlying Mechanics'!$B$5))*(1-$A27))-IF(P$1=0,'Underlying Mechanics'!$B$23*(1-$B27),0)-IF(P$1&gt;0,'Underlying Mechanics'!$B$22*'Underlying Mechanics'!$B$17,0)-IF(P$1&gt;0,'Underlying Mechanics'!$B$12*'Underlying Mechanics'!$B$18,0)</x:f>
        <x:v>85500</x:v>
      </x:c>
      <x:c r="Q27" t="n">
        <x:f>((IF(Q$1-'Underlying Mechanics'!$B$8&lt;0,0,'Underlying Mechanics'!$B$22*'Underlying Mechanics'!$B$15*INDEX('Underlying Mechanics'!$B$31:$B$51,Q$1-'Underlying Mechanics'!$B$8+1)*'Underlying Mechanics'!$B$5))*(1-$A27))-IF(Q$1=0,'Underlying Mechanics'!$B$23*(1-$B27),0)-IF(Q$1&gt;0,'Underlying Mechanics'!$B$22*'Underlying Mechanics'!$B$17,0)-IF(Q$1&gt;0,'Underlying Mechanics'!$B$12*'Underlying Mechanics'!$B$18,0)</x:f>
        <x:v>85500</x:v>
      </x:c>
      <x:c r="R27" t="n">
        <x:f>((IF(R$1-'Underlying Mechanics'!$B$8&lt;0,0,'Underlying Mechanics'!$B$22*'Underlying Mechanics'!$B$15*INDEX('Underlying Mechanics'!$B$31:$B$51,R$1-'Underlying Mechanics'!$B$8+1)*'Underlying Mechanics'!$B$5))*(1-$A27))-IF(R$1=0,'Underlying Mechanics'!$B$23*(1-$B27),0)-IF(R$1&gt;0,'Underlying Mechanics'!$B$22*'Underlying Mechanics'!$B$17,0)-IF(R$1&gt;0,'Underlying Mechanics'!$B$12*'Underlying Mechanics'!$B$18,0)</x:f>
        <x:v>85500</x:v>
      </x:c>
      <x:c r="S27" t="n">
        <x:f>((IF(S$1-'Underlying Mechanics'!$B$8&lt;0,0,'Underlying Mechanics'!$B$22*'Underlying Mechanics'!$B$15*INDEX('Underlying Mechanics'!$B$31:$B$51,S$1-'Underlying Mechanics'!$B$8+1)*'Underlying Mechanics'!$B$5))*(1-$A27))-IF(S$1=0,'Underlying Mechanics'!$B$23*(1-$B27),0)-IF(S$1&gt;0,'Underlying Mechanics'!$B$22*'Underlying Mechanics'!$B$17,0)-IF(S$1&gt;0,'Underlying Mechanics'!$B$12*'Underlying Mechanics'!$B$18,0)</x:f>
        <x:v>85500</x:v>
      </x:c>
      <x:c r="T27" t="n">
        <x:f>((IF(T$1-'Underlying Mechanics'!$B$8&lt;0,0,'Underlying Mechanics'!$B$22*'Underlying Mechanics'!$B$15*INDEX('Underlying Mechanics'!$B$31:$B$51,T$1-'Underlying Mechanics'!$B$8+1)*'Underlying Mechanics'!$B$5))*(1-$A27))-IF(T$1=0,'Underlying Mechanics'!$B$23*(1-$B27),0)-IF(T$1&gt;0,'Underlying Mechanics'!$B$22*'Underlying Mechanics'!$B$17,0)-IF(T$1&gt;0,'Underlying Mechanics'!$B$12*'Underlying Mechanics'!$B$18,0)</x:f>
        <x:v>85500</x:v>
      </x:c>
      <x:c r="U27" t="n">
        <x:f>((IF(U$1-'Underlying Mechanics'!$B$8&lt;0,0,'Underlying Mechanics'!$B$22*'Underlying Mechanics'!$B$15*INDEX('Underlying Mechanics'!$B$31:$B$51,U$1-'Underlying Mechanics'!$B$8+1)*'Underlying Mechanics'!$B$5))*(1-$A27))-IF(U$1=0,'Underlying Mechanics'!$B$23*(1-$B27),0)-IF(U$1&gt;0,'Underlying Mechanics'!$B$22*'Underlying Mechanics'!$B$17,0)-IF(U$1&gt;0,'Underlying Mechanics'!$B$12*'Underlying Mechanics'!$B$18,0)</x:f>
        <x:v>85500</x:v>
      </x:c>
      <x:c r="V27" t="n">
        <x:f>((IF(V$1-'Underlying Mechanics'!$B$8&lt;0,0,'Underlying Mechanics'!$B$22*'Underlying Mechanics'!$B$15*INDEX('Underlying Mechanics'!$B$31:$B$51,V$1-'Underlying Mechanics'!$B$8+1)*'Underlying Mechanics'!$B$5))*(1-$A27))-IF(V$1=0,'Underlying Mechanics'!$B$23*(1-$B27),0)-IF(V$1&gt;0,'Underlying Mechanics'!$B$22*'Underlying Mechanics'!$B$17,0)-IF(V$1&gt;0,'Underlying Mechanics'!$B$12*'Underlying Mechanics'!$B$18,0)</x:f>
        <x:v>85500</x:v>
      </x:c>
      <x:c r="W27" t="n">
        <x:f>((IF(W$1-'Underlying Mechanics'!$B$8&lt;0,0,'Underlying Mechanics'!$B$22*'Underlying Mechanics'!$B$15*INDEX('Underlying Mechanics'!$B$31:$B$51,W$1-'Underlying Mechanics'!$B$8+1)*'Underlying Mechanics'!$B$5))*(1-$A27))-IF(W$1=0,'Underlying Mechanics'!$B$23*(1-$B27),0)-IF(W$1&gt;0,'Underlying Mechanics'!$B$22*'Underlying Mechanics'!$B$17,0)-IF(W$1&gt;0,'Underlying Mechanics'!$B$12*'Underlying Mechanics'!$B$18,0)</x:f>
        <x:v>85500</x:v>
      </x:c>
      <x:c r="X27" t="n">
        <x:f>IFERROR(IRR(C27:W27),-1)</x:f>
        <x:v>0.11820618881863748</x:v>
      </x:c>
    </x:row>
    <x:row r="28">
      <x:c r="A28" t="n">
        <x:v>0.1</x:v>
      </x:c>
      <x:c r="B28" t="n">
        <x:v>0.25</x:v>
      </x:c>
      <x:c r="C28" t="n">
        <x:f>((IF(C$1-'Underlying Mechanics'!$B$8&lt;0,0,'Underlying Mechanics'!$B$22*'Underlying Mechanics'!$B$15*INDEX('Underlying Mechanics'!$B$31:$B$51,C$1-'Underlying Mechanics'!$B$8+1)*'Underlying Mechanics'!$B$5))*(1-$A28))-IF(C$1=0,'Underlying Mechanics'!$B$23*(1-$B28),0)-IF(C$1&gt;0,'Underlying Mechanics'!$B$22*'Underlying Mechanics'!$B$17,0)-IF(C$1&gt;0,'Underlying Mechanics'!$B$12*'Underlying Mechanics'!$B$18,0)</x:f>
        <x:v>-112500</x:v>
      </x:c>
      <x:c r="D28" t="n">
        <x:f>((IF(D$1-'Underlying Mechanics'!$B$8&lt;0,0,'Underlying Mechanics'!$B$22*'Underlying Mechanics'!$B$15*INDEX('Underlying Mechanics'!$B$31:$B$51,D$1-'Underlying Mechanics'!$B$8+1)*'Underlying Mechanics'!$B$5))*(1-$A28))-IF(D$1=0,'Underlying Mechanics'!$B$23*(1-$B28),0)-IF(D$1&gt;0,'Underlying Mechanics'!$B$22*'Underlying Mechanics'!$B$17,0)-IF(D$1&gt;0,'Underlying Mechanics'!$B$12*'Underlying Mechanics'!$B$18,0)</x:f>
        <x:v>-22500</x:v>
      </x:c>
      <x:c r="E28" t="n">
        <x:f>((IF(E$1-'Underlying Mechanics'!$B$8&lt;0,0,'Underlying Mechanics'!$B$22*'Underlying Mechanics'!$B$15*INDEX('Underlying Mechanics'!$B$31:$B$51,E$1-'Underlying Mechanics'!$B$8+1)*'Underlying Mechanics'!$B$5))*(1-$A28))-IF(E$1=0,'Underlying Mechanics'!$B$23*(1-$B28),0)-IF(E$1&gt;0,'Underlying Mechanics'!$B$22*'Underlying Mechanics'!$B$17,0)-IF(E$1&gt;0,'Underlying Mechanics'!$B$12*'Underlying Mechanics'!$B$18,0)</x:f>
        <x:v>-22500</x:v>
      </x:c>
      <x:c r="F28" t="n">
        <x:f>((IF(F$1-'Underlying Mechanics'!$B$8&lt;0,0,'Underlying Mechanics'!$B$22*'Underlying Mechanics'!$B$15*INDEX('Underlying Mechanics'!$B$31:$B$51,F$1-'Underlying Mechanics'!$B$8+1)*'Underlying Mechanics'!$B$5))*(1-$A28))-IF(F$1=0,'Underlying Mechanics'!$B$23*(1-$B28),0)-IF(F$1&gt;0,'Underlying Mechanics'!$B$22*'Underlying Mechanics'!$B$17,0)-IF(F$1&gt;0,'Underlying Mechanics'!$B$12*'Underlying Mechanics'!$B$18,0)</x:f>
        <x:v>-20340</x:v>
      </x:c>
      <x:c r="G28" t="n">
        <x:f>((IF(G$1-'Underlying Mechanics'!$B$8&lt;0,0,'Underlying Mechanics'!$B$22*'Underlying Mechanics'!$B$15*INDEX('Underlying Mechanics'!$B$31:$B$51,G$1-'Underlying Mechanics'!$B$8+1)*'Underlying Mechanics'!$B$5))*(1-$A28))-IF(G$1=0,'Underlying Mechanics'!$B$23*(1-$B28),0)-IF(G$1&gt;0,'Underlying Mechanics'!$B$22*'Underlying Mechanics'!$B$17,0)-IF(G$1&gt;0,'Underlying Mechanics'!$B$12*'Underlying Mechanics'!$B$18,0)</x:f>
        <x:v>-17100</x:v>
      </x:c>
      <x:c r="H28" t="n">
        <x:f>((IF(H$1-'Underlying Mechanics'!$B$8&lt;0,0,'Underlying Mechanics'!$B$22*'Underlying Mechanics'!$B$15*INDEX('Underlying Mechanics'!$B$31:$B$51,H$1-'Underlying Mechanics'!$B$8+1)*'Underlying Mechanics'!$B$5))*(1-$A28))-IF(H$1=0,'Underlying Mechanics'!$B$23*(1-$B28),0)-IF(H$1&gt;0,'Underlying Mechanics'!$B$22*'Underlying Mechanics'!$B$17,0)-IF(H$1&gt;0,'Underlying Mechanics'!$B$12*'Underlying Mechanics'!$B$18,0)</x:f>
        <x:v>-11700</x:v>
      </x:c>
      <x:c r="I28" t="n">
        <x:f>((IF(I$1-'Underlying Mechanics'!$B$8&lt;0,0,'Underlying Mechanics'!$B$22*'Underlying Mechanics'!$B$15*INDEX('Underlying Mechanics'!$B$31:$B$51,I$1-'Underlying Mechanics'!$B$8+1)*'Underlying Mechanics'!$B$5))*(1-$A28))-IF(I$1=0,'Underlying Mechanics'!$B$23*(1-$B28),0)-IF(I$1&gt;0,'Underlying Mechanics'!$B$22*'Underlying Mechanics'!$B$17,0)-IF(I$1&gt;0,'Underlying Mechanics'!$B$12*'Underlying Mechanics'!$B$18,0)</x:f>
        <x:v>-3060</x:v>
      </x:c>
      <x:c r="J28" t="n">
        <x:f>((IF(J$1-'Underlying Mechanics'!$B$8&lt;0,0,'Underlying Mechanics'!$B$22*'Underlying Mechanics'!$B$15*INDEX('Underlying Mechanics'!$B$31:$B$51,J$1-'Underlying Mechanics'!$B$8+1)*'Underlying Mechanics'!$B$5))*(1-$A28))-IF(J$1=0,'Underlying Mechanics'!$B$23*(1-$B28),0)-IF(J$1&gt;0,'Underlying Mechanics'!$B$22*'Underlying Mechanics'!$B$17,0)-IF(J$1&gt;0,'Underlying Mechanics'!$B$12*'Underlying Mechanics'!$B$18,0)</x:f>
        <x:v>7740.000000000007</x:v>
      </x:c>
      <x:c r="K28" t="n">
        <x:f>((IF(K$1-'Underlying Mechanics'!$B$8&lt;0,0,'Underlying Mechanics'!$B$22*'Underlying Mechanics'!$B$15*INDEX('Underlying Mechanics'!$B$31:$B$51,K$1-'Underlying Mechanics'!$B$8+1)*'Underlying Mechanics'!$B$5))*(1-$A28))-IF(K$1=0,'Underlying Mechanics'!$B$23*(1-$B28),0)-IF(K$1&gt;0,'Underlying Mechanics'!$B$22*'Underlying Mechanics'!$B$17,0)-IF(K$1&gt;0,'Underlying Mechanics'!$B$12*'Underlying Mechanics'!$B$18,0)</x:f>
        <x:v>20700</x:v>
      </x:c>
      <x:c r="L28" t="n">
        <x:f>((IF(L$1-'Underlying Mechanics'!$B$8&lt;0,0,'Underlying Mechanics'!$B$22*'Underlying Mechanics'!$B$15*INDEX('Underlying Mechanics'!$B$31:$B$51,L$1-'Underlying Mechanics'!$B$8+1)*'Underlying Mechanics'!$B$5))*(1-$A28))-IF(L$1=0,'Underlying Mechanics'!$B$23*(1-$B28),0)-IF(L$1&gt;0,'Underlying Mechanics'!$B$22*'Underlying Mechanics'!$B$17,0)-IF(L$1&gt;0,'Underlying Mechanics'!$B$12*'Underlying Mechanics'!$B$18,0)</x:f>
        <x:v>35820</x:v>
      </x:c>
      <x:c r="M28" t="n">
        <x:f>((IF(M$1-'Underlying Mechanics'!$B$8&lt;0,0,'Underlying Mechanics'!$B$22*'Underlying Mechanics'!$B$15*INDEX('Underlying Mechanics'!$B$31:$B$51,M$1-'Underlying Mechanics'!$B$8+1)*'Underlying Mechanics'!$B$5))*(1-$A28))-IF(M$1=0,'Underlying Mechanics'!$B$23*(1-$B28),0)-IF(M$1&gt;0,'Underlying Mechanics'!$B$22*'Underlying Mechanics'!$B$17,0)-IF(M$1&gt;0,'Underlying Mechanics'!$B$12*'Underlying Mechanics'!$B$18,0)</x:f>
        <x:v>50940.000000000015</x:v>
      </x:c>
      <x:c r="N28" t="n">
        <x:f>((IF(N$1-'Underlying Mechanics'!$B$8&lt;0,0,'Underlying Mechanics'!$B$22*'Underlying Mechanics'!$B$15*INDEX('Underlying Mechanics'!$B$31:$B$51,N$1-'Underlying Mechanics'!$B$8+1)*'Underlying Mechanics'!$B$5))*(1-$A28))-IF(N$1=0,'Underlying Mechanics'!$B$23*(1-$B28),0)-IF(N$1&gt;0,'Underlying Mechanics'!$B$22*'Underlying Mechanics'!$B$17,0)-IF(N$1&gt;0,'Underlying Mechanics'!$B$12*'Underlying Mechanics'!$B$18,0)</x:f>
        <x:v>63900</x:v>
      </x:c>
      <x:c r="O28" t="n">
        <x:f>((IF(O$1-'Underlying Mechanics'!$B$8&lt;0,0,'Underlying Mechanics'!$B$22*'Underlying Mechanics'!$B$15*INDEX('Underlying Mechanics'!$B$31:$B$51,O$1-'Underlying Mechanics'!$B$8+1)*'Underlying Mechanics'!$B$5))*(1-$A28))-IF(O$1=0,'Underlying Mechanics'!$B$23*(1-$B28),0)-IF(O$1&gt;0,'Underlying Mechanics'!$B$22*'Underlying Mechanics'!$B$17,0)-IF(O$1&gt;0,'Underlying Mechanics'!$B$12*'Underlying Mechanics'!$B$18,0)</x:f>
        <x:v>74700</x:v>
      </x:c>
      <x:c r="P28" t="n">
        <x:f>((IF(P$1-'Underlying Mechanics'!$B$8&lt;0,0,'Underlying Mechanics'!$B$22*'Underlying Mechanics'!$B$15*INDEX('Underlying Mechanics'!$B$31:$B$51,P$1-'Underlying Mechanics'!$B$8+1)*'Underlying Mechanics'!$B$5))*(1-$A28))-IF(P$1=0,'Underlying Mechanics'!$B$23*(1-$B28),0)-IF(P$1&gt;0,'Underlying Mechanics'!$B$22*'Underlying Mechanics'!$B$17,0)-IF(P$1&gt;0,'Underlying Mechanics'!$B$12*'Underlying Mechanics'!$B$18,0)</x:f>
        <x:v>85500</x:v>
      </x:c>
      <x:c r="Q28" t="n">
        <x:f>((IF(Q$1-'Underlying Mechanics'!$B$8&lt;0,0,'Underlying Mechanics'!$B$22*'Underlying Mechanics'!$B$15*INDEX('Underlying Mechanics'!$B$31:$B$51,Q$1-'Underlying Mechanics'!$B$8+1)*'Underlying Mechanics'!$B$5))*(1-$A28))-IF(Q$1=0,'Underlying Mechanics'!$B$23*(1-$B28),0)-IF(Q$1&gt;0,'Underlying Mechanics'!$B$22*'Underlying Mechanics'!$B$17,0)-IF(Q$1&gt;0,'Underlying Mechanics'!$B$12*'Underlying Mechanics'!$B$18,0)</x:f>
        <x:v>85500</x:v>
      </x:c>
      <x:c r="R28" t="n">
        <x:f>((IF(R$1-'Underlying Mechanics'!$B$8&lt;0,0,'Underlying Mechanics'!$B$22*'Underlying Mechanics'!$B$15*INDEX('Underlying Mechanics'!$B$31:$B$51,R$1-'Underlying Mechanics'!$B$8+1)*'Underlying Mechanics'!$B$5))*(1-$A28))-IF(R$1=0,'Underlying Mechanics'!$B$23*(1-$B28),0)-IF(R$1&gt;0,'Underlying Mechanics'!$B$22*'Underlying Mechanics'!$B$17,0)-IF(R$1&gt;0,'Underlying Mechanics'!$B$12*'Underlying Mechanics'!$B$18,0)</x:f>
        <x:v>85500</x:v>
      </x:c>
      <x:c r="S28" t="n">
        <x:f>((IF(S$1-'Underlying Mechanics'!$B$8&lt;0,0,'Underlying Mechanics'!$B$22*'Underlying Mechanics'!$B$15*INDEX('Underlying Mechanics'!$B$31:$B$51,S$1-'Underlying Mechanics'!$B$8+1)*'Underlying Mechanics'!$B$5))*(1-$A28))-IF(S$1=0,'Underlying Mechanics'!$B$23*(1-$B28),0)-IF(S$1&gt;0,'Underlying Mechanics'!$B$22*'Underlying Mechanics'!$B$17,0)-IF(S$1&gt;0,'Underlying Mechanics'!$B$12*'Underlying Mechanics'!$B$18,0)</x:f>
        <x:v>85500</x:v>
      </x:c>
      <x:c r="T28" t="n">
        <x:f>((IF(T$1-'Underlying Mechanics'!$B$8&lt;0,0,'Underlying Mechanics'!$B$22*'Underlying Mechanics'!$B$15*INDEX('Underlying Mechanics'!$B$31:$B$51,T$1-'Underlying Mechanics'!$B$8+1)*'Underlying Mechanics'!$B$5))*(1-$A28))-IF(T$1=0,'Underlying Mechanics'!$B$23*(1-$B28),0)-IF(T$1&gt;0,'Underlying Mechanics'!$B$22*'Underlying Mechanics'!$B$17,0)-IF(T$1&gt;0,'Underlying Mechanics'!$B$12*'Underlying Mechanics'!$B$18,0)</x:f>
        <x:v>85500</x:v>
      </x:c>
      <x:c r="U28" t="n">
        <x:f>((IF(U$1-'Underlying Mechanics'!$B$8&lt;0,0,'Underlying Mechanics'!$B$22*'Underlying Mechanics'!$B$15*INDEX('Underlying Mechanics'!$B$31:$B$51,U$1-'Underlying Mechanics'!$B$8+1)*'Underlying Mechanics'!$B$5))*(1-$A28))-IF(U$1=0,'Underlying Mechanics'!$B$23*(1-$B28),0)-IF(U$1&gt;0,'Underlying Mechanics'!$B$22*'Underlying Mechanics'!$B$17,0)-IF(U$1&gt;0,'Underlying Mechanics'!$B$12*'Underlying Mechanics'!$B$18,0)</x:f>
        <x:v>85500</x:v>
      </x:c>
      <x:c r="V28" t="n">
        <x:f>((IF(V$1-'Underlying Mechanics'!$B$8&lt;0,0,'Underlying Mechanics'!$B$22*'Underlying Mechanics'!$B$15*INDEX('Underlying Mechanics'!$B$31:$B$51,V$1-'Underlying Mechanics'!$B$8+1)*'Underlying Mechanics'!$B$5))*(1-$A28))-IF(V$1=0,'Underlying Mechanics'!$B$23*(1-$B28),0)-IF(V$1&gt;0,'Underlying Mechanics'!$B$22*'Underlying Mechanics'!$B$17,0)-IF(V$1&gt;0,'Underlying Mechanics'!$B$12*'Underlying Mechanics'!$B$18,0)</x:f>
        <x:v>85500</x:v>
      </x:c>
      <x:c r="W28" t="n">
        <x:f>((IF(W$1-'Underlying Mechanics'!$B$8&lt;0,0,'Underlying Mechanics'!$B$22*'Underlying Mechanics'!$B$15*INDEX('Underlying Mechanics'!$B$31:$B$51,W$1-'Underlying Mechanics'!$B$8+1)*'Underlying Mechanics'!$B$5))*(1-$A28))-IF(W$1=0,'Underlying Mechanics'!$B$23*(1-$B28),0)-IF(W$1&gt;0,'Underlying Mechanics'!$B$22*'Underlying Mechanics'!$B$17,0)-IF(W$1&gt;0,'Underlying Mechanics'!$B$12*'Underlying Mechanics'!$B$18,0)</x:f>
        <x:v>85500</x:v>
      </x:c>
      <x:c r="X28" t="n">
        <x:f>IFERROR(IRR(C28:W28),-1)</x:f>
        <x:v>0.12177476545852457</x:v>
      </x:c>
    </x:row>
    <x:row r="29">
      <x:c r="A29" t="n">
        <x:v>0.1</x:v>
      </x:c>
      <x:c r="B29" t="n">
        <x:v>0.3</x:v>
      </x:c>
      <x:c r="C29" t="n">
        <x:f>((IF(C$1-'Underlying Mechanics'!$B$8&lt;0,0,'Underlying Mechanics'!$B$22*'Underlying Mechanics'!$B$15*INDEX('Underlying Mechanics'!$B$31:$B$51,C$1-'Underlying Mechanics'!$B$8+1)*'Underlying Mechanics'!$B$5))*(1-$A29))-IF(C$1=0,'Underlying Mechanics'!$B$23*(1-$B29),0)-IF(C$1&gt;0,'Underlying Mechanics'!$B$22*'Underlying Mechanics'!$B$17,0)-IF(C$1&gt;0,'Underlying Mechanics'!$B$12*'Underlying Mechanics'!$B$18,0)</x:f>
        <x:v>-105000</x:v>
      </x:c>
      <x:c r="D29" t="n">
        <x:f>((IF(D$1-'Underlying Mechanics'!$B$8&lt;0,0,'Underlying Mechanics'!$B$22*'Underlying Mechanics'!$B$15*INDEX('Underlying Mechanics'!$B$31:$B$51,D$1-'Underlying Mechanics'!$B$8+1)*'Underlying Mechanics'!$B$5))*(1-$A29))-IF(D$1=0,'Underlying Mechanics'!$B$23*(1-$B29),0)-IF(D$1&gt;0,'Underlying Mechanics'!$B$22*'Underlying Mechanics'!$B$17,0)-IF(D$1&gt;0,'Underlying Mechanics'!$B$12*'Underlying Mechanics'!$B$18,0)</x:f>
        <x:v>-22500</x:v>
      </x:c>
      <x:c r="E29" t="n">
        <x:f>((IF(E$1-'Underlying Mechanics'!$B$8&lt;0,0,'Underlying Mechanics'!$B$22*'Underlying Mechanics'!$B$15*INDEX('Underlying Mechanics'!$B$31:$B$51,E$1-'Underlying Mechanics'!$B$8+1)*'Underlying Mechanics'!$B$5))*(1-$A29))-IF(E$1=0,'Underlying Mechanics'!$B$23*(1-$B29),0)-IF(E$1&gt;0,'Underlying Mechanics'!$B$22*'Underlying Mechanics'!$B$17,0)-IF(E$1&gt;0,'Underlying Mechanics'!$B$12*'Underlying Mechanics'!$B$18,0)</x:f>
        <x:v>-22500</x:v>
      </x:c>
      <x:c r="F29" t="n">
        <x:f>((IF(F$1-'Underlying Mechanics'!$B$8&lt;0,0,'Underlying Mechanics'!$B$22*'Underlying Mechanics'!$B$15*INDEX('Underlying Mechanics'!$B$31:$B$51,F$1-'Underlying Mechanics'!$B$8+1)*'Underlying Mechanics'!$B$5))*(1-$A29))-IF(F$1=0,'Underlying Mechanics'!$B$23*(1-$B29),0)-IF(F$1&gt;0,'Underlying Mechanics'!$B$22*'Underlying Mechanics'!$B$17,0)-IF(F$1&gt;0,'Underlying Mechanics'!$B$12*'Underlying Mechanics'!$B$18,0)</x:f>
        <x:v>-20340</x:v>
      </x:c>
      <x:c r="G29" t="n">
        <x:f>((IF(G$1-'Underlying Mechanics'!$B$8&lt;0,0,'Underlying Mechanics'!$B$22*'Underlying Mechanics'!$B$15*INDEX('Underlying Mechanics'!$B$31:$B$51,G$1-'Underlying Mechanics'!$B$8+1)*'Underlying Mechanics'!$B$5))*(1-$A29))-IF(G$1=0,'Underlying Mechanics'!$B$23*(1-$B29),0)-IF(G$1&gt;0,'Underlying Mechanics'!$B$22*'Underlying Mechanics'!$B$17,0)-IF(G$1&gt;0,'Underlying Mechanics'!$B$12*'Underlying Mechanics'!$B$18,0)</x:f>
        <x:v>-17100</x:v>
      </x:c>
      <x:c r="H29" t="n">
        <x:f>((IF(H$1-'Underlying Mechanics'!$B$8&lt;0,0,'Underlying Mechanics'!$B$22*'Underlying Mechanics'!$B$15*INDEX('Underlying Mechanics'!$B$31:$B$51,H$1-'Underlying Mechanics'!$B$8+1)*'Underlying Mechanics'!$B$5))*(1-$A29))-IF(H$1=0,'Underlying Mechanics'!$B$23*(1-$B29),0)-IF(H$1&gt;0,'Underlying Mechanics'!$B$22*'Underlying Mechanics'!$B$17,0)-IF(H$1&gt;0,'Underlying Mechanics'!$B$12*'Underlying Mechanics'!$B$18,0)</x:f>
        <x:v>-11700</x:v>
      </x:c>
      <x:c r="I29" t="n">
        <x:f>((IF(I$1-'Underlying Mechanics'!$B$8&lt;0,0,'Underlying Mechanics'!$B$22*'Underlying Mechanics'!$B$15*INDEX('Underlying Mechanics'!$B$31:$B$51,I$1-'Underlying Mechanics'!$B$8+1)*'Underlying Mechanics'!$B$5))*(1-$A29))-IF(I$1=0,'Underlying Mechanics'!$B$23*(1-$B29),0)-IF(I$1&gt;0,'Underlying Mechanics'!$B$22*'Underlying Mechanics'!$B$17,0)-IF(I$1&gt;0,'Underlying Mechanics'!$B$12*'Underlying Mechanics'!$B$18,0)</x:f>
        <x:v>-3060</x:v>
      </x:c>
      <x:c r="J29" t="n">
        <x:f>((IF(J$1-'Underlying Mechanics'!$B$8&lt;0,0,'Underlying Mechanics'!$B$22*'Underlying Mechanics'!$B$15*INDEX('Underlying Mechanics'!$B$31:$B$51,J$1-'Underlying Mechanics'!$B$8+1)*'Underlying Mechanics'!$B$5))*(1-$A29))-IF(J$1=0,'Underlying Mechanics'!$B$23*(1-$B29),0)-IF(J$1&gt;0,'Underlying Mechanics'!$B$22*'Underlying Mechanics'!$B$17,0)-IF(J$1&gt;0,'Underlying Mechanics'!$B$12*'Underlying Mechanics'!$B$18,0)</x:f>
        <x:v>7740.000000000007</x:v>
      </x:c>
      <x:c r="K29" t="n">
        <x:f>((IF(K$1-'Underlying Mechanics'!$B$8&lt;0,0,'Underlying Mechanics'!$B$22*'Underlying Mechanics'!$B$15*INDEX('Underlying Mechanics'!$B$31:$B$51,K$1-'Underlying Mechanics'!$B$8+1)*'Underlying Mechanics'!$B$5))*(1-$A29))-IF(K$1=0,'Underlying Mechanics'!$B$23*(1-$B29),0)-IF(K$1&gt;0,'Underlying Mechanics'!$B$22*'Underlying Mechanics'!$B$17,0)-IF(K$1&gt;0,'Underlying Mechanics'!$B$12*'Underlying Mechanics'!$B$18,0)</x:f>
        <x:v>20700</x:v>
      </x:c>
      <x:c r="L29" t="n">
        <x:f>((IF(L$1-'Underlying Mechanics'!$B$8&lt;0,0,'Underlying Mechanics'!$B$22*'Underlying Mechanics'!$B$15*INDEX('Underlying Mechanics'!$B$31:$B$51,L$1-'Underlying Mechanics'!$B$8+1)*'Underlying Mechanics'!$B$5))*(1-$A29))-IF(L$1=0,'Underlying Mechanics'!$B$23*(1-$B29),0)-IF(L$1&gt;0,'Underlying Mechanics'!$B$22*'Underlying Mechanics'!$B$17,0)-IF(L$1&gt;0,'Underlying Mechanics'!$B$12*'Underlying Mechanics'!$B$18,0)</x:f>
        <x:v>35820</x:v>
      </x:c>
      <x:c r="M29" t="n">
        <x:f>((IF(M$1-'Underlying Mechanics'!$B$8&lt;0,0,'Underlying Mechanics'!$B$22*'Underlying Mechanics'!$B$15*INDEX('Underlying Mechanics'!$B$31:$B$51,M$1-'Underlying Mechanics'!$B$8+1)*'Underlying Mechanics'!$B$5))*(1-$A29))-IF(M$1=0,'Underlying Mechanics'!$B$23*(1-$B29),0)-IF(M$1&gt;0,'Underlying Mechanics'!$B$22*'Underlying Mechanics'!$B$17,0)-IF(M$1&gt;0,'Underlying Mechanics'!$B$12*'Underlying Mechanics'!$B$18,0)</x:f>
        <x:v>50940.000000000015</x:v>
      </x:c>
      <x:c r="N29" t="n">
        <x:f>((IF(N$1-'Underlying Mechanics'!$B$8&lt;0,0,'Underlying Mechanics'!$B$22*'Underlying Mechanics'!$B$15*INDEX('Underlying Mechanics'!$B$31:$B$51,N$1-'Underlying Mechanics'!$B$8+1)*'Underlying Mechanics'!$B$5))*(1-$A29))-IF(N$1=0,'Underlying Mechanics'!$B$23*(1-$B29),0)-IF(N$1&gt;0,'Underlying Mechanics'!$B$22*'Underlying Mechanics'!$B$17,0)-IF(N$1&gt;0,'Underlying Mechanics'!$B$12*'Underlying Mechanics'!$B$18,0)</x:f>
        <x:v>63900</x:v>
      </x:c>
      <x:c r="O29" t="n">
        <x:f>((IF(O$1-'Underlying Mechanics'!$B$8&lt;0,0,'Underlying Mechanics'!$B$22*'Underlying Mechanics'!$B$15*INDEX('Underlying Mechanics'!$B$31:$B$51,O$1-'Underlying Mechanics'!$B$8+1)*'Underlying Mechanics'!$B$5))*(1-$A29))-IF(O$1=0,'Underlying Mechanics'!$B$23*(1-$B29),0)-IF(O$1&gt;0,'Underlying Mechanics'!$B$22*'Underlying Mechanics'!$B$17,0)-IF(O$1&gt;0,'Underlying Mechanics'!$B$12*'Underlying Mechanics'!$B$18,0)</x:f>
        <x:v>74700</x:v>
      </x:c>
      <x:c r="P29" t="n">
        <x:f>((IF(P$1-'Underlying Mechanics'!$B$8&lt;0,0,'Underlying Mechanics'!$B$22*'Underlying Mechanics'!$B$15*INDEX('Underlying Mechanics'!$B$31:$B$51,P$1-'Underlying Mechanics'!$B$8+1)*'Underlying Mechanics'!$B$5))*(1-$A29))-IF(P$1=0,'Underlying Mechanics'!$B$23*(1-$B29),0)-IF(P$1&gt;0,'Underlying Mechanics'!$B$22*'Underlying Mechanics'!$B$17,0)-IF(P$1&gt;0,'Underlying Mechanics'!$B$12*'Underlying Mechanics'!$B$18,0)</x:f>
        <x:v>85500</x:v>
      </x:c>
      <x:c r="Q29" t="n">
        <x:f>((IF(Q$1-'Underlying Mechanics'!$B$8&lt;0,0,'Underlying Mechanics'!$B$22*'Underlying Mechanics'!$B$15*INDEX('Underlying Mechanics'!$B$31:$B$51,Q$1-'Underlying Mechanics'!$B$8+1)*'Underlying Mechanics'!$B$5))*(1-$A29))-IF(Q$1=0,'Underlying Mechanics'!$B$23*(1-$B29),0)-IF(Q$1&gt;0,'Underlying Mechanics'!$B$22*'Underlying Mechanics'!$B$17,0)-IF(Q$1&gt;0,'Underlying Mechanics'!$B$12*'Underlying Mechanics'!$B$18,0)</x:f>
        <x:v>85500</x:v>
      </x:c>
      <x:c r="R29" t="n">
        <x:f>((IF(R$1-'Underlying Mechanics'!$B$8&lt;0,0,'Underlying Mechanics'!$B$22*'Underlying Mechanics'!$B$15*INDEX('Underlying Mechanics'!$B$31:$B$51,R$1-'Underlying Mechanics'!$B$8+1)*'Underlying Mechanics'!$B$5))*(1-$A29))-IF(R$1=0,'Underlying Mechanics'!$B$23*(1-$B29),0)-IF(R$1&gt;0,'Underlying Mechanics'!$B$22*'Underlying Mechanics'!$B$17,0)-IF(R$1&gt;0,'Underlying Mechanics'!$B$12*'Underlying Mechanics'!$B$18,0)</x:f>
        <x:v>85500</x:v>
      </x:c>
      <x:c r="S29" t="n">
        <x:f>((IF(S$1-'Underlying Mechanics'!$B$8&lt;0,0,'Underlying Mechanics'!$B$22*'Underlying Mechanics'!$B$15*INDEX('Underlying Mechanics'!$B$31:$B$51,S$1-'Underlying Mechanics'!$B$8+1)*'Underlying Mechanics'!$B$5))*(1-$A29))-IF(S$1=0,'Underlying Mechanics'!$B$23*(1-$B29),0)-IF(S$1&gt;0,'Underlying Mechanics'!$B$22*'Underlying Mechanics'!$B$17,0)-IF(S$1&gt;0,'Underlying Mechanics'!$B$12*'Underlying Mechanics'!$B$18,0)</x:f>
        <x:v>85500</x:v>
      </x:c>
      <x:c r="T29" t="n">
        <x:f>((IF(T$1-'Underlying Mechanics'!$B$8&lt;0,0,'Underlying Mechanics'!$B$22*'Underlying Mechanics'!$B$15*INDEX('Underlying Mechanics'!$B$31:$B$51,T$1-'Underlying Mechanics'!$B$8+1)*'Underlying Mechanics'!$B$5))*(1-$A29))-IF(T$1=0,'Underlying Mechanics'!$B$23*(1-$B29),0)-IF(T$1&gt;0,'Underlying Mechanics'!$B$22*'Underlying Mechanics'!$B$17,0)-IF(T$1&gt;0,'Underlying Mechanics'!$B$12*'Underlying Mechanics'!$B$18,0)</x:f>
        <x:v>85500</x:v>
      </x:c>
      <x:c r="U29" t="n">
        <x:f>((IF(U$1-'Underlying Mechanics'!$B$8&lt;0,0,'Underlying Mechanics'!$B$22*'Underlying Mechanics'!$B$15*INDEX('Underlying Mechanics'!$B$31:$B$51,U$1-'Underlying Mechanics'!$B$8+1)*'Underlying Mechanics'!$B$5))*(1-$A29))-IF(U$1=0,'Underlying Mechanics'!$B$23*(1-$B29),0)-IF(U$1&gt;0,'Underlying Mechanics'!$B$22*'Underlying Mechanics'!$B$17,0)-IF(U$1&gt;0,'Underlying Mechanics'!$B$12*'Underlying Mechanics'!$B$18,0)</x:f>
        <x:v>85500</x:v>
      </x:c>
      <x:c r="V29" t="n">
        <x:f>((IF(V$1-'Underlying Mechanics'!$B$8&lt;0,0,'Underlying Mechanics'!$B$22*'Underlying Mechanics'!$B$15*INDEX('Underlying Mechanics'!$B$31:$B$51,V$1-'Underlying Mechanics'!$B$8+1)*'Underlying Mechanics'!$B$5))*(1-$A29))-IF(V$1=0,'Underlying Mechanics'!$B$23*(1-$B29),0)-IF(V$1&gt;0,'Underlying Mechanics'!$B$22*'Underlying Mechanics'!$B$17,0)-IF(V$1&gt;0,'Underlying Mechanics'!$B$12*'Underlying Mechanics'!$B$18,0)</x:f>
        <x:v>85500</x:v>
      </x:c>
      <x:c r="W29" t="n">
        <x:f>((IF(W$1-'Underlying Mechanics'!$B$8&lt;0,0,'Underlying Mechanics'!$B$22*'Underlying Mechanics'!$B$15*INDEX('Underlying Mechanics'!$B$31:$B$51,W$1-'Underlying Mechanics'!$B$8+1)*'Underlying Mechanics'!$B$5))*(1-$A29))-IF(W$1=0,'Underlying Mechanics'!$B$23*(1-$B29),0)-IF(W$1&gt;0,'Underlying Mechanics'!$B$22*'Underlying Mechanics'!$B$17,0)-IF(W$1&gt;0,'Underlying Mechanics'!$B$12*'Underlying Mechanics'!$B$18,0)</x:f>
        <x:v>85500</x:v>
      </x:c>
      <x:c r="X29" t="n">
        <x:f>IFERROR(IRR(C29:W29),-1)</x:f>
        <x:v>0.12553802528879227</x:v>
      </x:c>
    </x:row>
    <x:row r="30">
      <x:c r="A30" t="n">
        <x:v>0.1</x:v>
      </x:c>
      <x:c r="B30" t="n">
        <x:v>0.35</x:v>
      </x:c>
      <x:c r="C30" t="n">
        <x:f>((IF(C$1-'Underlying Mechanics'!$B$8&lt;0,0,'Underlying Mechanics'!$B$22*'Underlying Mechanics'!$B$15*INDEX('Underlying Mechanics'!$B$31:$B$51,C$1-'Underlying Mechanics'!$B$8+1)*'Underlying Mechanics'!$B$5))*(1-$A30))-IF(C$1=0,'Underlying Mechanics'!$B$23*(1-$B30),0)-IF(C$1&gt;0,'Underlying Mechanics'!$B$22*'Underlying Mechanics'!$B$17,0)-IF(C$1&gt;0,'Underlying Mechanics'!$B$12*'Underlying Mechanics'!$B$18,0)</x:f>
        <x:v>-97500</x:v>
      </x:c>
      <x:c r="D30" t="n">
        <x:f>((IF(D$1-'Underlying Mechanics'!$B$8&lt;0,0,'Underlying Mechanics'!$B$22*'Underlying Mechanics'!$B$15*INDEX('Underlying Mechanics'!$B$31:$B$51,D$1-'Underlying Mechanics'!$B$8+1)*'Underlying Mechanics'!$B$5))*(1-$A30))-IF(D$1=0,'Underlying Mechanics'!$B$23*(1-$B30),0)-IF(D$1&gt;0,'Underlying Mechanics'!$B$22*'Underlying Mechanics'!$B$17,0)-IF(D$1&gt;0,'Underlying Mechanics'!$B$12*'Underlying Mechanics'!$B$18,0)</x:f>
        <x:v>-22500</x:v>
      </x:c>
      <x:c r="E30" t="n">
        <x:f>((IF(E$1-'Underlying Mechanics'!$B$8&lt;0,0,'Underlying Mechanics'!$B$22*'Underlying Mechanics'!$B$15*INDEX('Underlying Mechanics'!$B$31:$B$51,E$1-'Underlying Mechanics'!$B$8+1)*'Underlying Mechanics'!$B$5))*(1-$A30))-IF(E$1=0,'Underlying Mechanics'!$B$23*(1-$B30),0)-IF(E$1&gt;0,'Underlying Mechanics'!$B$22*'Underlying Mechanics'!$B$17,0)-IF(E$1&gt;0,'Underlying Mechanics'!$B$12*'Underlying Mechanics'!$B$18,0)</x:f>
        <x:v>-22500</x:v>
      </x:c>
      <x:c r="F30" t="n">
        <x:f>((IF(F$1-'Underlying Mechanics'!$B$8&lt;0,0,'Underlying Mechanics'!$B$22*'Underlying Mechanics'!$B$15*INDEX('Underlying Mechanics'!$B$31:$B$51,F$1-'Underlying Mechanics'!$B$8+1)*'Underlying Mechanics'!$B$5))*(1-$A30))-IF(F$1=0,'Underlying Mechanics'!$B$23*(1-$B30),0)-IF(F$1&gt;0,'Underlying Mechanics'!$B$22*'Underlying Mechanics'!$B$17,0)-IF(F$1&gt;0,'Underlying Mechanics'!$B$12*'Underlying Mechanics'!$B$18,0)</x:f>
        <x:v>-20340</x:v>
      </x:c>
      <x:c r="G30" t="n">
        <x:f>((IF(G$1-'Underlying Mechanics'!$B$8&lt;0,0,'Underlying Mechanics'!$B$22*'Underlying Mechanics'!$B$15*INDEX('Underlying Mechanics'!$B$31:$B$51,G$1-'Underlying Mechanics'!$B$8+1)*'Underlying Mechanics'!$B$5))*(1-$A30))-IF(G$1=0,'Underlying Mechanics'!$B$23*(1-$B30),0)-IF(G$1&gt;0,'Underlying Mechanics'!$B$22*'Underlying Mechanics'!$B$17,0)-IF(G$1&gt;0,'Underlying Mechanics'!$B$12*'Underlying Mechanics'!$B$18,0)</x:f>
        <x:v>-17100</x:v>
      </x:c>
      <x:c r="H30" t="n">
        <x:f>((IF(H$1-'Underlying Mechanics'!$B$8&lt;0,0,'Underlying Mechanics'!$B$22*'Underlying Mechanics'!$B$15*INDEX('Underlying Mechanics'!$B$31:$B$51,H$1-'Underlying Mechanics'!$B$8+1)*'Underlying Mechanics'!$B$5))*(1-$A30))-IF(H$1=0,'Underlying Mechanics'!$B$23*(1-$B30),0)-IF(H$1&gt;0,'Underlying Mechanics'!$B$22*'Underlying Mechanics'!$B$17,0)-IF(H$1&gt;0,'Underlying Mechanics'!$B$12*'Underlying Mechanics'!$B$18,0)</x:f>
        <x:v>-11700</x:v>
      </x:c>
      <x:c r="I30" t="n">
        <x:f>((IF(I$1-'Underlying Mechanics'!$B$8&lt;0,0,'Underlying Mechanics'!$B$22*'Underlying Mechanics'!$B$15*INDEX('Underlying Mechanics'!$B$31:$B$51,I$1-'Underlying Mechanics'!$B$8+1)*'Underlying Mechanics'!$B$5))*(1-$A30))-IF(I$1=0,'Underlying Mechanics'!$B$23*(1-$B30),0)-IF(I$1&gt;0,'Underlying Mechanics'!$B$22*'Underlying Mechanics'!$B$17,0)-IF(I$1&gt;0,'Underlying Mechanics'!$B$12*'Underlying Mechanics'!$B$18,0)</x:f>
        <x:v>-3060</x:v>
      </x:c>
      <x:c r="J30" t="n">
        <x:f>((IF(J$1-'Underlying Mechanics'!$B$8&lt;0,0,'Underlying Mechanics'!$B$22*'Underlying Mechanics'!$B$15*INDEX('Underlying Mechanics'!$B$31:$B$51,J$1-'Underlying Mechanics'!$B$8+1)*'Underlying Mechanics'!$B$5))*(1-$A30))-IF(J$1=0,'Underlying Mechanics'!$B$23*(1-$B30),0)-IF(J$1&gt;0,'Underlying Mechanics'!$B$22*'Underlying Mechanics'!$B$17,0)-IF(J$1&gt;0,'Underlying Mechanics'!$B$12*'Underlying Mechanics'!$B$18,0)</x:f>
        <x:v>7740.000000000007</x:v>
      </x:c>
      <x:c r="K30" t="n">
        <x:f>((IF(K$1-'Underlying Mechanics'!$B$8&lt;0,0,'Underlying Mechanics'!$B$22*'Underlying Mechanics'!$B$15*INDEX('Underlying Mechanics'!$B$31:$B$51,K$1-'Underlying Mechanics'!$B$8+1)*'Underlying Mechanics'!$B$5))*(1-$A30))-IF(K$1=0,'Underlying Mechanics'!$B$23*(1-$B30),0)-IF(K$1&gt;0,'Underlying Mechanics'!$B$22*'Underlying Mechanics'!$B$17,0)-IF(K$1&gt;0,'Underlying Mechanics'!$B$12*'Underlying Mechanics'!$B$18,0)</x:f>
        <x:v>20700</x:v>
      </x:c>
      <x:c r="L30" t="n">
        <x:f>((IF(L$1-'Underlying Mechanics'!$B$8&lt;0,0,'Underlying Mechanics'!$B$22*'Underlying Mechanics'!$B$15*INDEX('Underlying Mechanics'!$B$31:$B$51,L$1-'Underlying Mechanics'!$B$8+1)*'Underlying Mechanics'!$B$5))*(1-$A30))-IF(L$1=0,'Underlying Mechanics'!$B$23*(1-$B30),0)-IF(L$1&gt;0,'Underlying Mechanics'!$B$22*'Underlying Mechanics'!$B$17,0)-IF(L$1&gt;0,'Underlying Mechanics'!$B$12*'Underlying Mechanics'!$B$18,0)</x:f>
        <x:v>35820</x:v>
      </x:c>
      <x:c r="M30" t="n">
        <x:f>((IF(M$1-'Underlying Mechanics'!$B$8&lt;0,0,'Underlying Mechanics'!$B$22*'Underlying Mechanics'!$B$15*INDEX('Underlying Mechanics'!$B$31:$B$51,M$1-'Underlying Mechanics'!$B$8+1)*'Underlying Mechanics'!$B$5))*(1-$A30))-IF(M$1=0,'Underlying Mechanics'!$B$23*(1-$B30),0)-IF(M$1&gt;0,'Underlying Mechanics'!$B$22*'Underlying Mechanics'!$B$17,0)-IF(M$1&gt;0,'Underlying Mechanics'!$B$12*'Underlying Mechanics'!$B$18,0)</x:f>
        <x:v>50940.000000000015</x:v>
      </x:c>
      <x:c r="N30" t="n">
        <x:f>((IF(N$1-'Underlying Mechanics'!$B$8&lt;0,0,'Underlying Mechanics'!$B$22*'Underlying Mechanics'!$B$15*INDEX('Underlying Mechanics'!$B$31:$B$51,N$1-'Underlying Mechanics'!$B$8+1)*'Underlying Mechanics'!$B$5))*(1-$A30))-IF(N$1=0,'Underlying Mechanics'!$B$23*(1-$B30),0)-IF(N$1&gt;0,'Underlying Mechanics'!$B$22*'Underlying Mechanics'!$B$17,0)-IF(N$1&gt;0,'Underlying Mechanics'!$B$12*'Underlying Mechanics'!$B$18,0)</x:f>
        <x:v>63900</x:v>
      </x:c>
      <x:c r="O30" t="n">
        <x:f>((IF(O$1-'Underlying Mechanics'!$B$8&lt;0,0,'Underlying Mechanics'!$B$22*'Underlying Mechanics'!$B$15*INDEX('Underlying Mechanics'!$B$31:$B$51,O$1-'Underlying Mechanics'!$B$8+1)*'Underlying Mechanics'!$B$5))*(1-$A30))-IF(O$1=0,'Underlying Mechanics'!$B$23*(1-$B30),0)-IF(O$1&gt;0,'Underlying Mechanics'!$B$22*'Underlying Mechanics'!$B$17,0)-IF(O$1&gt;0,'Underlying Mechanics'!$B$12*'Underlying Mechanics'!$B$18,0)</x:f>
        <x:v>74700</x:v>
      </x:c>
      <x:c r="P30" t="n">
        <x:f>((IF(P$1-'Underlying Mechanics'!$B$8&lt;0,0,'Underlying Mechanics'!$B$22*'Underlying Mechanics'!$B$15*INDEX('Underlying Mechanics'!$B$31:$B$51,P$1-'Underlying Mechanics'!$B$8+1)*'Underlying Mechanics'!$B$5))*(1-$A30))-IF(P$1=0,'Underlying Mechanics'!$B$23*(1-$B30),0)-IF(P$1&gt;0,'Underlying Mechanics'!$B$22*'Underlying Mechanics'!$B$17,0)-IF(P$1&gt;0,'Underlying Mechanics'!$B$12*'Underlying Mechanics'!$B$18,0)</x:f>
        <x:v>85500</x:v>
      </x:c>
      <x:c r="Q30" t="n">
        <x:f>((IF(Q$1-'Underlying Mechanics'!$B$8&lt;0,0,'Underlying Mechanics'!$B$22*'Underlying Mechanics'!$B$15*INDEX('Underlying Mechanics'!$B$31:$B$51,Q$1-'Underlying Mechanics'!$B$8+1)*'Underlying Mechanics'!$B$5))*(1-$A30))-IF(Q$1=0,'Underlying Mechanics'!$B$23*(1-$B30),0)-IF(Q$1&gt;0,'Underlying Mechanics'!$B$22*'Underlying Mechanics'!$B$17,0)-IF(Q$1&gt;0,'Underlying Mechanics'!$B$12*'Underlying Mechanics'!$B$18,0)</x:f>
        <x:v>85500</x:v>
      </x:c>
      <x:c r="R30" t="n">
        <x:f>((IF(R$1-'Underlying Mechanics'!$B$8&lt;0,0,'Underlying Mechanics'!$B$22*'Underlying Mechanics'!$B$15*INDEX('Underlying Mechanics'!$B$31:$B$51,R$1-'Underlying Mechanics'!$B$8+1)*'Underlying Mechanics'!$B$5))*(1-$A30))-IF(R$1=0,'Underlying Mechanics'!$B$23*(1-$B30),0)-IF(R$1&gt;0,'Underlying Mechanics'!$B$22*'Underlying Mechanics'!$B$17,0)-IF(R$1&gt;0,'Underlying Mechanics'!$B$12*'Underlying Mechanics'!$B$18,0)</x:f>
        <x:v>85500</x:v>
      </x:c>
      <x:c r="S30" t="n">
        <x:f>((IF(S$1-'Underlying Mechanics'!$B$8&lt;0,0,'Underlying Mechanics'!$B$22*'Underlying Mechanics'!$B$15*INDEX('Underlying Mechanics'!$B$31:$B$51,S$1-'Underlying Mechanics'!$B$8+1)*'Underlying Mechanics'!$B$5))*(1-$A30))-IF(S$1=0,'Underlying Mechanics'!$B$23*(1-$B30),0)-IF(S$1&gt;0,'Underlying Mechanics'!$B$22*'Underlying Mechanics'!$B$17,0)-IF(S$1&gt;0,'Underlying Mechanics'!$B$12*'Underlying Mechanics'!$B$18,0)</x:f>
        <x:v>85500</x:v>
      </x:c>
      <x:c r="T30" t="n">
        <x:f>((IF(T$1-'Underlying Mechanics'!$B$8&lt;0,0,'Underlying Mechanics'!$B$22*'Underlying Mechanics'!$B$15*INDEX('Underlying Mechanics'!$B$31:$B$51,T$1-'Underlying Mechanics'!$B$8+1)*'Underlying Mechanics'!$B$5))*(1-$A30))-IF(T$1=0,'Underlying Mechanics'!$B$23*(1-$B30),0)-IF(T$1&gt;0,'Underlying Mechanics'!$B$22*'Underlying Mechanics'!$B$17,0)-IF(T$1&gt;0,'Underlying Mechanics'!$B$12*'Underlying Mechanics'!$B$18,0)</x:f>
        <x:v>85500</x:v>
      </x:c>
      <x:c r="U30" t="n">
        <x:f>((IF(U$1-'Underlying Mechanics'!$B$8&lt;0,0,'Underlying Mechanics'!$B$22*'Underlying Mechanics'!$B$15*INDEX('Underlying Mechanics'!$B$31:$B$51,U$1-'Underlying Mechanics'!$B$8+1)*'Underlying Mechanics'!$B$5))*(1-$A30))-IF(U$1=0,'Underlying Mechanics'!$B$23*(1-$B30),0)-IF(U$1&gt;0,'Underlying Mechanics'!$B$22*'Underlying Mechanics'!$B$17,0)-IF(U$1&gt;0,'Underlying Mechanics'!$B$12*'Underlying Mechanics'!$B$18,0)</x:f>
        <x:v>85500</x:v>
      </x:c>
      <x:c r="V30" t="n">
        <x:f>((IF(V$1-'Underlying Mechanics'!$B$8&lt;0,0,'Underlying Mechanics'!$B$22*'Underlying Mechanics'!$B$15*INDEX('Underlying Mechanics'!$B$31:$B$51,V$1-'Underlying Mechanics'!$B$8+1)*'Underlying Mechanics'!$B$5))*(1-$A30))-IF(V$1=0,'Underlying Mechanics'!$B$23*(1-$B30),0)-IF(V$1&gt;0,'Underlying Mechanics'!$B$22*'Underlying Mechanics'!$B$17,0)-IF(V$1&gt;0,'Underlying Mechanics'!$B$12*'Underlying Mechanics'!$B$18,0)</x:f>
        <x:v>85500</x:v>
      </x:c>
      <x:c r="W30" t="n">
        <x:f>((IF(W$1-'Underlying Mechanics'!$B$8&lt;0,0,'Underlying Mechanics'!$B$22*'Underlying Mechanics'!$B$15*INDEX('Underlying Mechanics'!$B$31:$B$51,W$1-'Underlying Mechanics'!$B$8+1)*'Underlying Mechanics'!$B$5))*(1-$A30))-IF(W$1=0,'Underlying Mechanics'!$B$23*(1-$B30),0)-IF(W$1&gt;0,'Underlying Mechanics'!$B$22*'Underlying Mechanics'!$B$17,0)-IF(W$1&gt;0,'Underlying Mechanics'!$B$12*'Underlying Mechanics'!$B$18,0)</x:f>
        <x:v>85500</x:v>
      </x:c>
      <x:c r="X30" t="n">
        <x:f>IFERROR(IRR(C30:W30),-1)</x:f>
        <x:v>0.12951760370940552</x:v>
      </x:c>
    </x:row>
    <x:row r="31">
      <x:c r="A31" t="n">
        <x:v>0.1</x:v>
      </x:c>
      <x:c r="B31" t="n">
        <x:v>0.4</x:v>
      </x:c>
      <x:c r="C31" t="n">
        <x:f>((IF(C$1-'Underlying Mechanics'!$B$8&lt;0,0,'Underlying Mechanics'!$B$22*'Underlying Mechanics'!$B$15*INDEX('Underlying Mechanics'!$B$31:$B$51,C$1-'Underlying Mechanics'!$B$8+1)*'Underlying Mechanics'!$B$5))*(1-$A31))-IF(C$1=0,'Underlying Mechanics'!$B$23*(1-$B31),0)-IF(C$1&gt;0,'Underlying Mechanics'!$B$22*'Underlying Mechanics'!$B$17,0)-IF(C$1&gt;0,'Underlying Mechanics'!$B$12*'Underlying Mechanics'!$B$18,0)</x:f>
        <x:v>-90000</x:v>
      </x:c>
      <x:c r="D31" t="n">
        <x:f>((IF(D$1-'Underlying Mechanics'!$B$8&lt;0,0,'Underlying Mechanics'!$B$22*'Underlying Mechanics'!$B$15*INDEX('Underlying Mechanics'!$B$31:$B$51,D$1-'Underlying Mechanics'!$B$8+1)*'Underlying Mechanics'!$B$5))*(1-$A31))-IF(D$1=0,'Underlying Mechanics'!$B$23*(1-$B31),0)-IF(D$1&gt;0,'Underlying Mechanics'!$B$22*'Underlying Mechanics'!$B$17,0)-IF(D$1&gt;0,'Underlying Mechanics'!$B$12*'Underlying Mechanics'!$B$18,0)</x:f>
        <x:v>-22500</x:v>
      </x:c>
      <x:c r="E31" t="n">
        <x:f>((IF(E$1-'Underlying Mechanics'!$B$8&lt;0,0,'Underlying Mechanics'!$B$22*'Underlying Mechanics'!$B$15*INDEX('Underlying Mechanics'!$B$31:$B$51,E$1-'Underlying Mechanics'!$B$8+1)*'Underlying Mechanics'!$B$5))*(1-$A31))-IF(E$1=0,'Underlying Mechanics'!$B$23*(1-$B31),0)-IF(E$1&gt;0,'Underlying Mechanics'!$B$22*'Underlying Mechanics'!$B$17,0)-IF(E$1&gt;0,'Underlying Mechanics'!$B$12*'Underlying Mechanics'!$B$18,0)</x:f>
        <x:v>-22500</x:v>
      </x:c>
      <x:c r="F31" t="n">
        <x:f>((IF(F$1-'Underlying Mechanics'!$B$8&lt;0,0,'Underlying Mechanics'!$B$22*'Underlying Mechanics'!$B$15*INDEX('Underlying Mechanics'!$B$31:$B$51,F$1-'Underlying Mechanics'!$B$8+1)*'Underlying Mechanics'!$B$5))*(1-$A31))-IF(F$1=0,'Underlying Mechanics'!$B$23*(1-$B31),0)-IF(F$1&gt;0,'Underlying Mechanics'!$B$22*'Underlying Mechanics'!$B$17,0)-IF(F$1&gt;0,'Underlying Mechanics'!$B$12*'Underlying Mechanics'!$B$18,0)</x:f>
        <x:v>-20340</x:v>
      </x:c>
      <x:c r="G31" t="n">
        <x:f>((IF(G$1-'Underlying Mechanics'!$B$8&lt;0,0,'Underlying Mechanics'!$B$22*'Underlying Mechanics'!$B$15*INDEX('Underlying Mechanics'!$B$31:$B$51,G$1-'Underlying Mechanics'!$B$8+1)*'Underlying Mechanics'!$B$5))*(1-$A31))-IF(G$1=0,'Underlying Mechanics'!$B$23*(1-$B31),0)-IF(G$1&gt;0,'Underlying Mechanics'!$B$22*'Underlying Mechanics'!$B$17,0)-IF(G$1&gt;0,'Underlying Mechanics'!$B$12*'Underlying Mechanics'!$B$18,0)</x:f>
        <x:v>-17100</x:v>
      </x:c>
      <x:c r="H31" t="n">
        <x:f>((IF(H$1-'Underlying Mechanics'!$B$8&lt;0,0,'Underlying Mechanics'!$B$22*'Underlying Mechanics'!$B$15*INDEX('Underlying Mechanics'!$B$31:$B$51,H$1-'Underlying Mechanics'!$B$8+1)*'Underlying Mechanics'!$B$5))*(1-$A31))-IF(H$1=0,'Underlying Mechanics'!$B$23*(1-$B31),0)-IF(H$1&gt;0,'Underlying Mechanics'!$B$22*'Underlying Mechanics'!$B$17,0)-IF(H$1&gt;0,'Underlying Mechanics'!$B$12*'Underlying Mechanics'!$B$18,0)</x:f>
        <x:v>-11700</x:v>
      </x:c>
      <x:c r="I31" t="n">
        <x:f>((IF(I$1-'Underlying Mechanics'!$B$8&lt;0,0,'Underlying Mechanics'!$B$22*'Underlying Mechanics'!$B$15*INDEX('Underlying Mechanics'!$B$31:$B$51,I$1-'Underlying Mechanics'!$B$8+1)*'Underlying Mechanics'!$B$5))*(1-$A31))-IF(I$1=0,'Underlying Mechanics'!$B$23*(1-$B31),0)-IF(I$1&gt;0,'Underlying Mechanics'!$B$22*'Underlying Mechanics'!$B$17,0)-IF(I$1&gt;0,'Underlying Mechanics'!$B$12*'Underlying Mechanics'!$B$18,0)</x:f>
        <x:v>-3060</x:v>
      </x:c>
      <x:c r="J31" t="n">
        <x:f>((IF(J$1-'Underlying Mechanics'!$B$8&lt;0,0,'Underlying Mechanics'!$B$22*'Underlying Mechanics'!$B$15*INDEX('Underlying Mechanics'!$B$31:$B$51,J$1-'Underlying Mechanics'!$B$8+1)*'Underlying Mechanics'!$B$5))*(1-$A31))-IF(J$1=0,'Underlying Mechanics'!$B$23*(1-$B31),0)-IF(J$1&gt;0,'Underlying Mechanics'!$B$22*'Underlying Mechanics'!$B$17,0)-IF(J$1&gt;0,'Underlying Mechanics'!$B$12*'Underlying Mechanics'!$B$18,0)</x:f>
        <x:v>7740.000000000007</x:v>
      </x:c>
      <x:c r="K31" t="n">
        <x:f>((IF(K$1-'Underlying Mechanics'!$B$8&lt;0,0,'Underlying Mechanics'!$B$22*'Underlying Mechanics'!$B$15*INDEX('Underlying Mechanics'!$B$31:$B$51,K$1-'Underlying Mechanics'!$B$8+1)*'Underlying Mechanics'!$B$5))*(1-$A31))-IF(K$1=0,'Underlying Mechanics'!$B$23*(1-$B31),0)-IF(K$1&gt;0,'Underlying Mechanics'!$B$22*'Underlying Mechanics'!$B$17,0)-IF(K$1&gt;0,'Underlying Mechanics'!$B$12*'Underlying Mechanics'!$B$18,0)</x:f>
        <x:v>20700</x:v>
      </x:c>
      <x:c r="L31" t="n">
        <x:f>((IF(L$1-'Underlying Mechanics'!$B$8&lt;0,0,'Underlying Mechanics'!$B$22*'Underlying Mechanics'!$B$15*INDEX('Underlying Mechanics'!$B$31:$B$51,L$1-'Underlying Mechanics'!$B$8+1)*'Underlying Mechanics'!$B$5))*(1-$A31))-IF(L$1=0,'Underlying Mechanics'!$B$23*(1-$B31),0)-IF(L$1&gt;0,'Underlying Mechanics'!$B$22*'Underlying Mechanics'!$B$17,0)-IF(L$1&gt;0,'Underlying Mechanics'!$B$12*'Underlying Mechanics'!$B$18,0)</x:f>
        <x:v>35820</x:v>
      </x:c>
      <x:c r="M31" t="n">
        <x:f>((IF(M$1-'Underlying Mechanics'!$B$8&lt;0,0,'Underlying Mechanics'!$B$22*'Underlying Mechanics'!$B$15*INDEX('Underlying Mechanics'!$B$31:$B$51,M$1-'Underlying Mechanics'!$B$8+1)*'Underlying Mechanics'!$B$5))*(1-$A31))-IF(M$1=0,'Underlying Mechanics'!$B$23*(1-$B31),0)-IF(M$1&gt;0,'Underlying Mechanics'!$B$22*'Underlying Mechanics'!$B$17,0)-IF(M$1&gt;0,'Underlying Mechanics'!$B$12*'Underlying Mechanics'!$B$18,0)</x:f>
        <x:v>50940.000000000015</x:v>
      </x:c>
      <x:c r="N31" t="n">
        <x:f>((IF(N$1-'Underlying Mechanics'!$B$8&lt;0,0,'Underlying Mechanics'!$B$22*'Underlying Mechanics'!$B$15*INDEX('Underlying Mechanics'!$B$31:$B$51,N$1-'Underlying Mechanics'!$B$8+1)*'Underlying Mechanics'!$B$5))*(1-$A31))-IF(N$1=0,'Underlying Mechanics'!$B$23*(1-$B31),0)-IF(N$1&gt;0,'Underlying Mechanics'!$B$22*'Underlying Mechanics'!$B$17,0)-IF(N$1&gt;0,'Underlying Mechanics'!$B$12*'Underlying Mechanics'!$B$18,0)</x:f>
        <x:v>63900</x:v>
      </x:c>
      <x:c r="O31" t="n">
        <x:f>((IF(O$1-'Underlying Mechanics'!$B$8&lt;0,0,'Underlying Mechanics'!$B$22*'Underlying Mechanics'!$B$15*INDEX('Underlying Mechanics'!$B$31:$B$51,O$1-'Underlying Mechanics'!$B$8+1)*'Underlying Mechanics'!$B$5))*(1-$A31))-IF(O$1=0,'Underlying Mechanics'!$B$23*(1-$B31),0)-IF(O$1&gt;0,'Underlying Mechanics'!$B$22*'Underlying Mechanics'!$B$17,0)-IF(O$1&gt;0,'Underlying Mechanics'!$B$12*'Underlying Mechanics'!$B$18,0)</x:f>
        <x:v>74700</x:v>
      </x:c>
      <x:c r="P31" t="n">
        <x:f>((IF(P$1-'Underlying Mechanics'!$B$8&lt;0,0,'Underlying Mechanics'!$B$22*'Underlying Mechanics'!$B$15*INDEX('Underlying Mechanics'!$B$31:$B$51,P$1-'Underlying Mechanics'!$B$8+1)*'Underlying Mechanics'!$B$5))*(1-$A31))-IF(P$1=0,'Underlying Mechanics'!$B$23*(1-$B31),0)-IF(P$1&gt;0,'Underlying Mechanics'!$B$22*'Underlying Mechanics'!$B$17,0)-IF(P$1&gt;0,'Underlying Mechanics'!$B$12*'Underlying Mechanics'!$B$18,0)</x:f>
        <x:v>85500</x:v>
      </x:c>
      <x:c r="Q31" t="n">
        <x:f>((IF(Q$1-'Underlying Mechanics'!$B$8&lt;0,0,'Underlying Mechanics'!$B$22*'Underlying Mechanics'!$B$15*INDEX('Underlying Mechanics'!$B$31:$B$51,Q$1-'Underlying Mechanics'!$B$8+1)*'Underlying Mechanics'!$B$5))*(1-$A31))-IF(Q$1=0,'Underlying Mechanics'!$B$23*(1-$B31),0)-IF(Q$1&gt;0,'Underlying Mechanics'!$B$22*'Underlying Mechanics'!$B$17,0)-IF(Q$1&gt;0,'Underlying Mechanics'!$B$12*'Underlying Mechanics'!$B$18,0)</x:f>
        <x:v>85500</x:v>
      </x:c>
      <x:c r="R31" t="n">
        <x:f>((IF(R$1-'Underlying Mechanics'!$B$8&lt;0,0,'Underlying Mechanics'!$B$22*'Underlying Mechanics'!$B$15*INDEX('Underlying Mechanics'!$B$31:$B$51,R$1-'Underlying Mechanics'!$B$8+1)*'Underlying Mechanics'!$B$5))*(1-$A31))-IF(R$1=0,'Underlying Mechanics'!$B$23*(1-$B31),0)-IF(R$1&gt;0,'Underlying Mechanics'!$B$22*'Underlying Mechanics'!$B$17,0)-IF(R$1&gt;0,'Underlying Mechanics'!$B$12*'Underlying Mechanics'!$B$18,0)</x:f>
        <x:v>85500</x:v>
      </x:c>
      <x:c r="S31" t="n">
        <x:f>((IF(S$1-'Underlying Mechanics'!$B$8&lt;0,0,'Underlying Mechanics'!$B$22*'Underlying Mechanics'!$B$15*INDEX('Underlying Mechanics'!$B$31:$B$51,S$1-'Underlying Mechanics'!$B$8+1)*'Underlying Mechanics'!$B$5))*(1-$A31))-IF(S$1=0,'Underlying Mechanics'!$B$23*(1-$B31),0)-IF(S$1&gt;0,'Underlying Mechanics'!$B$22*'Underlying Mechanics'!$B$17,0)-IF(S$1&gt;0,'Underlying Mechanics'!$B$12*'Underlying Mechanics'!$B$18,0)</x:f>
        <x:v>85500</x:v>
      </x:c>
      <x:c r="T31" t="n">
        <x:f>((IF(T$1-'Underlying Mechanics'!$B$8&lt;0,0,'Underlying Mechanics'!$B$22*'Underlying Mechanics'!$B$15*INDEX('Underlying Mechanics'!$B$31:$B$51,T$1-'Underlying Mechanics'!$B$8+1)*'Underlying Mechanics'!$B$5))*(1-$A31))-IF(T$1=0,'Underlying Mechanics'!$B$23*(1-$B31),0)-IF(T$1&gt;0,'Underlying Mechanics'!$B$22*'Underlying Mechanics'!$B$17,0)-IF(T$1&gt;0,'Underlying Mechanics'!$B$12*'Underlying Mechanics'!$B$18,0)</x:f>
        <x:v>85500</x:v>
      </x:c>
      <x:c r="U31" t="n">
        <x:f>((IF(U$1-'Underlying Mechanics'!$B$8&lt;0,0,'Underlying Mechanics'!$B$22*'Underlying Mechanics'!$B$15*INDEX('Underlying Mechanics'!$B$31:$B$51,U$1-'Underlying Mechanics'!$B$8+1)*'Underlying Mechanics'!$B$5))*(1-$A31))-IF(U$1=0,'Underlying Mechanics'!$B$23*(1-$B31),0)-IF(U$1&gt;0,'Underlying Mechanics'!$B$22*'Underlying Mechanics'!$B$17,0)-IF(U$1&gt;0,'Underlying Mechanics'!$B$12*'Underlying Mechanics'!$B$18,0)</x:f>
        <x:v>85500</x:v>
      </x:c>
      <x:c r="V31" t="n">
        <x:f>((IF(V$1-'Underlying Mechanics'!$B$8&lt;0,0,'Underlying Mechanics'!$B$22*'Underlying Mechanics'!$B$15*INDEX('Underlying Mechanics'!$B$31:$B$51,V$1-'Underlying Mechanics'!$B$8+1)*'Underlying Mechanics'!$B$5))*(1-$A31))-IF(V$1=0,'Underlying Mechanics'!$B$23*(1-$B31),0)-IF(V$1&gt;0,'Underlying Mechanics'!$B$22*'Underlying Mechanics'!$B$17,0)-IF(V$1&gt;0,'Underlying Mechanics'!$B$12*'Underlying Mechanics'!$B$18,0)</x:f>
        <x:v>85500</x:v>
      </x:c>
      <x:c r="W31" t="n">
        <x:f>((IF(W$1-'Underlying Mechanics'!$B$8&lt;0,0,'Underlying Mechanics'!$B$22*'Underlying Mechanics'!$B$15*INDEX('Underlying Mechanics'!$B$31:$B$51,W$1-'Underlying Mechanics'!$B$8+1)*'Underlying Mechanics'!$B$5))*(1-$A31))-IF(W$1=0,'Underlying Mechanics'!$B$23*(1-$B31),0)-IF(W$1&gt;0,'Underlying Mechanics'!$B$22*'Underlying Mechanics'!$B$17,0)-IF(W$1&gt;0,'Underlying Mechanics'!$B$12*'Underlying Mechanics'!$B$18,0)</x:f>
        <x:v>85500</x:v>
      </x:c>
      <x:c r="X31" t="n">
        <x:f>IFERROR(IRR(C31:W31),-1)</x:f>
        <x:v>0.1337389250616965</x:v>
      </x:c>
    </x:row>
    <x:row r="32">
      <x:c r="A32" t="n">
        <x:v>0.1</x:v>
      </x:c>
      <x:c r="B32" t="n">
        <x:v>0.45</x:v>
      </x:c>
      <x:c r="C32" t="n">
        <x:f>((IF(C$1-'Underlying Mechanics'!$B$8&lt;0,0,'Underlying Mechanics'!$B$22*'Underlying Mechanics'!$B$15*INDEX('Underlying Mechanics'!$B$31:$B$51,C$1-'Underlying Mechanics'!$B$8+1)*'Underlying Mechanics'!$B$5))*(1-$A32))-IF(C$1=0,'Underlying Mechanics'!$B$23*(1-$B32),0)-IF(C$1&gt;0,'Underlying Mechanics'!$B$22*'Underlying Mechanics'!$B$17,0)-IF(C$1&gt;0,'Underlying Mechanics'!$B$12*'Underlying Mechanics'!$B$18,0)</x:f>
        <x:v>-82500</x:v>
      </x:c>
      <x:c r="D32" t="n">
        <x:f>((IF(D$1-'Underlying Mechanics'!$B$8&lt;0,0,'Underlying Mechanics'!$B$22*'Underlying Mechanics'!$B$15*INDEX('Underlying Mechanics'!$B$31:$B$51,D$1-'Underlying Mechanics'!$B$8+1)*'Underlying Mechanics'!$B$5))*(1-$A32))-IF(D$1=0,'Underlying Mechanics'!$B$23*(1-$B32),0)-IF(D$1&gt;0,'Underlying Mechanics'!$B$22*'Underlying Mechanics'!$B$17,0)-IF(D$1&gt;0,'Underlying Mechanics'!$B$12*'Underlying Mechanics'!$B$18,0)</x:f>
        <x:v>-22500</x:v>
      </x:c>
      <x:c r="E32" t="n">
        <x:f>((IF(E$1-'Underlying Mechanics'!$B$8&lt;0,0,'Underlying Mechanics'!$B$22*'Underlying Mechanics'!$B$15*INDEX('Underlying Mechanics'!$B$31:$B$51,E$1-'Underlying Mechanics'!$B$8+1)*'Underlying Mechanics'!$B$5))*(1-$A32))-IF(E$1=0,'Underlying Mechanics'!$B$23*(1-$B32),0)-IF(E$1&gt;0,'Underlying Mechanics'!$B$22*'Underlying Mechanics'!$B$17,0)-IF(E$1&gt;0,'Underlying Mechanics'!$B$12*'Underlying Mechanics'!$B$18,0)</x:f>
        <x:v>-22500</x:v>
      </x:c>
      <x:c r="F32" t="n">
        <x:f>((IF(F$1-'Underlying Mechanics'!$B$8&lt;0,0,'Underlying Mechanics'!$B$22*'Underlying Mechanics'!$B$15*INDEX('Underlying Mechanics'!$B$31:$B$51,F$1-'Underlying Mechanics'!$B$8+1)*'Underlying Mechanics'!$B$5))*(1-$A32))-IF(F$1=0,'Underlying Mechanics'!$B$23*(1-$B32),0)-IF(F$1&gt;0,'Underlying Mechanics'!$B$22*'Underlying Mechanics'!$B$17,0)-IF(F$1&gt;0,'Underlying Mechanics'!$B$12*'Underlying Mechanics'!$B$18,0)</x:f>
        <x:v>-20340</x:v>
      </x:c>
      <x:c r="G32" t="n">
        <x:f>((IF(G$1-'Underlying Mechanics'!$B$8&lt;0,0,'Underlying Mechanics'!$B$22*'Underlying Mechanics'!$B$15*INDEX('Underlying Mechanics'!$B$31:$B$51,G$1-'Underlying Mechanics'!$B$8+1)*'Underlying Mechanics'!$B$5))*(1-$A32))-IF(G$1=0,'Underlying Mechanics'!$B$23*(1-$B32),0)-IF(G$1&gt;0,'Underlying Mechanics'!$B$22*'Underlying Mechanics'!$B$17,0)-IF(G$1&gt;0,'Underlying Mechanics'!$B$12*'Underlying Mechanics'!$B$18,0)</x:f>
        <x:v>-17100</x:v>
      </x:c>
      <x:c r="H32" t="n">
        <x:f>((IF(H$1-'Underlying Mechanics'!$B$8&lt;0,0,'Underlying Mechanics'!$B$22*'Underlying Mechanics'!$B$15*INDEX('Underlying Mechanics'!$B$31:$B$51,H$1-'Underlying Mechanics'!$B$8+1)*'Underlying Mechanics'!$B$5))*(1-$A32))-IF(H$1=0,'Underlying Mechanics'!$B$23*(1-$B32),0)-IF(H$1&gt;0,'Underlying Mechanics'!$B$22*'Underlying Mechanics'!$B$17,0)-IF(H$1&gt;0,'Underlying Mechanics'!$B$12*'Underlying Mechanics'!$B$18,0)</x:f>
        <x:v>-11700</x:v>
      </x:c>
      <x:c r="I32" t="n">
        <x:f>((IF(I$1-'Underlying Mechanics'!$B$8&lt;0,0,'Underlying Mechanics'!$B$22*'Underlying Mechanics'!$B$15*INDEX('Underlying Mechanics'!$B$31:$B$51,I$1-'Underlying Mechanics'!$B$8+1)*'Underlying Mechanics'!$B$5))*(1-$A32))-IF(I$1=0,'Underlying Mechanics'!$B$23*(1-$B32),0)-IF(I$1&gt;0,'Underlying Mechanics'!$B$22*'Underlying Mechanics'!$B$17,0)-IF(I$1&gt;0,'Underlying Mechanics'!$B$12*'Underlying Mechanics'!$B$18,0)</x:f>
        <x:v>-3060</x:v>
      </x:c>
      <x:c r="J32" t="n">
        <x:f>((IF(J$1-'Underlying Mechanics'!$B$8&lt;0,0,'Underlying Mechanics'!$B$22*'Underlying Mechanics'!$B$15*INDEX('Underlying Mechanics'!$B$31:$B$51,J$1-'Underlying Mechanics'!$B$8+1)*'Underlying Mechanics'!$B$5))*(1-$A32))-IF(J$1=0,'Underlying Mechanics'!$B$23*(1-$B32),0)-IF(J$1&gt;0,'Underlying Mechanics'!$B$22*'Underlying Mechanics'!$B$17,0)-IF(J$1&gt;0,'Underlying Mechanics'!$B$12*'Underlying Mechanics'!$B$18,0)</x:f>
        <x:v>7740.000000000007</x:v>
      </x:c>
      <x:c r="K32" t="n">
        <x:f>((IF(K$1-'Underlying Mechanics'!$B$8&lt;0,0,'Underlying Mechanics'!$B$22*'Underlying Mechanics'!$B$15*INDEX('Underlying Mechanics'!$B$31:$B$51,K$1-'Underlying Mechanics'!$B$8+1)*'Underlying Mechanics'!$B$5))*(1-$A32))-IF(K$1=0,'Underlying Mechanics'!$B$23*(1-$B32),0)-IF(K$1&gt;0,'Underlying Mechanics'!$B$22*'Underlying Mechanics'!$B$17,0)-IF(K$1&gt;0,'Underlying Mechanics'!$B$12*'Underlying Mechanics'!$B$18,0)</x:f>
        <x:v>20700</x:v>
      </x:c>
      <x:c r="L32" t="n">
        <x:f>((IF(L$1-'Underlying Mechanics'!$B$8&lt;0,0,'Underlying Mechanics'!$B$22*'Underlying Mechanics'!$B$15*INDEX('Underlying Mechanics'!$B$31:$B$51,L$1-'Underlying Mechanics'!$B$8+1)*'Underlying Mechanics'!$B$5))*(1-$A32))-IF(L$1=0,'Underlying Mechanics'!$B$23*(1-$B32),0)-IF(L$1&gt;0,'Underlying Mechanics'!$B$22*'Underlying Mechanics'!$B$17,0)-IF(L$1&gt;0,'Underlying Mechanics'!$B$12*'Underlying Mechanics'!$B$18,0)</x:f>
        <x:v>35820</x:v>
      </x:c>
      <x:c r="M32" t="n">
        <x:f>((IF(M$1-'Underlying Mechanics'!$B$8&lt;0,0,'Underlying Mechanics'!$B$22*'Underlying Mechanics'!$B$15*INDEX('Underlying Mechanics'!$B$31:$B$51,M$1-'Underlying Mechanics'!$B$8+1)*'Underlying Mechanics'!$B$5))*(1-$A32))-IF(M$1=0,'Underlying Mechanics'!$B$23*(1-$B32),0)-IF(M$1&gt;0,'Underlying Mechanics'!$B$22*'Underlying Mechanics'!$B$17,0)-IF(M$1&gt;0,'Underlying Mechanics'!$B$12*'Underlying Mechanics'!$B$18,0)</x:f>
        <x:v>50940.000000000015</x:v>
      </x:c>
      <x:c r="N32" t="n">
        <x:f>((IF(N$1-'Underlying Mechanics'!$B$8&lt;0,0,'Underlying Mechanics'!$B$22*'Underlying Mechanics'!$B$15*INDEX('Underlying Mechanics'!$B$31:$B$51,N$1-'Underlying Mechanics'!$B$8+1)*'Underlying Mechanics'!$B$5))*(1-$A32))-IF(N$1=0,'Underlying Mechanics'!$B$23*(1-$B32),0)-IF(N$1&gt;0,'Underlying Mechanics'!$B$22*'Underlying Mechanics'!$B$17,0)-IF(N$1&gt;0,'Underlying Mechanics'!$B$12*'Underlying Mechanics'!$B$18,0)</x:f>
        <x:v>63900</x:v>
      </x:c>
      <x:c r="O32" t="n">
        <x:f>((IF(O$1-'Underlying Mechanics'!$B$8&lt;0,0,'Underlying Mechanics'!$B$22*'Underlying Mechanics'!$B$15*INDEX('Underlying Mechanics'!$B$31:$B$51,O$1-'Underlying Mechanics'!$B$8+1)*'Underlying Mechanics'!$B$5))*(1-$A32))-IF(O$1=0,'Underlying Mechanics'!$B$23*(1-$B32),0)-IF(O$1&gt;0,'Underlying Mechanics'!$B$22*'Underlying Mechanics'!$B$17,0)-IF(O$1&gt;0,'Underlying Mechanics'!$B$12*'Underlying Mechanics'!$B$18,0)</x:f>
        <x:v>74700</x:v>
      </x:c>
      <x:c r="P32" t="n">
        <x:f>((IF(P$1-'Underlying Mechanics'!$B$8&lt;0,0,'Underlying Mechanics'!$B$22*'Underlying Mechanics'!$B$15*INDEX('Underlying Mechanics'!$B$31:$B$51,P$1-'Underlying Mechanics'!$B$8+1)*'Underlying Mechanics'!$B$5))*(1-$A32))-IF(P$1=0,'Underlying Mechanics'!$B$23*(1-$B32),0)-IF(P$1&gt;0,'Underlying Mechanics'!$B$22*'Underlying Mechanics'!$B$17,0)-IF(P$1&gt;0,'Underlying Mechanics'!$B$12*'Underlying Mechanics'!$B$18,0)</x:f>
        <x:v>85500</x:v>
      </x:c>
      <x:c r="Q32" t="n">
        <x:f>((IF(Q$1-'Underlying Mechanics'!$B$8&lt;0,0,'Underlying Mechanics'!$B$22*'Underlying Mechanics'!$B$15*INDEX('Underlying Mechanics'!$B$31:$B$51,Q$1-'Underlying Mechanics'!$B$8+1)*'Underlying Mechanics'!$B$5))*(1-$A32))-IF(Q$1=0,'Underlying Mechanics'!$B$23*(1-$B32),0)-IF(Q$1&gt;0,'Underlying Mechanics'!$B$22*'Underlying Mechanics'!$B$17,0)-IF(Q$1&gt;0,'Underlying Mechanics'!$B$12*'Underlying Mechanics'!$B$18,0)</x:f>
        <x:v>85500</x:v>
      </x:c>
      <x:c r="R32" t="n">
        <x:f>((IF(R$1-'Underlying Mechanics'!$B$8&lt;0,0,'Underlying Mechanics'!$B$22*'Underlying Mechanics'!$B$15*INDEX('Underlying Mechanics'!$B$31:$B$51,R$1-'Underlying Mechanics'!$B$8+1)*'Underlying Mechanics'!$B$5))*(1-$A32))-IF(R$1=0,'Underlying Mechanics'!$B$23*(1-$B32),0)-IF(R$1&gt;0,'Underlying Mechanics'!$B$22*'Underlying Mechanics'!$B$17,0)-IF(R$1&gt;0,'Underlying Mechanics'!$B$12*'Underlying Mechanics'!$B$18,0)</x:f>
        <x:v>85500</x:v>
      </x:c>
      <x:c r="S32" t="n">
        <x:f>((IF(S$1-'Underlying Mechanics'!$B$8&lt;0,0,'Underlying Mechanics'!$B$22*'Underlying Mechanics'!$B$15*INDEX('Underlying Mechanics'!$B$31:$B$51,S$1-'Underlying Mechanics'!$B$8+1)*'Underlying Mechanics'!$B$5))*(1-$A32))-IF(S$1=0,'Underlying Mechanics'!$B$23*(1-$B32),0)-IF(S$1&gt;0,'Underlying Mechanics'!$B$22*'Underlying Mechanics'!$B$17,0)-IF(S$1&gt;0,'Underlying Mechanics'!$B$12*'Underlying Mechanics'!$B$18,0)</x:f>
        <x:v>85500</x:v>
      </x:c>
      <x:c r="T32" t="n">
        <x:f>((IF(T$1-'Underlying Mechanics'!$B$8&lt;0,0,'Underlying Mechanics'!$B$22*'Underlying Mechanics'!$B$15*INDEX('Underlying Mechanics'!$B$31:$B$51,T$1-'Underlying Mechanics'!$B$8+1)*'Underlying Mechanics'!$B$5))*(1-$A32))-IF(T$1=0,'Underlying Mechanics'!$B$23*(1-$B32),0)-IF(T$1&gt;0,'Underlying Mechanics'!$B$22*'Underlying Mechanics'!$B$17,0)-IF(T$1&gt;0,'Underlying Mechanics'!$B$12*'Underlying Mechanics'!$B$18,0)</x:f>
        <x:v>85500</x:v>
      </x:c>
      <x:c r="U32" t="n">
        <x:f>((IF(U$1-'Underlying Mechanics'!$B$8&lt;0,0,'Underlying Mechanics'!$B$22*'Underlying Mechanics'!$B$15*INDEX('Underlying Mechanics'!$B$31:$B$51,U$1-'Underlying Mechanics'!$B$8+1)*'Underlying Mechanics'!$B$5))*(1-$A32))-IF(U$1=0,'Underlying Mechanics'!$B$23*(1-$B32),0)-IF(U$1&gt;0,'Underlying Mechanics'!$B$22*'Underlying Mechanics'!$B$17,0)-IF(U$1&gt;0,'Underlying Mechanics'!$B$12*'Underlying Mechanics'!$B$18,0)</x:f>
        <x:v>85500</x:v>
      </x:c>
      <x:c r="V32" t="n">
        <x:f>((IF(V$1-'Underlying Mechanics'!$B$8&lt;0,0,'Underlying Mechanics'!$B$22*'Underlying Mechanics'!$B$15*INDEX('Underlying Mechanics'!$B$31:$B$51,V$1-'Underlying Mechanics'!$B$8+1)*'Underlying Mechanics'!$B$5))*(1-$A32))-IF(V$1=0,'Underlying Mechanics'!$B$23*(1-$B32),0)-IF(V$1&gt;0,'Underlying Mechanics'!$B$22*'Underlying Mechanics'!$B$17,0)-IF(V$1&gt;0,'Underlying Mechanics'!$B$12*'Underlying Mechanics'!$B$18,0)</x:f>
        <x:v>85500</x:v>
      </x:c>
      <x:c r="W32" t="n">
        <x:f>((IF(W$1-'Underlying Mechanics'!$B$8&lt;0,0,'Underlying Mechanics'!$B$22*'Underlying Mechanics'!$B$15*INDEX('Underlying Mechanics'!$B$31:$B$51,W$1-'Underlying Mechanics'!$B$8+1)*'Underlying Mechanics'!$B$5))*(1-$A32))-IF(W$1=0,'Underlying Mechanics'!$B$23*(1-$B32),0)-IF(W$1&gt;0,'Underlying Mechanics'!$B$22*'Underlying Mechanics'!$B$17,0)-IF(W$1&gt;0,'Underlying Mechanics'!$B$12*'Underlying Mechanics'!$B$18,0)</x:f>
        <x:v>85500</x:v>
      </x:c>
      <x:c r="X32" t="n">
        <x:f>IFERROR(IRR(C32:W32),-1)</x:f>
        <x:v>0.13823214095158798</x:v>
      </x:c>
    </x:row>
    <x:row r="33">
      <x:c r="A33" t="n">
        <x:v>0.1</x:v>
      </x:c>
      <x:c r="B33" t="n">
        <x:v>0.5</x:v>
      </x:c>
      <x:c r="C33" t="n">
        <x:f>((IF(C$1-'Underlying Mechanics'!$B$8&lt;0,0,'Underlying Mechanics'!$B$22*'Underlying Mechanics'!$B$15*INDEX('Underlying Mechanics'!$B$31:$B$51,C$1-'Underlying Mechanics'!$B$8+1)*'Underlying Mechanics'!$B$5))*(1-$A33))-IF(C$1=0,'Underlying Mechanics'!$B$23*(1-$B33),0)-IF(C$1&gt;0,'Underlying Mechanics'!$B$22*'Underlying Mechanics'!$B$17,0)-IF(C$1&gt;0,'Underlying Mechanics'!$B$12*'Underlying Mechanics'!$B$18,0)</x:f>
        <x:v>-75000</x:v>
      </x:c>
      <x:c r="D33" t="n">
        <x:f>((IF(D$1-'Underlying Mechanics'!$B$8&lt;0,0,'Underlying Mechanics'!$B$22*'Underlying Mechanics'!$B$15*INDEX('Underlying Mechanics'!$B$31:$B$51,D$1-'Underlying Mechanics'!$B$8+1)*'Underlying Mechanics'!$B$5))*(1-$A33))-IF(D$1=0,'Underlying Mechanics'!$B$23*(1-$B33),0)-IF(D$1&gt;0,'Underlying Mechanics'!$B$22*'Underlying Mechanics'!$B$17,0)-IF(D$1&gt;0,'Underlying Mechanics'!$B$12*'Underlying Mechanics'!$B$18,0)</x:f>
        <x:v>-22500</x:v>
      </x:c>
      <x:c r="E33" t="n">
        <x:f>((IF(E$1-'Underlying Mechanics'!$B$8&lt;0,0,'Underlying Mechanics'!$B$22*'Underlying Mechanics'!$B$15*INDEX('Underlying Mechanics'!$B$31:$B$51,E$1-'Underlying Mechanics'!$B$8+1)*'Underlying Mechanics'!$B$5))*(1-$A33))-IF(E$1=0,'Underlying Mechanics'!$B$23*(1-$B33),0)-IF(E$1&gt;0,'Underlying Mechanics'!$B$22*'Underlying Mechanics'!$B$17,0)-IF(E$1&gt;0,'Underlying Mechanics'!$B$12*'Underlying Mechanics'!$B$18,0)</x:f>
        <x:v>-22500</x:v>
      </x:c>
      <x:c r="F33" t="n">
        <x:f>((IF(F$1-'Underlying Mechanics'!$B$8&lt;0,0,'Underlying Mechanics'!$B$22*'Underlying Mechanics'!$B$15*INDEX('Underlying Mechanics'!$B$31:$B$51,F$1-'Underlying Mechanics'!$B$8+1)*'Underlying Mechanics'!$B$5))*(1-$A33))-IF(F$1=0,'Underlying Mechanics'!$B$23*(1-$B33),0)-IF(F$1&gt;0,'Underlying Mechanics'!$B$22*'Underlying Mechanics'!$B$17,0)-IF(F$1&gt;0,'Underlying Mechanics'!$B$12*'Underlying Mechanics'!$B$18,0)</x:f>
        <x:v>-20340</x:v>
      </x:c>
      <x:c r="G33" t="n">
        <x:f>((IF(G$1-'Underlying Mechanics'!$B$8&lt;0,0,'Underlying Mechanics'!$B$22*'Underlying Mechanics'!$B$15*INDEX('Underlying Mechanics'!$B$31:$B$51,G$1-'Underlying Mechanics'!$B$8+1)*'Underlying Mechanics'!$B$5))*(1-$A33))-IF(G$1=0,'Underlying Mechanics'!$B$23*(1-$B33),0)-IF(G$1&gt;0,'Underlying Mechanics'!$B$22*'Underlying Mechanics'!$B$17,0)-IF(G$1&gt;0,'Underlying Mechanics'!$B$12*'Underlying Mechanics'!$B$18,0)</x:f>
        <x:v>-17100</x:v>
      </x:c>
      <x:c r="H33" t="n">
        <x:f>((IF(H$1-'Underlying Mechanics'!$B$8&lt;0,0,'Underlying Mechanics'!$B$22*'Underlying Mechanics'!$B$15*INDEX('Underlying Mechanics'!$B$31:$B$51,H$1-'Underlying Mechanics'!$B$8+1)*'Underlying Mechanics'!$B$5))*(1-$A33))-IF(H$1=0,'Underlying Mechanics'!$B$23*(1-$B33),0)-IF(H$1&gt;0,'Underlying Mechanics'!$B$22*'Underlying Mechanics'!$B$17,0)-IF(H$1&gt;0,'Underlying Mechanics'!$B$12*'Underlying Mechanics'!$B$18,0)</x:f>
        <x:v>-11700</x:v>
      </x:c>
      <x:c r="I33" t="n">
        <x:f>((IF(I$1-'Underlying Mechanics'!$B$8&lt;0,0,'Underlying Mechanics'!$B$22*'Underlying Mechanics'!$B$15*INDEX('Underlying Mechanics'!$B$31:$B$51,I$1-'Underlying Mechanics'!$B$8+1)*'Underlying Mechanics'!$B$5))*(1-$A33))-IF(I$1=0,'Underlying Mechanics'!$B$23*(1-$B33),0)-IF(I$1&gt;0,'Underlying Mechanics'!$B$22*'Underlying Mechanics'!$B$17,0)-IF(I$1&gt;0,'Underlying Mechanics'!$B$12*'Underlying Mechanics'!$B$18,0)</x:f>
        <x:v>-3060</x:v>
      </x:c>
      <x:c r="J33" t="n">
        <x:f>((IF(J$1-'Underlying Mechanics'!$B$8&lt;0,0,'Underlying Mechanics'!$B$22*'Underlying Mechanics'!$B$15*INDEX('Underlying Mechanics'!$B$31:$B$51,J$1-'Underlying Mechanics'!$B$8+1)*'Underlying Mechanics'!$B$5))*(1-$A33))-IF(J$1=0,'Underlying Mechanics'!$B$23*(1-$B33),0)-IF(J$1&gt;0,'Underlying Mechanics'!$B$22*'Underlying Mechanics'!$B$17,0)-IF(J$1&gt;0,'Underlying Mechanics'!$B$12*'Underlying Mechanics'!$B$18,0)</x:f>
        <x:v>7740.000000000007</x:v>
      </x:c>
      <x:c r="K33" t="n">
        <x:f>((IF(K$1-'Underlying Mechanics'!$B$8&lt;0,0,'Underlying Mechanics'!$B$22*'Underlying Mechanics'!$B$15*INDEX('Underlying Mechanics'!$B$31:$B$51,K$1-'Underlying Mechanics'!$B$8+1)*'Underlying Mechanics'!$B$5))*(1-$A33))-IF(K$1=0,'Underlying Mechanics'!$B$23*(1-$B33),0)-IF(K$1&gt;0,'Underlying Mechanics'!$B$22*'Underlying Mechanics'!$B$17,0)-IF(K$1&gt;0,'Underlying Mechanics'!$B$12*'Underlying Mechanics'!$B$18,0)</x:f>
        <x:v>20700</x:v>
      </x:c>
      <x:c r="L33" t="n">
        <x:f>((IF(L$1-'Underlying Mechanics'!$B$8&lt;0,0,'Underlying Mechanics'!$B$22*'Underlying Mechanics'!$B$15*INDEX('Underlying Mechanics'!$B$31:$B$51,L$1-'Underlying Mechanics'!$B$8+1)*'Underlying Mechanics'!$B$5))*(1-$A33))-IF(L$1=0,'Underlying Mechanics'!$B$23*(1-$B33),0)-IF(L$1&gt;0,'Underlying Mechanics'!$B$22*'Underlying Mechanics'!$B$17,0)-IF(L$1&gt;0,'Underlying Mechanics'!$B$12*'Underlying Mechanics'!$B$18,0)</x:f>
        <x:v>35820</x:v>
      </x:c>
      <x:c r="M33" t="n">
        <x:f>((IF(M$1-'Underlying Mechanics'!$B$8&lt;0,0,'Underlying Mechanics'!$B$22*'Underlying Mechanics'!$B$15*INDEX('Underlying Mechanics'!$B$31:$B$51,M$1-'Underlying Mechanics'!$B$8+1)*'Underlying Mechanics'!$B$5))*(1-$A33))-IF(M$1=0,'Underlying Mechanics'!$B$23*(1-$B33),0)-IF(M$1&gt;0,'Underlying Mechanics'!$B$22*'Underlying Mechanics'!$B$17,0)-IF(M$1&gt;0,'Underlying Mechanics'!$B$12*'Underlying Mechanics'!$B$18,0)</x:f>
        <x:v>50940.000000000015</x:v>
      </x:c>
      <x:c r="N33" t="n">
        <x:f>((IF(N$1-'Underlying Mechanics'!$B$8&lt;0,0,'Underlying Mechanics'!$B$22*'Underlying Mechanics'!$B$15*INDEX('Underlying Mechanics'!$B$31:$B$51,N$1-'Underlying Mechanics'!$B$8+1)*'Underlying Mechanics'!$B$5))*(1-$A33))-IF(N$1=0,'Underlying Mechanics'!$B$23*(1-$B33),0)-IF(N$1&gt;0,'Underlying Mechanics'!$B$22*'Underlying Mechanics'!$B$17,0)-IF(N$1&gt;0,'Underlying Mechanics'!$B$12*'Underlying Mechanics'!$B$18,0)</x:f>
        <x:v>63900</x:v>
      </x:c>
      <x:c r="O33" t="n">
        <x:f>((IF(O$1-'Underlying Mechanics'!$B$8&lt;0,0,'Underlying Mechanics'!$B$22*'Underlying Mechanics'!$B$15*INDEX('Underlying Mechanics'!$B$31:$B$51,O$1-'Underlying Mechanics'!$B$8+1)*'Underlying Mechanics'!$B$5))*(1-$A33))-IF(O$1=0,'Underlying Mechanics'!$B$23*(1-$B33),0)-IF(O$1&gt;0,'Underlying Mechanics'!$B$22*'Underlying Mechanics'!$B$17,0)-IF(O$1&gt;0,'Underlying Mechanics'!$B$12*'Underlying Mechanics'!$B$18,0)</x:f>
        <x:v>74700</x:v>
      </x:c>
      <x:c r="P33" t="n">
        <x:f>((IF(P$1-'Underlying Mechanics'!$B$8&lt;0,0,'Underlying Mechanics'!$B$22*'Underlying Mechanics'!$B$15*INDEX('Underlying Mechanics'!$B$31:$B$51,P$1-'Underlying Mechanics'!$B$8+1)*'Underlying Mechanics'!$B$5))*(1-$A33))-IF(P$1=0,'Underlying Mechanics'!$B$23*(1-$B33),0)-IF(P$1&gt;0,'Underlying Mechanics'!$B$22*'Underlying Mechanics'!$B$17,0)-IF(P$1&gt;0,'Underlying Mechanics'!$B$12*'Underlying Mechanics'!$B$18,0)</x:f>
        <x:v>85500</x:v>
      </x:c>
      <x:c r="Q33" t="n">
        <x:f>((IF(Q$1-'Underlying Mechanics'!$B$8&lt;0,0,'Underlying Mechanics'!$B$22*'Underlying Mechanics'!$B$15*INDEX('Underlying Mechanics'!$B$31:$B$51,Q$1-'Underlying Mechanics'!$B$8+1)*'Underlying Mechanics'!$B$5))*(1-$A33))-IF(Q$1=0,'Underlying Mechanics'!$B$23*(1-$B33),0)-IF(Q$1&gt;0,'Underlying Mechanics'!$B$22*'Underlying Mechanics'!$B$17,0)-IF(Q$1&gt;0,'Underlying Mechanics'!$B$12*'Underlying Mechanics'!$B$18,0)</x:f>
        <x:v>85500</x:v>
      </x:c>
      <x:c r="R33" t="n">
        <x:f>((IF(R$1-'Underlying Mechanics'!$B$8&lt;0,0,'Underlying Mechanics'!$B$22*'Underlying Mechanics'!$B$15*INDEX('Underlying Mechanics'!$B$31:$B$51,R$1-'Underlying Mechanics'!$B$8+1)*'Underlying Mechanics'!$B$5))*(1-$A33))-IF(R$1=0,'Underlying Mechanics'!$B$23*(1-$B33),0)-IF(R$1&gt;0,'Underlying Mechanics'!$B$22*'Underlying Mechanics'!$B$17,0)-IF(R$1&gt;0,'Underlying Mechanics'!$B$12*'Underlying Mechanics'!$B$18,0)</x:f>
        <x:v>85500</x:v>
      </x:c>
      <x:c r="S33" t="n">
        <x:f>((IF(S$1-'Underlying Mechanics'!$B$8&lt;0,0,'Underlying Mechanics'!$B$22*'Underlying Mechanics'!$B$15*INDEX('Underlying Mechanics'!$B$31:$B$51,S$1-'Underlying Mechanics'!$B$8+1)*'Underlying Mechanics'!$B$5))*(1-$A33))-IF(S$1=0,'Underlying Mechanics'!$B$23*(1-$B33),0)-IF(S$1&gt;0,'Underlying Mechanics'!$B$22*'Underlying Mechanics'!$B$17,0)-IF(S$1&gt;0,'Underlying Mechanics'!$B$12*'Underlying Mechanics'!$B$18,0)</x:f>
        <x:v>85500</x:v>
      </x:c>
      <x:c r="T33" t="n">
        <x:f>((IF(T$1-'Underlying Mechanics'!$B$8&lt;0,0,'Underlying Mechanics'!$B$22*'Underlying Mechanics'!$B$15*INDEX('Underlying Mechanics'!$B$31:$B$51,T$1-'Underlying Mechanics'!$B$8+1)*'Underlying Mechanics'!$B$5))*(1-$A33))-IF(T$1=0,'Underlying Mechanics'!$B$23*(1-$B33),0)-IF(T$1&gt;0,'Underlying Mechanics'!$B$22*'Underlying Mechanics'!$B$17,0)-IF(T$1&gt;0,'Underlying Mechanics'!$B$12*'Underlying Mechanics'!$B$18,0)</x:f>
        <x:v>85500</x:v>
      </x:c>
      <x:c r="U33" t="n">
        <x:f>((IF(U$1-'Underlying Mechanics'!$B$8&lt;0,0,'Underlying Mechanics'!$B$22*'Underlying Mechanics'!$B$15*INDEX('Underlying Mechanics'!$B$31:$B$51,U$1-'Underlying Mechanics'!$B$8+1)*'Underlying Mechanics'!$B$5))*(1-$A33))-IF(U$1=0,'Underlying Mechanics'!$B$23*(1-$B33),0)-IF(U$1&gt;0,'Underlying Mechanics'!$B$22*'Underlying Mechanics'!$B$17,0)-IF(U$1&gt;0,'Underlying Mechanics'!$B$12*'Underlying Mechanics'!$B$18,0)</x:f>
        <x:v>85500</x:v>
      </x:c>
      <x:c r="V33" t="n">
        <x:f>((IF(V$1-'Underlying Mechanics'!$B$8&lt;0,0,'Underlying Mechanics'!$B$22*'Underlying Mechanics'!$B$15*INDEX('Underlying Mechanics'!$B$31:$B$51,V$1-'Underlying Mechanics'!$B$8+1)*'Underlying Mechanics'!$B$5))*(1-$A33))-IF(V$1=0,'Underlying Mechanics'!$B$23*(1-$B33),0)-IF(V$1&gt;0,'Underlying Mechanics'!$B$22*'Underlying Mechanics'!$B$17,0)-IF(V$1&gt;0,'Underlying Mechanics'!$B$12*'Underlying Mechanics'!$B$18,0)</x:f>
        <x:v>85500</x:v>
      </x:c>
      <x:c r="W33" t="n">
        <x:f>((IF(W$1-'Underlying Mechanics'!$B$8&lt;0,0,'Underlying Mechanics'!$B$22*'Underlying Mechanics'!$B$15*INDEX('Underlying Mechanics'!$B$31:$B$51,W$1-'Underlying Mechanics'!$B$8+1)*'Underlying Mechanics'!$B$5))*(1-$A33))-IF(W$1=0,'Underlying Mechanics'!$B$23*(1-$B33),0)-IF(W$1&gt;0,'Underlying Mechanics'!$B$22*'Underlying Mechanics'!$B$17,0)-IF(W$1&gt;0,'Underlying Mechanics'!$B$12*'Underlying Mechanics'!$B$18,0)</x:f>
        <x:v>85500</x:v>
      </x:c>
      <x:c r="X33" t="n">
        <x:f>IFERROR(IRR(C33:W33),-1)</x:f>
        <x:v>0.14303337888169632</x:v>
      </x:c>
    </x:row>
    <x:row r="34">
      <x:c r="A34" t="n">
        <x:v>0.1</x:v>
      </x:c>
      <x:c r="B34" t="n">
        <x:v>0.55</x:v>
      </x:c>
      <x:c r="C34" t="n">
        <x:f>((IF(C$1-'Underlying Mechanics'!$B$8&lt;0,0,'Underlying Mechanics'!$B$22*'Underlying Mechanics'!$B$15*INDEX('Underlying Mechanics'!$B$31:$B$51,C$1-'Underlying Mechanics'!$B$8+1)*'Underlying Mechanics'!$B$5))*(1-$A34))-IF(C$1=0,'Underlying Mechanics'!$B$23*(1-$B34),0)-IF(C$1&gt;0,'Underlying Mechanics'!$B$22*'Underlying Mechanics'!$B$17,0)-IF(C$1&gt;0,'Underlying Mechanics'!$B$12*'Underlying Mechanics'!$B$18,0)</x:f>
        <x:v>-67500</x:v>
      </x:c>
      <x:c r="D34" t="n">
        <x:f>((IF(D$1-'Underlying Mechanics'!$B$8&lt;0,0,'Underlying Mechanics'!$B$22*'Underlying Mechanics'!$B$15*INDEX('Underlying Mechanics'!$B$31:$B$51,D$1-'Underlying Mechanics'!$B$8+1)*'Underlying Mechanics'!$B$5))*(1-$A34))-IF(D$1=0,'Underlying Mechanics'!$B$23*(1-$B34),0)-IF(D$1&gt;0,'Underlying Mechanics'!$B$22*'Underlying Mechanics'!$B$17,0)-IF(D$1&gt;0,'Underlying Mechanics'!$B$12*'Underlying Mechanics'!$B$18,0)</x:f>
        <x:v>-22500</x:v>
      </x:c>
      <x:c r="E34" t="n">
        <x:f>((IF(E$1-'Underlying Mechanics'!$B$8&lt;0,0,'Underlying Mechanics'!$B$22*'Underlying Mechanics'!$B$15*INDEX('Underlying Mechanics'!$B$31:$B$51,E$1-'Underlying Mechanics'!$B$8+1)*'Underlying Mechanics'!$B$5))*(1-$A34))-IF(E$1=0,'Underlying Mechanics'!$B$23*(1-$B34),0)-IF(E$1&gt;0,'Underlying Mechanics'!$B$22*'Underlying Mechanics'!$B$17,0)-IF(E$1&gt;0,'Underlying Mechanics'!$B$12*'Underlying Mechanics'!$B$18,0)</x:f>
        <x:v>-22500</x:v>
      </x:c>
      <x:c r="F34" t="n">
        <x:f>((IF(F$1-'Underlying Mechanics'!$B$8&lt;0,0,'Underlying Mechanics'!$B$22*'Underlying Mechanics'!$B$15*INDEX('Underlying Mechanics'!$B$31:$B$51,F$1-'Underlying Mechanics'!$B$8+1)*'Underlying Mechanics'!$B$5))*(1-$A34))-IF(F$1=0,'Underlying Mechanics'!$B$23*(1-$B34),0)-IF(F$1&gt;0,'Underlying Mechanics'!$B$22*'Underlying Mechanics'!$B$17,0)-IF(F$1&gt;0,'Underlying Mechanics'!$B$12*'Underlying Mechanics'!$B$18,0)</x:f>
        <x:v>-20340</x:v>
      </x:c>
      <x:c r="G34" t="n">
        <x:f>((IF(G$1-'Underlying Mechanics'!$B$8&lt;0,0,'Underlying Mechanics'!$B$22*'Underlying Mechanics'!$B$15*INDEX('Underlying Mechanics'!$B$31:$B$51,G$1-'Underlying Mechanics'!$B$8+1)*'Underlying Mechanics'!$B$5))*(1-$A34))-IF(G$1=0,'Underlying Mechanics'!$B$23*(1-$B34),0)-IF(G$1&gt;0,'Underlying Mechanics'!$B$22*'Underlying Mechanics'!$B$17,0)-IF(G$1&gt;0,'Underlying Mechanics'!$B$12*'Underlying Mechanics'!$B$18,0)</x:f>
        <x:v>-17100</x:v>
      </x:c>
      <x:c r="H34" t="n">
        <x:f>((IF(H$1-'Underlying Mechanics'!$B$8&lt;0,0,'Underlying Mechanics'!$B$22*'Underlying Mechanics'!$B$15*INDEX('Underlying Mechanics'!$B$31:$B$51,H$1-'Underlying Mechanics'!$B$8+1)*'Underlying Mechanics'!$B$5))*(1-$A34))-IF(H$1=0,'Underlying Mechanics'!$B$23*(1-$B34),0)-IF(H$1&gt;0,'Underlying Mechanics'!$B$22*'Underlying Mechanics'!$B$17,0)-IF(H$1&gt;0,'Underlying Mechanics'!$B$12*'Underlying Mechanics'!$B$18,0)</x:f>
        <x:v>-11700</x:v>
      </x:c>
      <x:c r="I34" t="n">
        <x:f>((IF(I$1-'Underlying Mechanics'!$B$8&lt;0,0,'Underlying Mechanics'!$B$22*'Underlying Mechanics'!$B$15*INDEX('Underlying Mechanics'!$B$31:$B$51,I$1-'Underlying Mechanics'!$B$8+1)*'Underlying Mechanics'!$B$5))*(1-$A34))-IF(I$1=0,'Underlying Mechanics'!$B$23*(1-$B34),0)-IF(I$1&gt;0,'Underlying Mechanics'!$B$22*'Underlying Mechanics'!$B$17,0)-IF(I$1&gt;0,'Underlying Mechanics'!$B$12*'Underlying Mechanics'!$B$18,0)</x:f>
        <x:v>-3060</x:v>
      </x:c>
      <x:c r="J34" t="n">
        <x:f>((IF(J$1-'Underlying Mechanics'!$B$8&lt;0,0,'Underlying Mechanics'!$B$22*'Underlying Mechanics'!$B$15*INDEX('Underlying Mechanics'!$B$31:$B$51,J$1-'Underlying Mechanics'!$B$8+1)*'Underlying Mechanics'!$B$5))*(1-$A34))-IF(J$1=0,'Underlying Mechanics'!$B$23*(1-$B34),0)-IF(J$1&gt;0,'Underlying Mechanics'!$B$22*'Underlying Mechanics'!$B$17,0)-IF(J$1&gt;0,'Underlying Mechanics'!$B$12*'Underlying Mechanics'!$B$18,0)</x:f>
        <x:v>7740.000000000007</x:v>
      </x:c>
      <x:c r="K34" t="n">
        <x:f>((IF(K$1-'Underlying Mechanics'!$B$8&lt;0,0,'Underlying Mechanics'!$B$22*'Underlying Mechanics'!$B$15*INDEX('Underlying Mechanics'!$B$31:$B$51,K$1-'Underlying Mechanics'!$B$8+1)*'Underlying Mechanics'!$B$5))*(1-$A34))-IF(K$1=0,'Underlying Mechanics'!$B$23*(1-$B34),0)-IF(K$1&gt;0,'Underlying Mechanics'!$B$22*'Underlying Mechanics'!$B$17,0)-IF(K$1&gt;0,'Underlying Mechanics'!$B$12*'Underlying Mechanics'!$B$18,0)</x:f>
        <x:v>20700</x:v>
      </x:c>
      <x:c r="L34" t="n">
        <x:f>((IF(L$1-'Underlying Mechanics'!$B$8&lt;0,0,'Underlying Mechanics'!$B$22*'Underlying Mechanics'!$B$15*INDEX('Underlying Mechanics'!$B$31:$B$51,L$1-'Underlying Mechanics'!$B$8+1)*'Underlying Mechanics'!$B$5))*(1-$A34))-IF(L$1=0,'Underlying Mechanics'!$B$23*(1-$B34),0)-IF(L$1&gt;0,'Underlying Mechanics'!$B$22*'Underlying Mechanics'!$B$17,0)-IF(L$1&gt;0,'Underlying Mechanics'!$B$12*'Underlying Mechanics'!$B$18,0)</x:f>
        <x:v>35820</x:v>
      </x:c>
      <x:c r="M34" t="n">
        <x:f>((IF(M$1-'Underlying Mechanics'!$B$8&lt;0,0,'Underlying Mechanics'!$B$22*'Underlying Mechanics'!$B$15*INDEX('Underlying Mechanics'!$B$31:$B$51,M$1-'Underlying Mechanics'!$B$8+1)*'Underlying Mechanics'!$B$5))*(1-$A34))-IF(M$1=0,'Underlying Mechanics'!$B$23*(1-$B34),0)-IF(M$1&gt;0,'Underlying Mechanics'!$B$22*'Underlying Mechanics'!$B$17,0)-IF(M$1&gt;0,'Underlying Mechanics'!$B$12*'Underlying Mechanics'!$B$18,0)</x:f>
        <x:v>50940.000000000015</x:v>
      </x:c>
      <x:c r="N34" t="n">
        <x:f>((IF(N$1-'Underlying Mechanics'!$B$8&lt;0,0,'Underlying Mechanics'!$B$22*'Underlying Mechanics'!$B$15*INDEX('Underlying Mechanics'!$B$31:$B$51,N$1-'Underlying Mechanics'!$B$8+1)*'Underlying Mechanics'!$B$5))*(1-$A34))-IF(N$1=0,'Underlying Mechanics'!$B$23*(1-$B34),0)-IF(N$1&gt;0,'Underlying Mechanics'!$B$22*'Underlying Mechanics'!$B$17,0)-IF(N$1&gt;0,'Underlying Mechanics'!$B$12*'Underlying Mechanics'!$B$18,0)</x:f>
        <x:v>63900</x:v>
      </x:c>
      <x:c r="O34" t="n">
        <x:f>((IF(O$1-'Underlying Mechanics'!$B$8&lt;0,0,'Underlying Mechanics'!$B$22*'Underlying Mechanics'!$B$15*INDEX('Underlying Mechanics'!$B$31:$B$51,O$1-'Underlying Mechanics'!$B$8+1)*'Underlying Mechanics'!$B$5))*(1-$A34))-IF(O$1=0,'Underlying Mechanics'!$B$23*(1-$B34),0)-IF(O$1&gt;0,'Underlying Mechanics'!$B$22*'Underlying Mechanics'!$B$17,0)-IF(O$1&gt;0,'Underlying Mechanics'!$B$12*'Underlying Mechanics'!$B$18,0)</x:f>
        <x:v>74700</x:v>
      </x:c>
      <x:c r="P34" t="n">
        <x:f>((IF(P$1-'Underlying Mechanics'!$B$8&lt;0,0,'Underlying Mechanics'!$B$22*'Underlying Mechanics'!$B$15*INDEX('Underlying Mechanics'!$B$31:$B$51,P$1-'Underlying Mechanics'!$B$8+1)*'Underlying Mechanics'!$B$5))*(1-$A34))-IF(P$1=0,'Underlying Mechanics'!$B$23*(1-$B34),0)-IF(P$1&gt;0,'Underlying Mechanics'!$B$22*'Underlying Mechanics'!$B$17,0)-IF(P$1&gt;0,'Underlying Mechanics'!$B$12*'Underlying Mechanics'!$B$18,0)</x:f>
        <x:v>85500</x:v>
      </x:c>
      <x:c r="Q34" t="n">
        <x:f>((IF(Q$1-'Underlying Mechanics'!$B$8&lt;0,0,'Underlying Mechanics'!$B$22*'Underlying Mechanics'!$B$15*INDEX('Underlying Mechanics'!$B$31:$B$51,Q$1-'Underlying Mechanics'!$B$8+1)*'Underlying Mechanics'!$B$5))*(1-$A34))-IF(Q$1=0,'Underlying Mechanics'!$B$23*(1-$B34),0)-IF(Q$1&gt;0,'Underlying Mechanics'!$B$22*'Underlying Mechanics'!$B$17,0)-IF(Q$1&gt;0,'Underlying Mechanics'!$B$12*'Underlying Mechanics'!$B$18,0)</x:f>
        <x:v>85500</x:v>
      </x:c>
      <x:c r="R34" t="n">
        <x:f>((IF(R$1-'Underlying Mechanics'!$B$8&lt;0,0,'Underlying Mechanics'!$B$22*'Underlying Mechanics'!$B$15*INDEX('Underlying Mechanics'!$B$31:$B$51,R$1-'Underlying Mechanics'!$B$8+1)*'Underlying Mechanics'!$B$5))*(1-$A34))-IF(R$1=0,'Underlying Mechanics'!$B$23*(1-$B34),0)-IF(R$1&gt;0,'Underlying Mechanics'!$B$22*'Underlying Mechanics'!$B$17,0)-IF(R$1&gt;0,'Underlying Mechanics'!$B$12*'Underlying Mechanics'!$B$18,0)</x:f>
        <x:v>85500</x:v>
      </x:c>
      <x:c r="S34" t="n">
        <x:f>((IF(S$1-'Underlying Mechanics'!$B$8&lt;0,0,'Underlying Mechanics'!$B$22*'Underlying Mechanics'!$B$15*INDEX('Underlying Mechanics'!$B$31:$B$51,S$1-'Underlying Mechanics'!$B$8+1)*'Underlying Mechanics'!$B$5))*(1-$A34))-IF(S$1=0,'Underlying Mechanics'!$B$23*(1-$B34),0)-IF(S$1&gt;0,'Underlying Mechanics'!$B$22*'Underlying Mechanics'!$B$17,0)-IF(S$1&gt;0,'Underlying Mechanics'!$B$12*'Underlying Mechanics'!$B$18,0)</x:f>
        <x:v>85500</x:v>
      </x:c>
      <x:c r="T34" t="n">
        <x:f>((IF(T$1-'Underlying Mechanics'!$B$8&lt;0,0,'Underlying Mechanics'!$B$22*'Underlying Mechanics'!$B$15*INDEX('Underlying Mechanics'!$B$31:$B$51,T$1-'Underlying Mechanics'!$B$8+1)*'Underlying Mechanics'!$B$5))*(1-$A34))-IF(T$1=0,'Underlying Mechanics'!$B$23*(1-$B34),0)-IF(T$1&gt;0,'Underlying Mechanics'!$B$22*'Underlying Mechanics'!$B$17,0)-IF(T$1&gt;0,'Underlying Mechanics'!$B$12*'Underlying Mechanics'!$B$18,0)</x:f>
        <x:v>85500</x:v>
      </x:c>
      <x:c r="U34" t="n">
        <x:f>((IF(U$1-'Underlying Mechanics'!$B$8&lt;0,0,'Underlying Mechanics'!$B$22*'Underlying Mechanics'!$B$15*INDEX('Underlying Mechanics'!$B$31:$B$51,U$1-'Underlying Mechanics'!$B$8+1)*'Underlying Mechanics'!$B$5))*(1-$A34))-IF(U$1=0,'Underlying Mechanics'!$B$23*(1-$B34),0)-IF(U$1&gt;0,'Underlying Mechanics'!$B$22*'Underlying Mechanics'!$B$17,0)-IF(U$1&gt;0,'Underlying Mechanics'!$B$12*'Underlying Mechanics'!$B$18,0)</x:f>
        <x:v>85500</x:v>
      </x:c>
      <x:c r="V34" t="n">
        <x:f>((IF(V$1-'Underlying Mechanics'!$B$8&lt;0,0,'Underlying Mechanics'!$B$22*'Underlying Mechanics'!$B$15*INDEX('Underlying Mechanics'!$B$31:$B$51,V$1-'Underlying Mechanics'!$B$8+1)*'Underlying Mechanics'!$B$5))*(1-$A34))-IF(V$1=0,'Underlying Mechanics'!$B$23*(1-$B34),0)-IF(V$1&gt;0,'Underlying Mechanics'!$B$22*'Underlying Mechanics'!$B$17,0)-IF(V$1&gt;0,'Underlying Mechanics'!$B$12*'Underlying Mechanics'!$B$18,0)</x:f>
        <x:v>85500</x:v>
      </x:c>
      <x:c r="W34" t="n">
        <x:f>((IF(W$1-'Underlying Mechanics'!$B$8&lt;0,0,'Underlying Mechanics'!$B$22*'Underlying Mechanics'!$B$15*INDEX('Underlying Mechanics'!$B$31:$B$51,W$1-'Underlying Mechanics'!$B$8+1)*'Underlying Mechanics'!$B$5))*(1-$A34))-IF(W$1=0,'Underlying Mechanics'!$B$23*(1-$B34),0)-IF(W$1&gt;0,'Underlying Mechanics'!$B$22*'Underlying Mechanics'!$B$17,0)-IF(W$1&gt;0,'Underlying Mechanics'!$B$12*'Underlying Mechanics'!$B$18,0)</x:f>
        <x:v>85500</x:v>
      </x:c>
      <x:c r="X34" t="n">
        <x:f>IFERROR(IRR(C34:W34),-1)</x:f>
        <x:v>0.14818643386802743</x:v>
      </x:c>
    </x:row>
    <x:row r="35">
      <x:c r="A35" t="n">
        <x:v>0.1</x:v>
      </x:c>
      <x:c r="B35" t="n">
        <x:v>0.6</x:v>
      </x:c>
      <x:c r="C35" t="n">
        <x:f>((IF(C$1-'Underlying Mechanics'!$B$8&lt;0,0,'Underlying Mechanics'!$B$22*'Underlying Mechanics'!$B$15*INDEX('Underlying Mechanics'!$B$31:$B$51,C$1-'Underlying Mechanics'!$B$8+1)*'Underlying Mechanics'!$B$5))*(1-$A35))-IF(C$1=0,'Underlying Mechanics'!$B$23*(1-$B35),0)-IF(C$1&gt;0,'Underlying Mechanics'!$B$22*'Underlying Mechanics'!$B$17,0)-IF(C$1&gt;0,'Underlying Mechanics'!$B$12*'Underlying Mechanics'!$B$18,0)</x:f>
        <x:v>-60000</x:v>
      </x:c>
      <x:c r="D35" t="n">
        <x:f>((IF(D$1-'Underlying Mechanics'!$B$8&lt;0,0,'Underlying Mechanics'!$B$22*'Underlying Mechanics'!$B$15*INDEX('Underlying Mechanics'!$B$31:$B$51,D$1-'Underlying Mechanics'!$B$8+1)*'Underlying Mechanics'!$B$5))*(1-$A35))-IF(D$1=0,'Underlying Mechanics'!$B$23*(1-$B35),0)-IF(D$1&gt;0,'Underlying Mechanics'!$B$22*'Underlying Mechanics'!$B$17,0)-IF(D$1&gt;0,'Underlying Mechanics'!$B$12*'Underlying Mechanics'!$B$18,0)</x:f>
        <x:v>-22500</x:v>
      </x:c>
      <x:c r="E35" t="n">
        <x:f>((IF(E$1-'Underlying Mechanics'!$B$8&lt;0,0,'Underlying Mechanics'!$B$22*'Underlying Mechanics'!$B$15*INDEX('Underlying Mechanics'!$B$31:$B$51,E$1-'Underlying Mechanics'!$B$8+1)*'Underlying Mechanics'!$B$5))*(1-$A35))-IF(E$1=0,'Underlying Mechanics'!$B$23*(1-$B35),0)-IF(E$1&gt;0,'Underlying Mechanics'!$B$22*'Underlying Mechanics'!$B$17,0)-IF(E$1&gt;0,'Underlying Mechanics'!$B$12*'Underlying Mechanics'!$B$18,0)</x:f>
        <x:v>-22500</x:v>
      </x:c>
      <x:c r="F35" t="n">
        <x:f>((IF(F$1-'Underlying Mechanics'!$B$8&lt;0,0,'Underlying Mechanics'!$B$22*'Underlying Mechanics'!$B$15*INDEX('Underlying Mechanics'!$B$31:$B$51,F$1-'Underlying Mechanics'!$B$8+1)*'Underlying Mechanics'!$B$5))*(1-$A35))-IF(F$1=0,'Underlying Mechanics'!$B$23*(1-$B35),0)-IF(F$1&gt;0,'Underlying Mechanics'!$B$22*'Underlying Mechanics'!$B$17,0)-IF(F$1&gt;0,'Underlying Mechanics'!$B$12*'Underlying Mechanics'!$B$18,0)</x:f>
        <x:v>-20340</x:v>
      </x:c>
      <x:c r="G35" t="n">
        <x:f>((IF(G$1-'Underlying Mechanics'!$B$8&lt;0,0,'Underlying Mechanics'!$B$22*'Underlying Mechanics'!$B$15*INDEX('Underlying Mechanics'!$B$31:$B$51,G$1-'Underlying Mechanics'!$B$8+1)*'Underlying Mechanics'!$B$5))*(1-$A35))-IF(G$1=0,'Underlying Mechanics'!$B$23*(1-$B35),0)-IF(G$1&gt;0,'Underlying Mechanics'!$B$22*'Underlying Mechanics'!$B$17,0)-IF(G$1&gt;0,'Underlying Mechanics'!$B$12*'Underlying Mechanics'!$B$18,0)</x:f>
        <x:v>-17100</x:v>
      </x:c>
      <x:c r="H35" t="n">
        <x:f>((IF(H$1-'Underlying Mechanics'!$B$8&lt;0,0,'Underlying Mechanics'!$B$22*'Underlying Mechanics'!$B$15*INDEX('Underlying Mechanics'!$B$31:$B$51,H$1-'Underlying Mechanics'!$B$8+1)*'Underlying Mechanics'!$B$5))*(1-$A35))-IF(H$1=0,'Underlying Mechanics'!$B$23*(1-$B35),0)-IF(H$1&gt;0,'Underlying Mechanics'!$B$22*'Underlying Mechanics'!$B$17,0)-IF(H$1&gt;0,'Underlying Mechanics'!$B$12*'Underlying Mechanics'!$B$18,0)</x:f>
        <x:v>-11700</x:v>
      </x:c>
      <x:c r="I35" t="n">
        <x:f>((IF(I$1-'Underlying Mechanics'!$B$8&lt;0,0,'Underlying Mechanics'!$B$22*'Underlying Mechanics'!$B$15*INDEX('Underlying Mechanics'!$B$31:$B$51,I$1-'Underlying Mechanics'!$B$8+1)*'Underlying Mechanics'!$B$5))*(1-$A35))-IF(I$1=0,'Underlying Mechanics'!$B$23*(1-$B35),0)-IF(I$1&gt;0,'Underlying Mechanics'!$B$22*'Underlying Mechanics'!$B$17,0)-IF(I$1&gt;0,'Underlying Mechanics'!$B$12*'Underlying Mechanics'!$B$18,0)</x:f>
        <x:v>-3060</x:v>
      </x:c>
      <x:c r="J35" t="n">
        <x:f>((IF(J$1-'Underlying Mechanics'!$B$8&lt;0,0,'Underlying Mechanics'!$B$22*'Underlying Mechanics'!$B$15*INDEX('Underlying Mechanics'!$B$31:$B$51,J$1-'Underlying Mechanics'!$B$8+1)*'Underlying Mechanics'!$B$5))*(1-$A35))-IF(J$1=0,'Underlying Mechanics'!$B$23*(1-$B35),0)-IF(J$1&gt;0,'Underlying Mechanics'!$B$22*'Underlying Mechanics'!$B$17,0)-IF(J$1&gt;0,'Underlying Mechanics'!$B$12*'Underlying Mechanics'!$B$18,0)</x:f>
        <x:v>7740.000000000007</x:v>
      </x:c>
      <x:c r="K35" t="n">
        <x:f>((IF(K$1-'Underlying Mechanics'!$B$8&lt;0,0,'Underlying Mechanics'!$B$22*'Underlying Mechanics'!$B$15*INDEX('Underlying Mechanics'!$B$31:$B$51,K$1-'Underlying Mechanics'!$B$8+1)*'Underlying Mechanics'!$B$5))*(1-$A35))-IF(K$1=0,'Underlying Mechanics'!$B$23*(1-$B35),0)-IF(K$1&gt;0,'Underlying Mechanics'!$B$22*'Underlying Mechanics'!$B$17,0)-IF(K$1&gt;0,'Underlying Mechanics'!$B$12*'Underlying Mechanics'!$B$18,0)</x:f>
        <x:v>20700</x:v>
      </x:c>
      <x:c r="L35" t="n">
        <x:f>((IF(L$1-'Underlying Mechanics'!$B$8&lt;0,0,'Underlying Mechanics'!$B$22*'Underlying Mechanics'!$B$15*INDEX('Underlying Mechanics'!$B$31:$B$51,L$1-'Underlying Mechanics'!$B$8+1)*'Underlying Mechanics'!$B$5))*(1-$A35))-IF(L$1=0,'Underlying Mechanics'!$B$23*(1-$B35),0)-IF(L$1&gt;0,'Underlying Mechanics'!$B$22*'Underlying Mechanics'!$B$17,0)-IF(L$1&gt;0,'Underlying Mechanics'!$B$12*'Underlying Mechanics'!$B$18,0)</x:f>
        <x:v>35820</x:v>
      </x:c>
      <x:c r="M35" t="n">
        <x:f>((IF(M$1-'Underlying Mechanics'!$B$8&lt;0,0,'Underlying Mechanics'!$B$22*'Underlying Mechanics'!$B$15*INDEX('Underlying Mechanics'!$B$31:$B$51,M$1-'Underlying Mechanics'!$B$8+1)*'Underlying Mechanics'!$B$5))*(1-$A35))-IF(M$1=0,'Underlying Mechanics'!$B$23*(1-$B35),0)-IF(M$1&gt;0,'Underlying Mechanics'!$B$22*'Underlying Mechanics'!$B$17,0)-IF(M$1&gt;0,'Underlying Mechanics'!$B$12*'Underlying Mechanics'!$B$18,0)</x:f>
        <x:v>50940.000000000015</x:v>
      </x:c>
      <x:c r="N35" t="n">
        <x:f>((IF(N$1-'Underlying Mechanics'!$B$8&lt;0,0,'Underlying Mechanics'!$B$22*'Underlying Mechanics'!$B$15*INDEX('Underlying Mechanics'!$B$31:$B$51,N$1-'Underlying Mechanics'!$B$8+1)*'Underlying Mechanics'!$B$5))*(1-$A35))-IF(N$1=0,'Underlying Mechanics'!$B$23*(1-$B35),0)-IF(N$1&gt;0,'Underlying Mechanics'!$B$22*'Underlying Mechanics'!$B$17,0)-IF(N$1&gt;0,'Underlying Mechanics'!$B$12*'Underlying Mechanics'!$B$18,0)</x:f>
        <x:v>63900</x:v>
      </x:c>
      <x:c r="O35" t="n">
        <x:f>((IF(O$1-'Underlying Mechanics'!$B$8&lt;0,0,'Underlying Mechanics'!$B$22*'Underlying Mechanics'!$B$15*INDEX('Underlying Mechanics'!$B$31:$B$51,O$1-'Underlying Mechanics'!$B$8+1)*'Underlying Mechanics'!$B$5))*(1-$A35))-IF(O$1=0,'Underlying Mechanics'!$B$23*(1-$B35),0)-IF(O$1&gt;0,'Underlying Mechanics'!$B$22*'Underlying Mechanics'!$B$17,0)-IF(O$1&gt;0,'Underlying Mechanics'!$B$12*'Underlying Mechanics'!$B$18,0)</x:f>
        <x:v>74700</x:v>
      </x:c>
      <x:c r="P35" t="n">
        <x:f>((IF(P$1-'Underlying Mechanics'!$B$8&lt;0,0,'Underlying Mechanics'!$B$22*'Underlying Mechanics'!$B$15*INDEX('Underlying Mechanics'!$B$31:$B$51,P$1-'Underlying Mechanics'!$B$8+1)*'Underlying Mechanics'!$B$5))*(1-$A35))-IF(P$1=0,'Underlying Mechanics'!$B$23*(1-$B35),0)-IF(P$1&gt;0,'Underlying Mechanics'!$B$22*'Underlying Mechanics'!$B$17,0)-IF(P$1&gt;0,'Underlying Mechanics'!$B$12*'Underlying Mechanics'!$B$18,0)</x:f>
        <x:v>85500</x:v>
      </x:c>
      <x:c r="Q35" t="n">
        <x:f>((IF(Q$1-'Underlying Mechanics'!$B$8&lt;0,0,'Underlying Mechanics'!$B$22*'Underlying Mechanics'!$B$15*INDEX('Underlying Mechanics'!$B$31:$B$51,Q$1-'Underlying Mechanics'!$B$8+1)*'Underlying Mechanics'!$B$5))*(1-$A35))-IF(Q$1=0,'Underlying Mechanics'!$B$23*(1-$B35),0)-IF(Q$1&gt;0,'Underlying Mechanics'!$B$22*'Underlying Mechanics'!$B$17,0)-IF(Q$1&gt;0,'Underlying Mechanics'!$B$12*'Underlying Mechanics'!$B$18,0)</x:f>
        <x:v>85500</x:v>
      </x:c>
      <x:c r="R35" t="n">
        <x:f>((IF(R$1-'Underlying Mechanics'!$B$8&lt;0,0,'Underlying Mechanics'!$B$22*'Underlying Mechanics'!$B$15*INDEX('Underlying Mechanics'!$B$31:$B$51,R$1-'Underlying Mechanics'!$B$8+1)*'Underlying Mechanics'!$B$5))*(1-$A35))-IF(R$1=0,'Underlying Mechanics'!$B$23*(1-$B35),0)-IF(R$1&gt;0,'Underlying Mechanics'!$B$22*'Underlying Mechanics'!$B$17,0)-IF(R$1&gt;0,'Underlying Mechanics'!$B$12*'Underlying Mechanics'!$B$18,0)</x:f>
        <x:v>85500</x:v>
      </x:c>
      <x:c r="S35" t="n">
        <x:f>((IF(S$1-'Underlying Mechanics'!$B$8&lt;0,0,'Underlying Mechanics'!$B$22*'Underlying Mechanics'!$B$15*INDEX('Underlying Mechanics'!$B$31:$B$51,S$1-'Underlying Mechanics'!$B$8+1)*'Underlying Mechanics'!$B$5))*(1-$A35))-IF(S$1=0,'Underlying Mechanics'!$B$23*(1-$B35),0)-IF(S$1&gt;0,'Underlying Mechanics'!$B$22*'Underlying Mechanics'!$B$17,0)-IF(S$1&gt;0,'Underlying Mechanics'!$B$12*'Underlying Mechanics'!$B$18,0)</x:f>
        <x:v>85500</x:v>
      </x:c>
      <x:c r="T35" t="n">
        <x:f>((IF(T$1-'Underlying Mechanics'!$B$8&lt;0,0,'Underlying Mechanics'!$B$22*'Underlying Mechanics'!$B$15*INDEX('Underlying Mechanics'!$B$31:$B$51,T$1-'Underlying Mechanics'!$B$8+1)*'Underlying Mechanics'!$B$5))*(1-$A35))-IF(T$1=0,'Underlying Mechanics'!$B$23*(1-$B35),0)-IF(T$1&gt;0,'Underlying Mechanics'!$B$22*'Underlying Mechanics'!$B$17,0)-IF(T$1&gt;0,'Underlying Mechanics'!$B$12*'Underlying Mechanics'!$B$18,0)</x:f>
        <x:v>85500</x:v>
      </x:c>
      <x:c r="U35" t="n">
        <x:f>((IF(U$1-'Underlying Mechanics'!$B$8&lt;0,0,'Underlying Mechanics'!$B$22*'Underlying Mechanics'!$B$15*INDEX('Underlying Mechanics'!$B$31:$B$51,U$1-'Underlying Mechanics'!$B$8+1)*'Underlying Mechanics'!$B$5))*(1-$A35))-IF(U$1=0,'Underlying Mechanics'!$B$23*(1-$B35),0)-IF(U$1&gt;0,'Underlying Mechanics'!$B$22*'Underlying Mechanics'!$B$17,0)-IF(U$1&gt;0,'Underlying Mechanics'!$B$12*'Underlying Mechanics'!$B$18,0)</x:f>
        <x:v>85500</x:v>
      </x:c>
      <x:c r="V35" t="n">
        <x:f>((IF(V$1-'Underlying Mechanics'!$B$8&lt;0,0,'Underlying Mechanics'!$B$22*'Underlying Mechanics'!$B$15*INDEX('Underlying Mechanics'!$B$31:$B$51,V$1-'Underlying Mechanics'!$B$8+1)*'Underlying Mechanics'!$B$5))*(1-$A35))-IF(V$1=0,'Underlying Mechanics'!$B$23*(1-$B35),0)-IF(V$1&gt;0,'Underlying Mechanics'!$B$22*'Underlying Mechanics'!$B$17,0)-IF(V$1&gt;0,'Underlying Mechanics'!$B$12*'Underlying Mechanics'!$B$18,0)</x:f>
        <x:v>85500</x:v>
      </x:c>
      <x:c r="W35" t="n">
        <x:f>((IF(W$1-'Underlying Mechanics'!$B$8&lt;0,0,'Underlying Mechanics'!$B$22*'Underlying Mechanics'!$B$15*INDEX('Underlying Mechanics'!$B$31:$B$51,W$1-'Underlying Mechanics'!$B$8+1)*'Underlying Mechanics'!$B$5))*(1-$A35))-IF(W$1=0,'Underlying Mechanics'!$B$23*(1-$B35),0)-IF(W$1&gt;0,'Underlying Mechanics'!$B$22*'Underlying Mechanics'!$B$17,0)-IF(W$1&gt;0,'Underlying Mechanics'!$B$12*'Underlying Mechanics'!$B$18,0)</x:f>
        <x:v>85500</x:v>
      </x:c>
      <x:c r="X35" t="n">
        <x:f>IFERROR(IRR(C35:W35),-1)</x:f>
        <x:v>0.15374510462306612</x:v>
      </x:c>
    </x:row>
    <x:row r="36">
      <x:c r="A36" t="n">
        <x:v>0.1</x:v>
      </x:c>
      <x:c r="B36" t="n">
        <x:v>0.65</x:v>
      </x:c>
      <x:c r="C36" t="n">
        <x:f>((IF(C$1-'Underlying Mechanics'!$B$8&lt;0,0,'Underlying Mechanics'!$B$22*'Underlying Mechanics'!$B$15*INDEX('Underlying Mechanics'!$B$31:$B$51,C$1-'Underlying Mechanics'!$B$8+1)*'Underlying Mechanics'!$B$5))*(1-$A36))-IF(C$1=0,'Underlying Mechanics'!$B$23*(1-$B36),0)-IF(C$1&gt;0,'Underlying Mechanics'!$B$22*'Underlying Mechanics'!$B$17,0)-IF(C$1&gt;0,'Underlying Mechanics'!$B$12*'Underlying Mechanics'!$B$18,0)</x:f>
        <x:v>-52500</x:v>
      </x:c>
      <x:c r="D36" t="n">
        <x:f>((IF(D$1-'Underlying Mechanics'!$B$8&lt;0,0,'Underlying Mechanics'!$B$22*'Underlying Mechanics'!$B$15*INDEX('Underlying Mechanics'!$B$31:$B$51,D$1-'Underlying Mechanics'!$B$8+1)*'Underlying Mechanics'!$B$5))*(1-$A36))-IF(D$1=0,'Underlying Mechanics'!$B$23*(1-$B36),0)-IF(D$1&gt;0,'Underlying Mechanics'!$B$22*'Underlying Mechanics'!$B$17,0)-IF(D$1&gt;0,'Underlying Mechanics'!$B$12*'Underlying Mechanics'!$B$18,0)</x:f>
        <x:v>-22500</x:v>
      </x:c>
      <x:c r="E36" t="n">
        <x:f>((IF(E$1-'Underlying Mechanics'!$B$8&lt;0,0,'Underlying Mechanics'!$B$22*'Underlying Mechanics'!$B$15*INDEX('Underlying Mechanics'!$B$31:$B$51,E$1-'Underlying Mechanics'!$B$8+1)*'Underlying Mechanics'!$B$5))*(1-$A36))-IF(E$1=0,'Underlying Mechanics'!$B$23*(1-$B36),0)-IF(E$1&gt;0,'Underlying Mechanics'!$B$22*'Underlying Mechanics'!$B$17,0)-IF(E$1&gt;0,'Underlying Mechanics'!$B$12*'Underlying Mechanics'!$B$18,0)</x:f>
        <x:v>-22500</x:v>
      </x:c>
      <x:c r="F36" t="n">
        <x:f>((IF(F$1-'Underlying Mechanics'!$B$8&lt;0,0,'Underlying Mechanics'!$B$22*'Underlying Mechanics'!$B$15*INDEX('Underlying Mechanics'!$B$31:$B$51,F$1-'Underlying Mechanics'!$B$8+1)*'Underlying Mechanics'!$B$5))*(1-$A36))-IF(F$1=0,'Underlying Mechanics'!$B$23*(1-$B36),0)-IF(F$1&gt;0,'Underlying Mechanics'!$B$22*'Underlying Mechanics'!$B$17,0)-IF(F$1&gt;0,'Underlying Mechanics'!$B$12*'Underlying Mechanics'!$B$18,0)</x:f>
        <x:v>-20340</x:v>
      </x:c>
      <x:c r="G36" t="n">
        <x:f>((IF(G$1-'Underlying Mechanics'!$B$8&lt;0,0,'Underlying Mechanics'!$B$22*'Underlying Mechanics'!$B$15*INDEX('Underlying Mechanics'!$B$31:$B$51,G$1-'Underlying Mechanics'!$B$8+1)*'Underlying Mechanics'!$B$5))*(1-$A36))-IF(G$1=0,'Underlying Mechanics'!$B$23*(1-$B36),0)-IF(G$1&gt;0,'Underlying Mechanics'!$B$22*'Underlying Mechanics'!$B$17,0)-IF(G$1&gt;0,'Underlying Mechanics'!$B$12*'Underlying Mechanics'!$B$18,0)</x:f>
        <x:v>-17100</x:v>
      </x:c>
      <x:c r="H36" t="n">
        <x:f>((IF(H$1-'Underlying Mechanics'!$B$8&lt;0,0,'Underlying Mechanics'!$B$22*'Underlying Mechanics'!$B$15*INDEX('Underlying Mechanics'!$B$31:$B$51,H$1-'Underlying Mechanics'!$B$8+1)*'Underlying Mechanics'!$B$5))*(1-$A36))-IF(H$1=0,'Underlying Mechanics'!$B$23*(1-$B36),0)-IF(H$1&gt;0,'Underlying Mechanics'!$B$22*'Underlying Mechanics'!$B$17,0)-IF(H$1&gt;0,'Underlying Mechanics'!$B$12*'Underlying Mechanics'!$B$18,0)</x:f>
        <x:v>-11700</x:v>
      </x:c>
      <x:c r="I36" t="n">
        <x:f>((IF(I$1-'Underlying Mechanics'!$B$8&lt;0,0,'Underlying Mechanics'!$B$22*'Underlying Mechanics'!$B$15*INDEX('Underlying Mechanics'!$B$31:$B$51,I$1-'Underlying Mechanics'!$B$8+1)*'Underlying Mechanics'!$B$5))*(1-$A36))-IF(I$1=0,'Underlying Mechanics'!$B$23*(1-$B36),0)-IF(I$1&gt;0,'Underlying Mechanics'!$B$22*'Underlying Mechanics'!$B$17,0)-IF(I$1&gt;0,'Underlying Mechanics'!$B$12*'Underlying Mechanics'!$B$18,0)</x:f>
        <x:v>-3060</x:v>
      </x:c>
      <x:c r="J36" t="n">
        <x:f>((IF(J$1-'Underlying Mechanics'!$B$8&lt;0,0,'Underlying Mechanics'!$B$22*'Underlying Mechanics'!$B$15*INDEX('Underlying Mechanics'!$B$31:$B$51,J$1-'Underlying Mechanics'!$B$8+1)*'Underlying Mechanics'!$B$5))*(1-$A36))-IF(J$1=0,'Underlying Mechanics'!$B$23*(1-$B36),0)-IF(J$1&gt;0,'Underlying Mechanics'!$B$22*'Underlying Mechanics'!$B$17,0)-IF(J$1&gt;0,'Underlying Mechanics'!$B$12*'Underlying Mechanics'!$B$18,0)</x:f>
        <x:v>7740.000000000007</x:v>
      </x:c>
      <x:c r="K36" t="n">
        <x:f>((IF(K$1-'Underlying Mechanics'!$B$8&lt;0,0,'Underlying Mechanics'!$B$22*'Underlying Mechanics'!$B$15*INDEX('Underlying Mechanics'!$B$31:$B$51,K$1-'Underlying Mechanics'!$B$8+1)*'Underlying Mechanics'!$B$5))*(1-$A36))-IF(K$1=0,'Underlying Mechanics'!$B$23*(1-$B36),0)-IF(K$1&gt;0,'Underlying Mechanics'!$B$22*'Underlying Mechanics'!$B$17,0)-IF(K$1&gt;0,'Underlying Mechanics'!$B$12*'Underlying Mechanics'!$B$18,0)</x:f>
        <x:v>20700</x:v>
      </x:c>
      <x:c r="L36" t="n">
        <x:f>((IF(L$1-'Underlying Mechanics'!$B$8&lt;0,0,'Underlying Mechanics'!$B$22*'Underlying Mechanics'!$B$15*INDEX('Underlying Mechanics'!$B$31:$B$51,L$1-'Underlying Mechanics'!$B$8+1)*'Underlying Mechanics'!$B$5))*(1-$A36))-IF(L$1=0,'Underlying Mechanics'!$B$23*(1-$B36),0)-IF(L$1&gt;0,'Underlying Mechanics'!$B$22*'Underlying Mechanics'!$B$17,0)-IF(L$1&gt;0,'Underlying Mechanics'!$B$12*'Underlying Mechanics'!$B$18,0)</x:f>
        <x:v>35820</x:v>
      </x:c>
      <x:c r="M36" t="n">
        <x:f>((IF(M$1-'Underlying Mechanics'!$B$8&lt;0,0,'Underlying Mechanics'!$B$22*'Underlying Mechanics'!$B$15*INDEX('Underlying Mechanics'!$B$31:$B$51,M$1-'Underlying Mechanics'!$B$8+1)*'Underlying Mechanics'!$B$5))*(1-$A36))-IF(M$1=0,'Underlying Mechanics'!$B$23*(1-$B36),0)-IF(M$1&gt;0,'Underlying Mechanics'!$B$22*'Underlying Mechanics'!$B$17,0)-IF(M$1&gt;0,'Underlying Mechanics'!$B$12*'Underlying Mechanics'!$B$18,0)</x:f>
        <x:v>50940.000000000015</x:v>
      </x:c>
      <x:c r="N36" t="n">
        <x:f>((IF(N$1-'Underlying Mechanics'!$B$8&lt;0,0,'Underlying Mechanics'!$B$22*'Underlying Mechanics'!$B$15*INDEX('Underlying Mechanics'!$B$31:$B$51,N$1-'Underlying Mechanics'!$B$8+1)*'Underlying Mechanics'!$B$5))*(1-$A36))-IF(N$1=0,'Underlying Mechanics'!$B$23*(1-$B36),0)-IF(N$1&gt;0,'Underlying Mechanics'!$B$22*'Underlying Mechanics'!$B$17,0)-IF(N$1&gt;0,'Underlying Mechanics'!$B$12*'Underlying Mechanics'!$B$18,0)</x:f>
        <x:v>63900</x:v>
      </x:c>
      <x:c r="O36" t="n">
        <x:f>((IF(O$1-'Underlying Mechanics'!$B$8&lt;0,0,'Underlying Mechanics'!$B$22*'Underlying Mechanics'!$B$15*INDEX('Underlying Mechanics'!$B$31:$B$51,O$1-'Underlying Mechanics'!$B$8+1)*'Underlying Mechanics'!$B$5))*(1-$A36))-IF(O$1=0,'Underlying Mechanics'!$B$23*(1-$B36),0)-IF(O$1&gt;0,'Underlying Mechanics'!$B$22*'Underlying Mechanics'!$B$17,0)-IF(O$1&gt;0,'Underlying Mechanics'!$B$12*'Underlying Mechanics'!$B$18,0)</x:f>
        <x:v>74700</x:v>
      </x:c>
      <x:c r="P36" t="n">
        <x:f>((IF(P$1-'Underlying Mechanics'!$B$8&lt;0,0,'Underlying Mechanics'!$B$22*'Underlying Mechanics'!$B$15*INDEX('Underlying Mechanics'!$B$31:$B$51,P$1-'Underlying Mechanics'!$B$8+1)*'Underlying Mechanics'!$B$5))*(1-$A36))-IF(P$1=0,'Underlying Mechanics'!$B$23*(1-$B36),0)-IF(P$1&gt;0,'Underlying Mechanics'!$B$22*'Underlying Mechanics'!$B$17,0)-IF(P$1&gt;0,'Underlying Mechanics'!$B$12*'Underlying Mechanics'!$B$18,0)</x:f>
        <x:v>85500</x:v>
      </x:c>
      <x:c r="Q36" t="n">
        <x:f>((IF(Q$1-'Underlying Mechanics'!$B$8&lt;0,0,'Underlying Mechanics'!$B$22*'Underlying Mechanics'!$B$15*INDEX('Underlying Mechanics'!$B$31:$B$51,Q$1-'Underlying Mechanics'!$B$8+1)*'Underlying Mechanics'!$B$5))*(1-$A36))-IF(Q$1=0,'Underlying Mechanics'!$B$23*(1-$B36),0)-IF(Q$1&gt;0,'Underlying Mechanics'!$B$22*'Underlying Mechanics'!$B$17,0)-IF(Q$1&gt;0,'Underlying Mechanics'!$B$12*'Underlying Mechanics'!$B$18,0)</x:f>
        <x:v>85500</x:v>
      </x:c>
      <x:c r="R36" t="n">
        <x:f>((IF(R$1-'Underlying Mechanics'!$B$8&lt;0,0,'Underlying Mechanics'!$B$22*'Underlying Mechanics'!$B$15*INDEX('Underlying Mechanics'!$B$31:$B$51,R$1-'Underlying Mechanics'!$B$8+1)*'Underlying Mechanics'!$B$5))*(1-$A36))-IF(R$1=0,'Underlying Mechanics'!$B$23*(1-$B36),0)-IF(R$1&gt;0,'Underlying Mechanics'!$B$22*'Underlying Mechanics'!$B$17,0)-IF(R$1&gt;0,'Underlying Mechanics'!$B$12*'Underlying Mechanics'!$B$18,0)</x:f>
        <x:v>85500</x:v>
      </x:c>
      <x:c r="S36" t="n">
        <x:f>((IF(S$1-'Underlying Mechanics'!$B$8&lt;0,0,'Underlying Mechanics'!$B$22*'Underlying Mechanics'!$B$15*INDEX('Underlying Mechanics'!$B$31:$B$51,S$1-'Underlying Mechanics'!$B$8+1)*'Underlying Mechanics'!$B$5))*(1-$A36))-IF(S$1=0,'Underlying Mechanics'!$B$23*(1-$B36),0)-IF(S$1&gt;0,'Underlying Mechanics'!$B$22*'Underlying Mechanics'!$B$17,0)-IF(S$1&gt;0,'Underlying Mechanics'!$B$12*'Underlying Mechanics'!$B$18,0)</x:f>
        <x:v>85500</x:v>
      </x:c>
      <x:c r="T36" t="n">
        <x:f>((IF(T$1-'Underlying Mechanics'!$B$8&lt;0,0,'Underlying Mechanics'!$B$22*'Underlying Mechanics'!$B$15*INDEX('Underlying Mechanics'!$B$31:$B$51,T$1-'Underlying Mechanics'!$B$8+1)*'Underlying Mechanics'!$B$5))*(1-$A36))-IF(T$1=0,'Underlying Mechanics'!$B$23*(1-$B36),0)-IF(T$1&gt;0,'Underlying Mechanics'!$B$22*'Underlying Mechanics'!$B$17,0)-IF(T$1&gt;0,'Underlying Mechanics'!$B$12*'Underlying Mechanics'!$B$18,0)</x:f>
        <x:v>85500</x:v>
      </x:c>
      <x:c r="U36" t="n">
        <x:f>((IF(U$1-'Underlying Mechanics'!$B$8&lt;0,0,'Underlying Mechanics'!$B$22*'Underlying Mechanics'!$B$15*INDEX('Underlying Mechanics'!$B$31:$B$51,U$1-'Underlying Mechanics'!$B$8+1)*'Underlying Mechanics'!$B$5))*(1-$A36))-IF(U$1=0,'Underlying Mechanics'!$B$23*(1-$B36),0)-IF(U$1&gt;0,'Underlying Mechanics'!$B$22*'Underlying Mechanics'!$B$17,0)-IF(U$1&gt;0,'Underlying Mechanics'!$B$12*'Underlying Mechanics'!$B$18,0)</x:f>
        <x:v>85500</x:v>
      </x:c>
      <x:c r="V36" t="n">
        <x:f>((IF(V$1-'Underlying Mechanics'!$B$8&lt;0,0,'Underlying Mechanics'!$B$22*'Underlying Mechanics'!$B$15*INDEX('Underlying Mechanics'!$B$31:$B$51,V$1-'Underlying Mechanics'!$B$8+1)*'Underlying Mechanics'!$B$5))*(1-$A36))-IF(V$1=0,'Underlying Mechanics'!$B$23*(1-$B36),0)-IF(V$1&gt;0,'Underlying Mechanics'!$B$22*'Underlying Mechanics'!$B$17,0)-IF(V$1&gt;0,'Underlying Mechanics'!$B$12*'Underlying Mechanics'!$B$18,0)</x:f>
        <x:v>85500</x:v>
      </x:c>
      <x:c r="W36" t="n">
        <x:f>((IF(W$1-'Underlying Mechanics'!$B$8&lt;0,0,'Underlying Mechanics'!$B$22*'Underlying Mechanics'!$B$15*INDEX('Underlying Mechanics'!$B$31:$B$51,W$1-'Underlying Mechanics'!$B$8+1)*'Underlying Mechanics'!$B$5))*(1-$A36))-IF(W$1=0,'Underlying Mechanics'!$B$23*(1-$B36),0)-IF(W$1&gt;0,'Underlying Mechanics'!$B$22*'Underlying Mechanics'!$B$17,0)-IF(W$1&gt;0,'Underlying Mechanics'!$B$12*'Underlying Mechanics'!$B$18,0)</x:f>
        <x:v>85500</x:v>
      </x:c>
      <x:c r="X36" t="n">
        <x:f>IFERROR(IRR(C36:W36),-1)</x:f>
        <x:v>0.1597764966906015</x:v>
      </x:c>
    </x:row>
    <x:row r="37">
      <x:c r="A37" t="n">
        <x:v>0.1</x:v>
      </x:c>
      <x:c r="B37" t="n">
        <x:v>0.7</x:v>
      </x:c>
      <x:c r="C37" t="n">
        <x:f>((IF(C$1-'Underlying Mechanics'!$B$8&lt;0,0,'Underlying Mechanics'!$B$22*'Underlying Mechanics'!$B$15*INDEX('Underlying Mechanics'!$B$31:$B$51,C$1-'Underlying Mechanics'!$B$8+1)*'Underlying Mechanics'!$B$5))*(1-$A37))-IF(C$1=0,'Underlying Mechanics'!$B$23*(1-$B37),0)-IF(C$1&gt;0,'Underlying Mechanics'!$B$22*'Underlying Mechanics'!$B$17,0)-IF(C$1&gt;0,'Underlying Mechanics'!$B$12*'Underlying Mechanics'!$B$18,0)</x:f>
        <x:v>-45000.00000000001</x:v>
      </x:c>
      <x:c r="D37" t="n">
        <x:f>((IF(D$1-'Underlying Mechanics'!$B$8&lt;0,0,'Underlying Mechanics'!$B$22*'Underlying Mechanics'!$B$15*INDEX('Underlying Mechanics'!$B$31:$B$51,D$1-'Underlying Mechanics'!$B$8+1)*'Underlying Mechanics'!$B$5))*(1-$A37))-IF(D$1=0,'Underlying Mechanics'!$B$23*(1-$B37),0)-IF(D$1&gt;0,'Underlying Mechanics'!$B$22*'Underlying Mechanics'!$B$17,0)-IF(D$1&gt;0,'Underlying Mechanics'!$B$12*'Underlying Mechanics'!$B$18,0)</x:f>
        <x:v>-22500</x:v>
      </x:c>
      <x:c r="E37" t="n">
        <x:f>((IF(E$1-'Underlying Mechanics'!$B$8&lt;0,0,'Underlying Mechanics'!$B$22*'Underlying Mechanics'!$B$15*INDEX('Underlying Mechanics'!$B$31:$B$51,E$1-'Underlying Mechanics'!$B$8+1)*'Underlying Mechanics'!$B$5))*(1-$A37))-IF(E$1=0,'Underlying Mechanics'!$B$23*(1-$B37),0)-IF(E$1&gt;0,'Underlying Mechanics'!$B$22*'Underlying Mechanics'!$B$17,0)-IF(E$1&gt;0,'Underlying Mechanics'!$B$12*'Underlying Mechanics'!$B$18,0)</x:f>
        <x:v>-22500</x:v>
      </x:c>
      <x:c r="F37" t="n">
        <x:f>((IF(F$1-'Underlying Mechanics'!$B$8&lt;0,0,'Underlying Mechanics'!$B$22*'Underlying Mechanics'!$B$15*INDEX('Underlying Mechanics'!$B$31:$B$51,F$1-'Underlying Mechanics'!$B$8+1)*'Underlying Mechanics'!$B$5))*(1-$A37))-IF(F$1=0,'Underlying Mechanics'!$B$23*(1-$B37),0)-IF(F$1&gt;0,'Underlying Mechanics'!$B$22*'Underlying Mechanics'!$B$17,0)-IF(F$1&gt;0,'Underlying Mechanics'!$B$12*'Underlying Mechanics'!$B$18,0)</x:f>
        <x:v>-20340</x:v>
      </x:c>
      <x:c r="G37" t="n">
        <x:f>((IF(G$1-'Underlying Mechanics'!$B$8&lt;0,0,'Underlying Mechanics'!$B$22*'Underlying Mechanics'!$B$15*INDEX('Underlying Mechanics'!$B$31:$B$51,G$1-'Underlying Mechanics'!$B$8+1)*'Underlying Mechanics'!$B$5))*(1-$A37))-IF(G$1=0,'Underlying Mechanics'!$B$23*(1-$B37),0)-IF(G$1&gt;0,'Underlying Mechanics'!$B$22*'Underlying Mechanics'!$B$17,0)-IF(G$1&gt;0,'Underlying Mechanics'!$B$12*'Underlying Mechanics'!$B$18,0)</x:f>
        <x:v>-17100</x:v>
      </x:c>
      <x:c r="H37" t="n">
        <x:f>((IF(H$1-'Underlying Mechanics'!$B$8&lt;0,0,'Underlying Mechanics'!$B$22*'Underlying Mechanics'!$B$15*INDEX('Underlying Mechanics'!$B$31:$B$51,H$1-'Underlying Mechanics'!$B$8+1)*'Underlying Mechanics'!$B$5))*(1-$A37))-IF(H$1=0,'Underlying Mechanics'!$B$23*(1-$B37),0)-IF(H$1&gt;0,'Underlying Mechanics'!$B$22*'Underlying Mechanics'!$B$17,0)-IF(H$1&gt;0,'Underlying Mechanics'!$B$12*'Underlying Mechanics'!$B$18,0)</x:f>
        <x:v>-11700</x:v>
      </x:c>
      <x:c r="I37" t="n">
        <x:f>((IF(I$1-'Underlying Mechanics'!$B$8&lt;0,0,'Underlying Mechanics'!$B$22*'Underlying Mechanics'!$B$15*INDEX('Underlying Mechanics'!$B$31:$B$51,I$1-'Underlying Mechanics'!$B$8+1)*'Underlying Mechanics'!$B$5))*(1-$A37))-IF(I$1=0,'Underlying Mechanics'!$B$23*(1-$B37),0)-IF(I$1&gt;0,'Underlying Mechanics'!$B$22*'Underlying Mechanics'!$B$17,0)-IF(I$1&gt;0,'Underlying Mechanics'!$B$12*'Underlying Mechanics'!$B$18,0)</x:f>
        <x:v>-3060</x:v>
      </x:c>
      <x:c r="J37" t="n">
        <x:f>((IF(J$1-'Underlying Mechanics'!$B$8&lt;0,0,'Underlying Mechanics'!$B$22*'Underlying Mechanics'!$B$15*INDEX('Underlying Mechanics'!$B$31:$B$51,J$1-'Underlying Mechanics'!$B$8+1)*'Underlying Mechanics'!$B$5))*(1-$A37))-IF(J$1=0,'Underlying Mechanics'!$B$23*(1-$B37),0)-IF(J$1&gt;0,'Underlying Mechanics'!$B$22*'Underlying Mechanics'!$B$17,0)-IF(J$1&gt;0,'Underlying Mechanics'!$B$12*'Underlying Mechanics'!$B$18,0)</x:f>
        <x:v>7740.000000000007</x:v>
      </x:c>
      <x:c r="K37" t="n">
        <x:f>((IF(K$1-'Underlying Mechanics'!$B$8&lt;0,0,'Underlying Mechanics'!$B$22*'Underlying Mechanics'!$B$15*INDEX('Underlying Mechanics'!$B$31:$B$51,K$1-'Underlying Mechanics'!$B$8+1)*'Underlying Mechanics'!$B$5))*(1-$A37))-IF(K$1=0,'Underlying Mechanics'!$B$23*(1-$B37),0)-IF(K$1&gt;0,'Underlying Mechanics'!$B$22*'Underlying Mechanics'!$B$17,0)-IF(K$1&gt;0,'Underlying Mechanics'!$B$12*'Underlying Mechanics'!$B$18,0)</x:f>
        <x:v>20700</x:v>
      </x:c>
      <x:c r="L37" t="n">
        <x:f>((IF(L$1-'Underlying Mechanics'!$B$8&lt;0,0,'Underlying Mechanics'!$B$22*'Underlying Mechanics'!$B$15*INDEX('Underlying Mechanics'!$B$31:$B$51,L$1-'Underlying Mechanics'!$B$8+1)*'Underlying Mechanics'!$B$5))*(1-$A37))-IF(L$1=0,'Underlying Mechanics'!$B$23*(1-$B37),0)-IF(L$1&gt;0,'Underlying Mechanics'!$B$22*'Underlying Mechanics'!$B$17,0)-IF(L$1&gt;0,'Underlying Mechanics'!$B$12*'Underlying Mechanics'!$B$18,0)</x:f>
        <x:v>35820</x:v>
      </x:c>
      <x:c r="M37" t="n">
        <x:f>((IF(M$1-'Underlying Mechanics'!$B$8&lt;0,0,'Underlying Mechanics'!$B$22*'Underlying Mechanics'!$B$15*INDEX('Underlying Mechanics'!$B$31:$B$51,M$1-'Underlying Mechanics'!$B$8+1)*'Underlying Mechanics'!$B$5))*(1-$A37))-IF(M$1=0,'Underlying Mechanics'!$B$23*(1-$B37),0)-IF(M$1&gt;0,'Underlying Mechanics'!$B$22*'Underlying Mechanics'!$B$17,0)-IF(M$1&gt;0,'Underlying Mechanics'!$B$12*'Underlying Mechanics'!$B$18,0)</x:f>
        <x:v>50940.000000000015</x:v>
      </x:c>
      <x:c r="N37" t="n">
        <x:f>((IF(N$1-'Underlying Mechanics'!$B$8&lt;0,0,'Underlying Mechanics'!$B$22*'Underlying Mechanics'!$B$15*INDEX('Underlying Mechanics'!$B$31:$B$51,N$1-'Underlying Mechanics'!$B$8+1)*'Underlying Mechanics'!$B$5))*(1-$A37))-IF(N$1=0,'Underlying Mechanics'!$B$23*(1-$B37),0)-IF(N$1&gt;0,'Underlying Mechanics'!$B$22*'Underlying Mechanics'!$B$17,0)-IF(N$1&gt;0,'Underlying Mechanics'!$B$12*'Underlying Mechanics'!$B$18,0)</x:f>
        <x:v>63900</x:v>
      </x:c>
      <x:c r="O37" t="n">
        <x:f>((IF(O$1-'Underlying Mechanics'!$B$8&lt;0,0,'Underlying Mechanics'!$B$22*'Underlying Mechanics'!$B$15*INDEX('Underlying Mechanics'!$B$31:$B$51,O$1-'Underlying Mechanics'!$B$8+1)*'Underlying Mechanics'!$B$5))*(1-$A37))-IF(O$1=0,'Underlying Mechanics'!$B$23*(1-$B37),0)-IF(O$1&gt;0,'Underlying Mechanics'!$B$22*'Underlying Mechanics'!$B$17,0)-IF(O$1&gt;0,'Underlying Mechanics'!$B$12*'Underlying Mechanics'!$B$18,0)</x:f>
        <x:v>74700</x:v>
      </x:c>
      <x:c r="P37" t="n">
        <x:f>((IF(P$1-'Underlying Mechanics'!$B$8&lt;0,0,'Underlying Mechanics'!$B$22*'Underlying Mechanics'!$B$15*INDEX('Underlying Mechanics'!$B$31:$B$51,P$1-'Underlying Mechanics'!$B$8+1)*'Underlying Mechanics'!$B$5))*(1-$A37))-IF(P$1=0,'Underlying Mechanics'!$B$23*(1-$B37),0)-IF(P$1&gt;0,'Underlying Mechanics'!$B$22*'Underlying Mechanics'!$B$17,0)-IF(P$1&gt;0,'Underlying Mechanics'!$B$12*'Underlying Mechanics'!$B$18,0)</x:f>
        <x:v>85500</x:v>
      </x:c>
      <x:c r="Q37" t="n">
        <x:f>((IF(Q$1-'Underlying Mechanics'!$B$8&lt;0,0,'Underlying Mechanics'!$B$22*'Underlying Mechanics'!$B$15*INDEX('Underlying Mechanics'!$B$31:$B$51,Q$1-'Underlying Mechanics'!$B$8+1)*'Underlying Mechanics'!$B$5))*(1-$A37))-IF(Q$1=0,'Underlying Mechanics'!$B$23*(1-$B37),0)-IF(Q$1&gt;0,'Underlying Mechanics'!$B$22*'Underlying Mechanics'!$B$17,0)-IF(Q$1&gt;0,'Underlying Mechanics'!$B$12*'Underlying Mechanics'!$B$18,0)</x:f>
        <x:v>85500</x:v>
      </x:c>
      <x:c r="R37" t="n">
        <x:f>((IF(R$1-'Underlying Mechanics'!$B$8&lt;0,0,'Underlying Mechanics'!$B$22*'Underlying Mechanics'!$B$15*INDEX('Underlying Mechanics'!$B$31:$B$51,R$1-'Underlying Mechanics'!$B$8+1)*'Underlying Mechanics'!$B$5))*(1-$A37))-IF(R$1=0,'Underlying Mechanics'!$B$23*(1-$B37),0)-IF(R$1&gt;0,'Underlying Mechanics'!$B$22*'Underlying Mechanics'!$B$17,0)-IF(R$1&gt;0,'Underlying Mechanics'!$B$12*'Underlying Mechanics'!$B$18,0)</x:f>
        <x:v>85500</x:v>
      </x:c>
      <x:c r="S37" t="n">
        <x:f>((IF(S$1-'Underlying Mechanics'!$B$8&lt;0,0,'Underlying Mechanics'!$B$22*'Underlying Mechanics'!$B$15*INDEX('Underlying Mechanics'!$B$31:$B$51,S$1-'Underlying Mechanics'!$B$8+1)*'Underlying Mechanics'!$B$5))*(1-$A37))-IF(S$1=0,'Underlying Mechanics'!$B$23*(1-$B37),0)-IF(S$1&gt;0,'Underlying Mechanics'!$B$22*'Underlying Mechanics'!$B$17,0)-IF(S$1&gt;0,'Underlying Mechanics'!$B$12*'Underlying Mechanics'!$B$18,0)</x:f>
        <x:v>85500</x:v>
      </x:c>
      <x:c r="T37" t="n">
        <x:f>((IF(T$1-'Underlying Mechanics'!$B$8&lt;0,0,'Underlying Mechanics'!$B$22*'Underlying Mechanics'!$B$15*INDEX('Underlying Mechanics'!$B$31:$B$51,T$1-'Underlying Mechanics'!$B$8+1)*'Underlying Mechanics'!$B$5))*(1-$A37))-IF(T$1=0,'Underlying Mechanics'!$B$23*(1-$B37),0)-IF(T$1&gt;0,'Underlying Mechanics'!$B$22*'Underlying Mechanics'!$B$17,0)-IF(T$1&gt;0,'Underlying Mechanics'!$B$12*'Underlying Mechanics'!$B$18,0)</x:f>
        <x:v>85500</x:v>
      </x:c>
      <x:c r="U37" t="n">
        <x:f>((IF(U$1-'Underlying Mechanics'!$B$8&lt;0,0,'Underlying Mechanics'!$B$22*'Underlying Mechanics'!$B$15*INDEX('Underlying Mechanics'!$B$31:$B$51,U$1-'Underlying Mechanics'!$B$8+1)*'Underlying Mechanics'!$B$5))*(1-$A37))-IF(U$1=0,'Underlying Mechanics'!$B$23*(1-$B37),0)-IF(U$1&gt;0,'Underlying Mechanics'!$B$22*'Underlying Mechanics'!$B$17,0)-IF(U$1&gt;0,'Underlying Mechanics'!$B$12*'Underlying Mechanics'!$B$18,0)</x:f>
        <x:v>85500</x:v>
      </x:c>
      <x:c r="V37" t="n">
        <x:f>((IF(V$1-'Underlying Mechanics'!$B$8&lt;0,0,'Underlying Mechanics'!$B$22*'Underlying Mechanics'!$B$15*INDEX('Underlying Mechanics'!$B$31:$B$51,V$1-'Underlying Mechanics'!$B$8+1)*'Underlying Mechanics'!$B$5))*(1-$A37))-IF(V$1=0,'Underlying Mechanics'!$B$23*(1-$B37),0)-IF(V$1&gt;0,'Underlying Mechanics'!$B$22*'Underlying Mechanics'!$B$17,0)-IF(V$1&gt;0,'Underlying Mechanics'!$B$12*'Underlying Mechanics'!$B$18,0)</x:f>
        <x:v>85500</x:v>
      </x:c>
      <x:c r="W37" t="n">
        <x:f>((IF(W$1-'Underlying Mechanics'!$B$8&lt;0,0,'Underlying Mechanics'!$B$22*'Underlying Mechanics'!$B$15*INDEX('Underlying Mechanics'!$B$31:$B$51,W$1-'Underlying Mechanics'!$B$8+1)*'Underlying Mechanics'!$B$5))*(1-$A37))-IF(W$1=0,'Underlying Mechanics'!$B$23*(1-$B37),0)-IF(W$1&gt;0,'Underlying Mechanics'!$B$22*'Underlying Mechanics'!$B$17,0)-IF(W$1&gt;0,'Underlying Mechanics'!$B$12*'Underlying Mechanics'!$B$18,0)</x:f>
        <x:v>85500</x:v>
      </x:c>
      <x:c r="X37" t="n">
        <x:f>IFERROR(IRR(C37:W37),-1)</x:f>
        <x:v>0.16636581635091519</x:v>
      </x:c>
    </x:row>
    <x:row r="38">
      <x:c r="A38" t="n">
        <x:v>0.1</x:v>
      </x:c>
      <x:c r="B38" t="n">
        <x:v>0.75</x:v>
      </x:c>
      <x:c r="C38" t="n">
        <x:f>((IF(C$1-'Underlying Mechanics'!$B$8&lt;0,0,'Underlying Mechanics'!$B$22*'Underlying Mechanics'!$B$15*INDEX('Underlying Mechanics'!$B$31:$B$51,C$1-'Underlying Mechanics'!$B$8+1)*'Underlying Mechanics'!$B$5))*(1-$A38))-IF(C$1=0,'Underlying Mechanics'!$B$23*(1-$B38),0)-IF(C$1&gt;0,'Underlying Mechanics'!$B$22*'Underlying Mechanics'!$B$17,0)-IF(C$1&gt;0,'Underlying Mechanics'!$B$12*'Underlying Mechanics'!$B$18,0)</x:f>
        <x:v>-37500</x:v>
      </x:c>
      <x:c r="D38" t="n">
        <x:f>((IF(D$1-'Underlying Mechanics'!$B$8&lt;0,0,'Underlying Mechanics'!$B$22*'Underlying Mechanics'!$B$15*INDEX('Underlying Mechanics'!$B$31:$B$51,D$1-'Underlying Mechanics'!$B$8+1)*'Underlying Mechanics'!$B$5))*(1-$A38))-IF(D$1=0,'Underlying Mechanics'!$B$23*(1-$B38),0)-IF(D$1&gt;0,'Underlying Mechanics'!$B$22*'Underlying Mechanics'!$B$17,0)-IF(D$1&gt;0,'Underlying Mechanics'!$B$12*'Underlying Mechanics'!$B$18,0)</x:f>
        <x:v>-22500</x:v>
      </x:c>
      <x:c r="E38" t="n">
        <x:f>((IF(E$1-'Underlying Mechanics'!$B$8&lt;0,0,'Underlying Mechanics'!$B$22*'Underlying Mechanics'!$B$15*INDEX('Underlying Mechanics'!$B$31:$B$51,E$1-'Underlying Mechanics'!$B$8+1)*'Underlying Mechanics'!$B$5))*(1-$A38))-IF(E$1=0,'Underlying Mechanics'!$B$23*(1-$B38),0)-IF(E$1&gt;0,'Underlying Mechanics'!$B$22*'Underlying Mechanics'!$B$17,0)-IF(E$1&gt;0,'Underlying Mechanics'!$B$12*'Underlying Mechanics'!$B$18,0)</x:f>
        <x:v>-22500</x:v>
      </x:c>
      <x:c r="F38" t="n">
        <x:f>((IF(F$1-'Underlying Mechanics'!$B$8&lt;0,0,'Underlying Mechanics'!$B$22*'Underlying Mechanics'!$B$15*INDEX('Underlying Mechanics'!$B$31:$B$51,F$1-'Underlying Mechanics'!$B$8+1)*'Underlying Mechanics'!$B$5))*(1-$A38))-IF(F$1=0,'Underlying Mechanics'!$B$23*(1-$B38),0)-IF(F$1&gt;0,'Underlying Mechanics'!$B$22*'Underlying Mechanics'!$B$17,0)-IF(F$1&gt;0,'Underlying Mechanics'!$B$12*'Underlying Mechanics'!$B$18,0)</x:f>
        <x:v>-20340</x:v>
      </x:c>
      <x:c r="G38" t="n">
        <x:f>((IF(G$1-'Underlying Mechanics'!$B$8&lt;0,0,'Underlying Mechanics'!$B$22*'Underlying Mechanics'!$B$15*INDEX('Underlying Mechanics'!$B$31:$B$51,G$1-'Underlying Mechanics'!$B$8+1)*'Underlying Mechanics'!$B$5))*(1-$A38))-IF(G$1=0,'Underlying Mechanics'!$B$23*(1-$B38),0)-IF(G$1&gt;0,'Underlying Mechanics'!$B$22*'Underlying Mechanics'!$B$17,0)-IF(G$1&gt;0,'Underlying Mechanics'!$B$12*'Underlying Mechanics'!$B$18,0)</x:f>
        <x:v>-17100</x:v>
      </x:c>
      <x:c r="H38" t="n">
        <x:f>((IF(H$1-'Underlying Mechanics'!$B$8&lt;0,0,'Underlying Mechanics'!$B$22*'Underlying Mechanics'!$B$15*INDEX('Underlying Mechanics'!$B$31:$B$51,H$1-'Underlying Mechanics'!$B$8+1)*'Underlying Mechanics'!$B$5))*(1-$A38))-IF(H$1=0,'Underlying Mechanics'!$B$23*(1-$B38),0)-IF(H$1&gt;0,'Underlying Mechanics'!$B$22*'Underlying Mechanics'!$B$17,0)-IF(H$1&gt;0,'Underlying Mechanics'!$B$12*'Underlying Mechanics'!$B$18,0)</x:f>
        <x:v>-11700</x:v>
      </x:c>
      <x:c r="I38" t="n">
        <x:f>((IF(I$1-'Underlying Mechanics'!$B$8&lt;0,0,'Underlying Mechanics'!$B$22*'Underlying Mechanics'!$B$15*INDEX('Underlying Mechanics'!$B$31:$B$51,I$1-'Underlying Mechanics'!$B$8+1)*'Underlying Mechanics'!$B$5))*(1-$A38))-IF(I$1=0,'Underlying Mechanics'!$B$23*(1-$B38),0)-IF(I$1&gt;0,'Underlying Mechanics'!$B$22*'Underlying Mechanics'!$B$17,0)-IF(I$1&gt;0,'Underlying Mechanics'!$B$12*'Underlying Mechanics'!$B$18,0)</x:f>
        <x:v>-3060</x:v>
      </x:c>
      <x:c r="J38" t="n">
        <x:f>((IF(J$1-'Underlying Mechanics'!$B$8&lt;0,0,'Underlying Mechanics'!$B$22*'Underlying Mechanics'!$B$15*INDEX('Underlying Mechanics'!$B$31:$B$51,J$1-'Underlying Mechanics'!$B$8+1)*'Underlying Mechanics'!$B$5))*(1-$A38))-IF(J$1=0,'Underlying Mechanics'!$B$23*(1-$B38),0)-IF(J$1&gt;0,'Underlying Mechanics'!$B$22*'Underlying Mechanics'!$B$17,0)-IF(J$1&gt;0,'Underlying Mechanics'!$B$12*'Underlying Mechanics'!$B$18,0)</x:f>
        <x:v>7740.000000000007</x:v>
      </x:c>
      <x:c r="K38" t="n">
        <x:f>((IF(K$1-'Underlying Mechanics'!$B$8&lt;0,0,'Underlying Mechanics'!$B$22*'Underlying Mechanics'!$B$15*INDEX('Underlying Mechanics'!$B$31:$B$51,K$1-'Underlying Mechanics'!$B$8+1)*'Underlying Mechanics'!$B$5))*(1-$A38))-IF(K$1=0,'Underlying Mechanics'!$B$23*(1-$B38),0)-IF(K$1&gt;0,'Underlying Mechanics'!$B$22*'Underlying Mechanics'!$B$17,0)-IF(K$1&gt;0,'Underlying Mechanics'!$B$12*'Underlying Mechanics'!$B$18,0)</x:f>
        <x:v>20700</x:v>
      </x:c>
      <x:c r="L38" t="n">
        <x:f>((IF(L$1-'Underlying Mechanics'!$B$8&lt;0,0,'Underlying Mechanics'!$B$22*'Underlying Mechanics'!$B$15*INDEX('Underlying Mechanics'!$B$31:$B$51,L$1-'Underlying Mechanics'!$B$8+1)*'Underlying Mechanics'!$B$5))*(1-$A38))-IF(L$1=0,'Underlying Mechanics'!$B$23*(1-$B38),0)-IF(L$1&gt;0,'Underlying Mechanics'!$B$22*'Underlying Mechanics'!$B$17,0)-IF(L$1&gt;0,'Underlying Mechanics'!$B$12*'Underlying Mechanics'!$B$18,0)</x:f>
        <x:v>35820</x:v>
      </x:c>
      <x:c r="M38" t="n">
        <x:f>((IF(M$1-'Underlying Mechanics'!$B$8&lt;0,0,'Underlying Mechanics'!$B$22*'Underlying Mechanics'!$B$15*INDEX('Underlying Mechanics'!$B$31:$B$51,M$1-'Underlying Mechanics'!$B$8+1)*'Underlying Mechanics'!$B$5))*(1-$A38))-IF(M$1=0,'Underlying Mechanics'!$B$23*(1-$B38),0)-IF(M$1&gt;0,'Underlying Mechanics'!$B$22*'Underlying Mechanics'!$B$17,0)-IF(M$1&gt;0,'Underlying Mechanics'!$B$12*'Underlying Mechanics'!$B$18,0)</x:f>
        <x:v>50940.000000000015</x:v>
      </x:c>
      <x:c r="N38" t="n">
        <x:f>((IF(N$1-'Underlying Mechanics'!$B$8&lt;0,0,'Underlying Mechanics'!$B$22*'Underlying Mechanics'!$B$15*INDEX('Underlying Mechanics'!$B$31:$B$51,N$1-'Underlying Mechanics'!$B$8+1)*'Underlying Mechanics'!$B$5))*(1-$A38))-IF(N$1=0,'Underlying Mechanics'!$B$23*(1-$B38),0)-IF(N$1&gt;0,'Underlying Mechanics'!$B$22*'Underlying Mechanics'!$B$17,0)-IF(N$1&gt;0,'Underlying Mechanics'!$B$12*'Underlying Mechanics'!$B$18,0)</x:f>
        <x:v>63900</x:v>
      </x:c>
      <x:c r="O38" t="n">
        <x:f>((IF(O$1-'Underlying Mechanics'!$B$8&lt;0,0,'Underlying Mechanics'!$B$22*'Underlying Mechanics'!$B$15*INDEX('Underlying Mechanics'!$B$31:$B$51,O$1-'Underlying Mechanics'!$B$8+1)*'Underlying Mechanics'!$B$5))*(1-$A38))-IF(O$1=0,'Underlying Mechanics'!$B$23*(1-$B38),0)-IF(O$1&gt;0,'Underlying Mechanics'!$B$22*'Underlying Mechanics'!$B$17,0)-IF(O$1&gt;0,'Underlying Mechanics'!$B$12*'Underlying Mechanics'!$B$18,0)</x:f>
        <x:v>74700</x:v>
      </x:c>
      <x:c r="P38" t="n">
        <x:f>((IF(P$1-'Underlying Mechanics'!$B$8&lt;0,0,'Underlying Mechanics'!$B$22*'Underlying Mechanics'!$B$15*INDEX('Underlying Mechanics'!$B$31:$B$51,P$1-'Underlying Mechanics'!$B$8+1)*'Underlying Mechanics'!$B$5))*(1-$A38))-IF(P$1=0,'Underlying Mechanics'!$B$23*(1-$B38),0)-IF(P$1&gt;0,'Underlying Mechanics'!$B$22*'Underlying Mechanics'!$B$17,0)-IF(P$1&gt;0,'Underlying Mechanics'!$B$12*'Underlying Mechanics'!$B$18,0)</x:f>
        <x:v>85500</x:v>
      </x:c>
      <x:c r="Q38" t="n">
        <x:f>((IF(Q$1-'Underlying Mechanics'!$B$8&lt;0,0,'Underlying Mechanics'!$B$22*'Underlying Mechanics'!$B$15*INDEX('Underlying Mechanics'!$B$31:$B$51,Q$1-'Underlying Mechanics'!$B$8+1)*'Underlying Mechanics'!$B$5))*(1-$A38))-IF(Q$1=0,'Underlying Mechanics'!$B$23*(1-$B38),0)-IF(Q$1&gt;0,'Underlying Mechanics'!$B$22*'Underlying Mechanics'!$B$17,0)-IF(Q$1&gt;0,'Underlying Mechanics'!$B$12*'Underlying Mechanics'!$B$18,0)</x:f>
        <x:v>85500</x:v>
      </x:c>
      <x:c r="R38" t="n">
        <x:f>((IF(R$1-'Underlying Mechanics'!$B$8&lt;0,0,'Underlying Mechanics'!$B$22*'Underlying Mechanics'!$B$15*INDEX('Underlying Mechanics'!$B$31:$B$51,R$1-'Underlying Mechanics'!$B$8+1)*'Underlying Mechanics'!$B$5))*(1-$A38))-IF(R$1=0,'Underlying Mechanics'!$B$23*(1-$B38),0)-IF(R$1&gt;0,'Underlying Mechanics'!$B$22*'Underlying Mechanics'!$B$17,0)-IF(R$1&gt;0,'Underlying Mechanics'!$B$12*'Underlying Mechanics'!$B$18,0)</x:f>
        <x:v>85500</x:v>
      </x:c>
      <x:c r="S38" t="n">
        <x:f>((IF(S$1-'Underlying Mechanics'!$B$8&lt;0,0,'Underlying Mechanics'!$B$22*'Underlying Mechanics'!$B$15*INDEX('Underlying Mechanics'!$B$31:$B$51,S$1-'Underlying Mechanics'!$B$8+1)*'Underlying Mechanics'!$B$5))*(1-$A38))-IF(S$1=0,'Underlying Mechanics'!$B$23*(1-$B38),0)-IF(S$1&gt;0,'Underlying Mechanics'!$B$22*'Underlying Mechanics'!$B$17,0)-IF(S$1&gt;0,'Underlying Mechanics'!$B$12*'Underlying Mechanics'!$B$18,0)</x:f>
        <x:v>85500</x:v>
      </x:c>
      <x:c r="T38" t="n">
        <x:f>((IF(T$1-'Underlying Mechanics'!$B$8&lt;0,0,'Underlying Mechanics'!$B$22*'Underlying Mechanics'!$B$15*INDEX('Underlying Mechanics'!$B$31:$B$51,T$1-'Underlying Mechanics'!$B$8+1)*'Underlying Mechanics'!$B$5))*(1-$A38))-IF(T$1=0,'Underlying Mechanics'!$B$23*(1-$B38),0)-IF(T$1&gt;0,'Underlying Mechanics'!$B$22*'Underlying Mechanics'!$B$17,0)-IF(T$1&gt;0,'Underlying Mechanics'!$B$12*'Underlying Mechanics'!$B$18,0)</x:f>
        <x:v>85500</x:v>
      </x:c>
      <x:c r="U38" t="n">
        <x:f>((IF(U$1-'Underlying Mechanics'!$B$8&lt;0,0,'Underlying Mechanics'!$B$22*'Underlying Mechanics'!$B$15*INDEX('Underlying Mechanics'!$B$31:$B$51,U$1-'Underlying Mechanics'!$B$8+1)*'Underlying Mechanics'!$B$5))*(1-$A38))-IF(U$1=0,'Underlying Mechanics'!$B$23*(1-$B38),0)-IF(U$1&gt;0,'Underlying Mechanics'!$B$22*'Underlying Mechanics'!$B$17,0)-IF(U$1&gt;0,'Underlying Mechanics'!$B$12*'Underlying Mechanics'!$B$18,0)</x:f>
        <x:v>85500</x:v>
      </x:c>
      <x:c r="V38" t="n">
        <x:f>((IF(V$1-'Underlying Mechanics'!$B$8&lt;0,0,'Underlying Mechanics'!$B$22*'Underlying Mechanics'!$B$15*INDEX('Underlying Mechanics'!$B$31:$B$51,V$1-'Underlying Mechanics'!$B$8+1)*'Underlying Mechanics'!$B$5))*(1-$A38))-IF(V$1=0,'Underlying Mechanics'!$B$23*(1-$B38),0)-IF(V$1&gt;0,'Underlying Mechanics'!$B$22*'Underlying Mechanics'!$B$17,0)-IF(V$1&gt;0,'Underlying Mechanics'!$B$12*'Underlying Mechanics'!$B$18,0)</x:f>
        <x:v>85500</x:v>
      </x:c>
      <x:c r="W38" t="n">
        <x:f>((IF(W$1-'Underlying Mechanics'!$B$8&lt;0,0,'Underlying Mechanics'!$B$22*'Underlying Mechanics'!$B$15*INDEX('Underlying Mechanics'!$B$31:$B$51,W$1-'Underlying Mechanics'!$B$8+1)*'Underlying Mechanics'!$B$5))*(1-$A38))-IF(W$1=0,'Underlying Mechanics'!$B$23*(1-$B38),0)-IF(W$1&gt;0,'Underlying Mechanics'!$B$22*'Underlying Mechanics'!$B$17,0)-IF(W$1&gt;0,'Underlying Mechanics'!$B$12*'Underlying Mechanics'!$B$18,0)</x:f>
        <x:v>85500</x:v>
      </x:c>
      <x:c r="X38" t="n">
        <x:f>IFERROR(IRR(C38:W38),-1)</x:f>
        <x:v>0.17362354944075314</x:v>
      </x:c>
    </x:row>
    <x:row r="39">
      <x:c r="A39" t="n">
        <x:v>0.1</x:v>
      </x:c>
      <x:c r="B39" t="n">
        <x:v>0.8</x:v>
      </x:c>
      <x:c r="C39" t="n">
        <x:f>((IF(C$1-'Underlying Mechanics'!$B$8&lt;0,0,'Underlying Mechanics'!$B$22*'Underlying Mechanics'!$B$15*INDEX('Underlying Mechanics'!$B$31:$B$51,C$1-'Underlying Mechanics'!$B$8+1)*'Underlying Mechanics'!$B$5))*(1-$A39))-IF(C$1=0,'Underlying Mechanics'!$B$23*(1-$B39),0)-IF(C$1&gt;0,'Underlying Mechanics'!$B$22*'Underlying Mechanics'!$B$17,0)-IF(C$1&gt;0,'Underlying Mechanics'!$B$12*'Underlying Mechanics'!$B$18,0)</x:f>
        <x:v>-29999.999999999993</x:v>
      </x:c>
      <x:c r="D39" t="n">
        <x:f>((IF(D$1-'Underlying Mechanics'!$B$8&lt;0,0,'Underlying Mechanics'!$B$22*'Underlying Mechanics'!$B$15*INDEX('Underlying Mechanics'!$B$31:$B$51,D$1-'Underlying Mechanics'!$B$8+1)*'Underlying Mechanics'!$B$5))*(1-$A39))-IF(D$1=0,'Underlying Mechanics'!$B$23*(1-$B39),0)-IF(D$1&gt;0,'Underlying Mechanics'!$B$22*'Underlying Mechanics'!$B$17,0)-IF(D$1&gt;0,'Underlying Mechanics'!$B$12*'Underlying Mechanics'!$B$18,0)</x:f>
        <x:v>-22500</x:v>
      </x:c>
      <x:c r="E39" t="n">
        <x:f>((IF(E$1-'Underlying Mechanics'!$B$8&lt;0,0,'Underlying Mechanics'!$B$22*'Underlying Mechanics'!$B$15*INDEX('Underlying Mechanics'!$B$31:$B$51,E$1-'Underlying Mechanics'!$B$8+1)*'Underlying Mechanics'!$B$5))*(1-$A39))-IF(E$1=0,'Underlying Mechanics'!$B$23*(1-$B39),0)-IF(E$1&gt;0,'Underlying Mechanics'!$B$22*'Underlying Mechanics'!$B$17,0)-IF(E$1&gt;0,'Underlying Mechanics'!$B$12*'Underlying Mechanics'!$B$18,0)</x:f>
        <x:v>-22500</x:v>
      </x:c>
      <x:c r="F39" t="n">
        <x:f>((IF(F$1-'Underlying Mechanics'!$B$8&lt;0,0,'Underlying Mechanics'!$B$22*'Underlying Mechanics'!$B$15*INDEX('Underlying Mechanics'!$B$31:$B$51,F$1-'Underlying Mechanics'!$B$8+1)*'Underlying Mechanics'!$B$5))*(1-$A39))-IF(F$1=0,'Underlying Mechanics'!$B$23*(1-$B39),0)-IF(F$1&gt;0,'Underlying Mechanics'!$B$22*'Underlying Mechanics'!$B$17,0)-IF(F$1&gt;0,'Underlying Mechanics'!$B$12*'Underlying Mechanics'!$B$18,0)</x:f>
        <x:v>-20340</x:v>
      </x:c>
      <x:c r="G39" t="n">
        <x:f>((IF(G$1-'Underlying Mechanics'!$B$8&lt;0,0,'Underlying Mechanics'!$B$22*'Underlying Mechanics'!$B$15*INDEX('Underlying Mechanics'!$B$31:$B$51,G$1-'Underlying Mechanics'!$B$8+1)*'Underlying Mechanics'!$B$5))*(1-$A39))-IF(G$1=0,'Underlying Mechanics'!$B$23*(1-$B39),0)-IF(G$1&gt;0,'Underlying Mechanics'!$B$22*'Underlying Mechanics'!$B$17,0)-IF(G$1&gt;0,'Underlying Mechanics'!$B$12*'Underlying Mechanics'!$B$18,0)</x:f>
        <x:v>-17100</x:v>
      </x:c>
      <x:c r="H39" t="n">
        <x:f>((IF(H$1-'Underlying Mechanics'!$B$8&lt;0,0,'Underlying Mechanics'!$B$22*'Underlying Mechanics'!$B$15*INDEX('Underlying Mechanics'!$B$31:$B$51,H$1-'Underlying Mechanics'!$B$8+1)*'Underlying Mechanics'!$B$5))*(1-$A39))-IF(H$1=0,'Underlying Mechanics'!$B$23*(1-$B39),0)-IF(H$1&gt;0,'Underlying Mechanics'!$B$22*'Underlying Mechanics'!$B$17,0)-IF(H$1&gt;0,'Underlying Mechanics'!$B$12*'Underlying Mechanics'!$B$18,0)</x:f>
        <x:v>-11700</x:v>
      </x:c>
      <x:c r="I39" t="n">
        <x:f>((IF(I$1-'Underlying Mechanics'!$B$8&lt;0,0,'Underlying Mechanics'!$B$22*'Underlying Mechanics'!$B$15*INDEX('Underlying Mechanics'!$B$31:$B$51,I$1-'Underlying Mechanics'!$B$8+1)*'Underlying Mechanics'!$B$5))*(1-$A39))-IF(I$1=0,'Underlying Mechanics'!$B$23*(1-$B39),0)-IF(I$1&gt;0,'Underlying Mechanics'!$B$22*'Underlying Mechanics'!$B$17,0)-IF(I$1&gt;0,'Underlying Mechanics'!$B$12*'Underlying Mechanics'!$B$18,0)</x:f>
        <x:v>-3060</x:v>
      </x:c>
      <x:c r="J39" t="n">
        <x:f>((IF(J$1-'Underlying Mechanics'!$B$8&lt;0,0,'Underlying Mechanics'!$B$22*'Underlying Mechanics'!$B$15*INDEX('Underlying Mechanics'!$B$31:$B$51,J$1-'Underlying Mechanics'!$B$8+1)*'Underlying Mechanics'!$B$5))*(1-$A39))-IF(J$1=0,'Underlying Mechanics'!$B$23*(1-$B39),0)-IF(J$1&gt;0,'Underlying Mechanics'!$B$22*'Underlying Mechanics'!$B$17,0)-IF(J$1&gt;0,'Underlying Mechanics'!$B$12*'Underlying Mechanics'!$B$18,0)</x:f>
        <x:v>7740.000000000007</x:v>
      </x:c>
      <x:c r="K39" t="n">
        <x:f>((IF(K$1-'Underlying Mechanics'!$B$8&lt;0,0,'Underlying Mechanics'!$B$22*'Underlying Mechanics'!$B$15*INDEX('Underlying Mechanics'!$B$31:$B$51,K$1-'Underlying Mechanics'!$B$8+1)*'Underlying Mechanics'!$B$5))*(1-$A39))-IF(K$1=0,'Underlying Mechanics'!$B$23*(1-$B39),0)-IF(K$1&gt;0,'Underlying Mechanics'!$B$22*'Underlying Mechanics'!$B$17,0)-IF(K$1&gt;0,'Underlying Mechanics'!$B$12*'Underlying Mechanics'!$B$18,0)</x:f>
        <x:v>20700</x:v>
      </x:c>
      <x:c r="L39" t="n">
        <x:f>((IF(L$1-'Underlying Mechanics'!$B$8&lt;0,0,'Underlying Mechanics'!$B$22*'Underlying Mechanics'!$B$15*INDEX('Underlying Mechanics'!$B$31:$B$51,L$1-'Underlying Mechanics'!$B$8+1)*'Underlying Mechanics'!$B$5))*(1-$A39))-IF(L$1=0,'Underlying Mechanics'!$B$23*(1-$B39),0)-IF(L$1&gt;0,'Underlying Mechanics'!$B$22*'Underlying Mechanics'!$B$17,0)-IF(L$1&gt;0,'Underlying Mechanics'!$B$12*'Underlying Mechanics'!$B$18,0)</x:f>
        <x:v>35820</x:v>
      </x:c>
      <x:c r="M39" t="n">
        <x:f>((IF(M$1-'Underlying Mechanics'!$B$8&lt;0,0,'Underlying Mechanics'!$B$22*'Underlying Mechanics'!$B$15*INDEX('Underlying Mechanics'!$B$31:$B$51,M$1-'Underlying Mechanics'!$B$8+1)*'Underlying Mechanics'!$B$5))*(1-$A39))-IF(M$1=0,'Underlying Mechanics'!$B$23*(1-$B39),0)-IF(M$1&gt;0,'Underlying Mechanics'!$B$22*'Underlying Mechanics'!$B$17,0)-IF(M$1&gt;0,'Underlying Mechanics'!$B$12*'Underlying Mechanics'!$B$18,0)</x:f>
        <x:v>50940.000000000015</x:v>
      </x:c>
      <x:c r="N39" t="n">
        <x:f>((IF(N$1-'Underlying Mechanics'!$B$8&lt;0,0,'Underlying Mechanics'!$B$22*'Underlying Mechanics'!$B$15*INDEX('Underlying Mechanics'!$B$31:$B$51,N$1-'Underlying Mechanics'!$B$8+1)*'Underlying Mechanics'!$B$5))*(1-$A39))-IF(N$1=0,'Underlying Mechanics'!$B$23*(1-$B39),0)-IF(N$1&gt;0,'Underlying Mechanics'!$B$22*'Underlying Mechanics'!$B$17,0)-IF(N$1&gt;0,'Underlying Mechanics'!$B$12*'Underlying Mechanics'!$B$18,0)</x:f>
        <x:v>63900</x:v>
      </x:c>
      <x:c r="O39" t="n">
        <x:f>((IF(O$1-'Underlying Mechanics'!$B$8&lt;0,0,'Underlying Mechanics'!$B$22*'Underlying Mechanics'!$B$15*INDEX('Underlying Mechanics'!$B$31:$B$51,O$1-'Underlying Mechanics'!$B$8+1)*'Underlying Mechanics'!$B$5))*(1-$A39))-IF(O$1=0,'Underlying Mechanics'!$B$23*(1-$B39),0)-IF(O$1&gt;0,'Underlying Mechanics'!$B$22*'Underlying Mechanics'!$B$17,0)-IF(O$1&gt;0,'Underlying Mechanics'!$B$12*'Underlying Mechanics'!$B$18,0)</x:f>
        <x:v>74700</x:v>
      </x:c>
      <x:c r="P39" t="n">
        <x:f>((IF(P$1-'Underlying Mechanics'!$B$8&lt;0,0,'Underlying Mechanics'!$B$22*'Underlying Mechanics'!$B$15*INDEX('Underlying Mechanics'!$B$31:$B$51,P$1-'Underlying Mechanics'!$B$8+1)*'Underlying Mechanics'!$B$5))*(1-$A39))-IF(P$1=0,'Underlying Mechanics'!$B$23*(1-$B39),0)-IF(P$1&gt;0,'Underlying Mechanics'!$B$22*'Underlying Mechanics'!$B$17,0)-IF(P$1&gt;0,'Underlying Mechanics'!$B$12*'Underlying Mechanics'!$B$18,0)</x:f>
        <x:v>85500</x:v>
      </x:c>
      <x:c r="Q39" t="n">
        <x:f>((IF(Q$1-'Underlying Mechanics'!$B$8&lt;0,0,'Underlying Mechanics'!$B$22*'Underlying Mechanics'!$B$15*INDEX('Underlying Mechanics'!$B$31:$B$51,Q$1-'Underlying Mechanics'!$B$8+1)*'Underlying Mechanics'!$B$5))*(1-$A39))-IF(Q$1=0,'Underlying Mechanics'!$B$23*(1-$B39),0)-IF(Q$1&gt;0,'Underlying Mechanics'!$B$22*'Underlying Mechanics'!$B$17,0)-IF(Q$1&gt;0,'Underlying Mechanics'!$B$12*'Underlying Mechanics'!$B$18,0)</x:f>
        <x:v>85500</x:v>
      </x:c>
      <x:c r="R39" t="n">
        <x:f>((IF(R$1-'Underlying Mechanics'!$B$8&lt;0,0,'Underlying Mechanics'!$B$22*'Underlying Mechanics'!$B$15*INDEX('Underlying Mechanics'!$B$31:$B$51,R$1-'Underlying Mechanics'!$B$8+1)*'Underlying Mechanics'!$B$5))*(1-$A39))-IF(R$1=0,'Underlying Mechanics'!$B$23*(1-$B39),0)-IF(R$1&gt;0,'Underlying Mechanics'!$B$22*'Underlying Mechanics'!$B$17,0)-IF(R$1&gt;0,'Underlying Mechanics'!$B$12*'Underlying Mechanics'!$B$18,0)</x:f>
        <x:v>85500</x:v>
      </x:c>
      <x:c r="S39" t="n">
        <x:f>((IF(S$1-'Underlying Mechanics'!$B$8&lt;0,0,'Underlying Mechanics'!$B$22*'Underlying Mechanics'!$B$15*INDEX('Underlying Mechanics'!$B$31:$B$51,S$1-'Underlying Mechanics'!$B$8+1)*'Underlying Mechanics'!$B$5))*(1-$A39))-IF(S$1=0,'Underlying Mechanics'!$B$23*(1-$B39),0)-IF(S$1&gt;0,'Underlying Mechanics'!$B$22*'Underlying Mechanics'!$B$17,0)-IF(S$1&gt;0,'Underlying Mechanics'!$B$12*'Underlying Mechanics'!$B$18,0)</x:f>
        <x:v>85500</x:v>
      </x:c>
      <x:c r="T39" t="n">
        <x:f>((IF(T$1-'Underlying Mechanics'!$B$8&lt;0,0,'Underlying Mechanics'!$B$22*'Underlying Mechanics'!$B$15*INDEX('Underlying Mechanics'!$B$31:$B$51,T$1-'Underlying Mechanics'!$B$8+1)*'Underlying Mechanics'!$B$5))*(1-$A39))-IF(T$1=0,'Underlying Mechanics'!$B$23*(1-$B39),0)-IF(T$1&gt;0,'Underlying Mechanics'!$B$22*'Underlying Mechanics'!$B$17,0)-IF(T$1&gt;0,'Underlying Mechanics'!$B$12*'Underlying Mechanics'!$B$18,0)</x:f>
        <x:v>85500</x:v>
      </x:c>
      <x:c r="U39" t="n">
        <x:f>((IF(U$1-'Underlying Mechanics'!$B$8&lt;0,0,'Underlying Mechanics'!$B$22*'Underlying Mechanics'!$B$15*INDEX('Underlying Mechanics'!$B$31:$B$51,U$1-'Underlying Mechanics'!$B$8+1)*'Underlying Mechanics'!$B$5))*(1-$A39))-IF(U$1=0,'Underlying Mechanics'!$B$23*(1-$B39),0)-IF(U$1&gt;0,'Underlying Mechanics'!$B$22*'Underlying Mechanics'!$B$17,0)-IF(U$1&gt;0,'Underlying Mechanics'!$B$12*'Underlying Mechanics'!$B$18,0)</x:f>
        <x:v>85500</x:v>
      </x:c>
      <x:c r="V39" t="n">
        <x:f>((IF(V$1-'Underlying Mechanics'!$B$8&lt;0,0,'Underlying Mechanics'!$B$22*'Underlying Mechanics'!$B$15*INDEX('Underlying Mechanics'!$B$31:$B$51,V$1-'Underlying Mechanics'!$B$8+1)*'Underlying Mechanics'!$B$5))*(1-$A39))-IF(V$1=0,'Underlying Mechanics'!$B$23*(1-$B39),0)-IF(V$1&gt;0,'Underlying Mechanics'!$B$22*'Underlying Mechanics'!$B$17,0)-IF(V$1&gt;0,'Underlying Mechanics'!$B$12*'Underlying Mechanics'!$B$18,0)</x:f>
        <x:v>85500</x:v>
      </x:c>
      <x:c r="W39" t="n">
        <x:f>((IF(W$1-'Underlying Mechanics'!$B$8&lt;0,0,'Underlying Mechanics'!$B$22*'Underlying Mechanics'!$B$15*INDEX('Underlying Mechanics'!$B$31:$B$51,W$1-'Underlying Mechanics'!$B$8+1)*'Underlying Mechanics'!$B$5))*(1-$A39))-IF(W$1=0,'Underlying Mechanics'!$B$23*(1-$B39),0)-IF(W$1&gt;0,'Underlying Mechanics'!$B$22*'Underlying Mechanics'!$B$17,0)-IF(W$1&gt;0,'Underlying Mechanics'!$B$12*'Underlying Mechanics'!$B$18,0)</x:f>
        <x:v>85500</x:v>
      </x:c>
      <x:c r="X39" t="n">
        <x:f>IFERROR(IRR(C39:W39),-1)</x:f>
        <x:v>0.18169661293585992</x:v>
      </x:c>
    </x:row>
    <x:row r="40">
      <x:c r="A40" t="n">
        <x:v>0.1</x:v>
      </x:c>
      <x:c r="B40" t="n">
        <x:v>0.85</x:v>
      </x:c>
      <x:c r="C40" t="n">
        <x:f>((IF(C$1-'Underlying Mechanics'!$B$8&lt;0,0,'Underlying Mechanics'!$B$22*'Underlying Mechanics'!$B$15*INDEX('Underlying Mechanics'!$B$31:$B$51,C$1-'Underlying Mechanics'!$B$8+1)*'Underlying Mechanics'!$B$5))*(1-$A40))-IF(C$1=0,'Underlying Mechanics'!$B$23*(1-$B40),0)-IF(C$1&gt;0,'Underlying Mechanics'!$B$22*'Underlying Mechanics'!$B$17,0)-IF(C$1&gt;0,'Underlying Mechanics'!$B$12*'Underlying Mechanics'!$B$18,0)</x:f>
        <x:v>-22500.000000000004</x:v>
      </x:c>
      <x:c r="D40" t="n">
        <x:f>((IF(D$1-'Underlying Mechanics'!$B$8&lt;0,0,'Underlying Mechanics'!$B$22*'Underlying Mechanics'!$B$15*INDEX('Underlying Mechanics'!$B$31:$B$51,D$1-'Underlying Mechanics'!$B$8+1)*'Underlying Mechanics'!$B$5))*(1-$A40))-IF(D$1=0,'Underlying Mechanics'!$B$23*(1-$B40),0)-IF(D$1&gt;0,'Underlying Mechanics'!$B$22*'Underlying Mechanics'!$B$17,0)-IF(D$1&gt;0,'Underlying Mechanics'!$B$12*'Underlying Mechanics'!$B$18,0)</x:f>
        <x:v>-22500</x:v>
      </x:c>
      <x:c r="E40" t="n">
        <x:f>((IF(E$1-'Underlying Mechanics'!$B$8&lt;0,0,'Underlying Mechanics'!$B$22*'Underlying Mechanics'!$B$15*INDEX('Underlying Mechanics'!$B$31:$B$51,E$1-'Underlying Mechanics'!$B$8+1)*'Underlying Mechanics'!$B$5))*(1-$A40))-IF(E$1=0,'Underlying Mechanics'!$B$23*(1-$B40),0)-IF(E$1&gt;0,'Underlying Mechanics'!$B$22*'Underlying Mechanics'!$B$17,0)-IF(E$1&gt;0,'Underlying Mechanics'!$B$12*'Underlying Mechanics'!$B$18,0)</x:f>
        <x:v>-22500</x:v>
      </x:c>
      <x:c r="F40" t="n">
        <x:f>((IF(F$1-'Underlying Mechanics'!$B$8&lt;0,0,'Underlying Mechanics'!$B$22*'Underlying Mechanics'!$B$15*INDEX('Underlying Mechanics'!$B$31:$B$51,F$1-'Underlying Mechanics'!$B$8+1)*'Underlying Mechanics'!$B$5))*(1-$A40))-IF(F$1=0,'Underlying Mechanics'!$B$23*(1-$B40),0)-IF(F$1&gt;0,'Underlying Mechanics'!$B$22*'Underlying Mechanics'!$B$17,0)-IF(F$1&gt;0,'Underlying Mechanics'!$B$12*'Underlying Mechanics'!$B$18,0)</x:f>
        <x:v>-20340</x:v>
      </x:c>
      <x:c r="G40" t="n">
        <x:f>((IF(G$1-'Underlying Mechanics'!$B$8&lt;0,0,'Underlying Mechanics'!$B$22*'Underlying Mechanics'!$B$15*INDEX('Underlying Mechanics'!$B$31:$B$51,G$1-'Underlying Mechanics'!$B$8+1)*'Underlying Mechanics'!$B$5))*(1-$A40))-IF(G$1=0,'Underlying Mechanics'!$B$23*(1-$B40),0)-IF(G$1&gt;0,'Underlying Mechanics'!$B$22*'Underlying Mechanics'!$B$17,0)-IF(G$1&gt;0,'Underlying Mechanics'!$B$12*'Underlying Mechanics'!$B$18,0)</x:f>
        <x:v>-17100</x:v>
      </x:c>
      <x:c r="H40" t="n">
        <x:f>((IF(H$1-'Underlying Mechanics'!$B$8&lt;0,0,'Underlying Mechanics'!$B$22*'Underlying Mechanics'!$B$15*INDEX('Underlying Mechanics'!$B$31:$B$51,H$1-'Underlying Mechanics'!$B$8+1)*'Underlying Mechanics'!$B$5))*(1-$A40))-IF(H$1=0,'Underlying Mechanics'!$B$23*(1-$B40),0)-IF(H$1&gt;0,'Underlying Mechanics'!$B$22*'Underlying Mechanics'!$B$17,0)-IF(H$1&gt;0,'Underlying Mechanics'!$B$12*'Underlying Mechanics'!$B$18,0)</x:f>
        <x:v>-11700</x:v>
      </x:c>
      <x:c r="I40" t="n">
        <x:f>((IF(I$1-'Underlying Mechanics'!$B$8&lt;0,0,'Underlying Mechanics'!$B$22*'Underlying Mechanics'!$B$15*INDEX('Underlying Mechanics'!$B$31:$B$51,I$1-'Underlying Mechanics'!$B$8+1)*'Underlying Mechanics'!$B$5))*(1-$A40))-IF(I$1=0,'Underlying Mechanics'!$B$23*(1-$B40),0)-IF(I$1&gt;0,'Underlying Mechanics'!$B$22*'Underlying Mechanics'!$B$17,0)-IF(I$1&gt;0,'Underlying Mechanics'!$B$12*'Underlying Mechanics'!$B$18,0)</x:f>
        <x:v>-3060</x:v>
      </x:c>
      <x:c r="J40" t="n">
        <x:f>((IF(J$1-'Underlying Mechanics'!$B$8&lt;0,0,'Underlying Mechanics'!$B$22*'Underlying Mechanics'!$B$15*INDEX('Underlying Mechanics'!$B$31:$B$51,J$1-'Underlying Mechanics'!$B$8+1)*'Underlying Mechanics'!$B$5))*(1-$A40))-IF(J$1=0,'Underlying Mechanics'!$B$23*(1-$B40),0)-IF(J$1&gt;0,'Underlying Mechanics'!$B$22*'Underlying Mechanics'!$B$17,0)-IF(J$1&gt;0,'Underlying Mechanics'!$B$12*'Underlying Mechanics'!$B$18,0)</x:f>
        <x:v>7740.000000000007</x:v>
      </x:c>
      <x:c r="K40" t="n">
        <x:f>((IF(K$1-'Underlying Mechanics'!$B$8&lt;0,0,'Underlying Mechanics'!$B$22*'Underlying Mechanics'!$B$15*INDEX('Underlying Mechanics'!$B$31:$B$51,K$1-'Underlying Mechanics'!$B$8+1)*'Underlying Mechanics'!$B$5))*(1-$A40))-IF(K$1=0,'Underlying Mechanics'!$B$23*(1-$B40),0)-IF(K$1&gt;0,'Underlying Mechanics'!$B$22*'Underlying Mechanics'!$B$17,0)-IF(K$1&gt;0,'Underlying Mechanics'!$B$12*'Underlying Mechanics'!$B$18,0)</x:f>
        <x:v>20700</x:v>
      </x:c>
      <x:c r="L40" t="n">
        <x:f>((IF(L$1-'Underlying Mechanics'!$B$8&lt;0,0,'Underlying Mechanics'!$B$22*'Underlying Mechanics'!$B$15*INDEX('Underlying Mechanics'!$B$31:$B$51,L$1-'Underlying Mechanics'!$B$8+1)*'Underlying Mechanics'!$B$5))*(1-$A40))-IF(L$1=0,'Underlying Mechanics'!$B$23*(1-$B40),0)-IF(L$1&gt;0,'Underlying Mechanics'!$B$22*'Underlying Mechanics'!$B$17,0)-IF(L$1&gt;0,'Underlying Mechanics'!$B$12*'Underlying Mechanics'!$B$18,0)</x:f>
        <x:v>35820</x:v>
      </x:c>
      <x:c r="M40" t="n">
        <x:f>((IF(M$1-'Underlying Mechanics'!$B$8&lt;0,0,'Underlying Mechanics'!$B$22*'Underlying Mechanics'!$B$15*INDEX('Underlying Mechanics'!$B$31:$B$51,M$1-'Underlying Mechanics'!$B$8+1)*'Underlying Mechanics'!$B$5))*(1-$A40))-IF(M$1=0,'Underlying Mechanics'!$B$23*(1-$B40),0)-IF(M$1&gt;0,'Underlying Mechanics'!$B$22*'Underlying Mechanics'!$B$17,0)-IF(M$1&gt;0,'Underlying Mechanics'!$B$12*'Underlying Mechanics'!$B$18,0)</x:f>
        <x:v>50940.000000000015</x:v>
      </x:c>
      <x:c r="N40" t="n">
        <x:f>((IF(N$1-'Underlying Mechanics'!$B$8&lt;0,0,'Underlying Mechanics'!$B$22*'Underlying Mechanics'!$B$15*INDEX('Underlying Mechanics'!$B$31:$B$51,N$1-'Underlying Mechanics'!$B$8+1)*'Underlying Mechanics'!$B$5))*(1-$A40))-IF(N$1=0,'Underlying Mechanics'!$B$23*(1-$B40),0)-IF(N$1&gt;0,'Underlying Mechanics'!$B$22*'Underlying Mechanics'!$B$17,0)-IF(N$1&gt;0,'Underlying Mechanics'!$B$12*'Underlying Mechanics'!$B$18,0)</x:f>
        <x:v>63900</x:v>
      </x:c>
      <x:c r="O40" t="n">
        <x:f>((IF(O$1-'Underlying Mechanics'!$B$8&lt;0,0,'Underlying Mechanics'!$B$22*'Underlying Mechanics'!$B$15*INDEX('Underlying Mechanics'!$B$31:$B$51,O$1-'Underlying Mechanics'!$B$8+1)*'Underlying Mechanics'!$B$5))*(1-$A40))-IF(O$1=0,'Underlying Mechanics'!$B$23*(1-$B40),0)-IF(O$1&gt;0,'Underlying Mechanics'!$B$22*'Underlying Mechanics'!$B$17,0)-IF(O$1&gt;0,'Underlying Mechanics'!$B$12*'Underlying Mechanics'!$B$18,0)</x:f>
        <x:v>74700</x:v>
      </x:c>
      <x:c r="P40" t="n">
        <x:f>((IF(P$1-'Underlying Mechanics'!$B$8&lt;0,0,'Underlying Mechanics'!$B$22*'Underlying Mechanics'!$B$15*INDEX('Underlying Mechanics'!$B$31:$B$51,P$1-'Underlying Mechanics'!$B$8+1)*'Underlying Mechanics'!$B$5))*(1-$A40))-IF(P$1=0,'Underlying Mechanics'!$B$23*(1-$B40),0)-IF(P$1&gt;0,'Underlying Mechanics'!$B$22*'Underlying Mechanics'!$B$17,0)-IF(P$1&gt;0,'Underlying Mechanics'!$B$12*'Underlying Mechanics'!$B$18,0)</x:f>
        <x:v>85500</x:v>
      </x:c>
      <x:c r="Q40" t="n">
        <x:f>((IF(Q$1-'Underlying Mechanics'!$B$8&lt;0,0,'Underlying Mechanics'!$B$22*'Underlying Mechanics'!$B$15*INDEX('Underlying Mechanics'!$B$31:$B$51,Q$1-'Underlying Mechanics'!$B$8+1)*'Underlying Mechanics'!$B$5))*(1-$A40))-IF(Q$1=0,'Underlying Mechanics'!$B$23*(1-$B40),0)-IF(Q$1&gt;0,'Underlying Mechanics'!$B$22*'Underlying Mechanics'!$B$17,0)-IF(Q$1&gt;0,'Underlying Mechanics'!$B$12*'Underlying Mechanics'!$B$18,0)</x:f>
        <x:v>85500</x:v>
      </x:c>
      <x:c r="R40" t="n">
        <x:f>((IF(R$1-'Underlying Mechanics'!$B$8&lt;0,0,'Underlying Mechanics'!$B$22*'Underlying Mechanics'!$B$15*INDEX('Underlying Mechanics'!$B$31:$B$51,R$1-'Underlying Mechanics'!$B$8+1)*'Underlying Mechanics'!$B$5))*(1-$A40))-IF(R$1=0,'Underlying Mechanics'!$B$23*(1-$B40),0)-IF(R$1&gt;0,'Underlying Mechanics'!$B$22*'Underlying Mechanics'!$B$17,0)-IF(R$1&gt;0,'Underlying Mechanics'!$B$12*'Underlying Mechanics'!$B$18,0)</x:f>
        <x:v>85500</x:v>
      </x:c>
      <x:c r="S40" t="n">
        <x:f>((IF(S$1-'Underlying Mechanics'!$B$8&lt;0,0,'Underlying Mechanics'!$B$22*'Underlying Mechanics'!$B$15*INDEX('Underlying Mechanics'!$B$31:$B$51,S$1-'Underlying Mechanics'!$B$8+1)*'Underlying Mechanics'!$B$5))*(1-$A40))-IF(S$1=0,'Underlying Mechanics'!$B$23*(1-$B40),0)-IF(S$1&gt;0,'Underlying Mechanics'!$B$22*'Underlying Mechanics'!$B$17,0)-IF(S$1&gt;0,'Underlying Mechanics'!$B$12*'Underlying Mechanics'!$B$18,0)</x:f>
        <x:v>85500</x:v>
      </x:c>
      <x:c r="T40" t="n">
        <x:f>((IF(T$1-'Underlying Mechanics'!$B$8&lt;0,0,'Underlying Mechanics'!$B$22*'Underlying Mechanics'!$B$15*INDEX('Underlying Mechanics'!$B$31:$B$51,T$1-'Underlying Mechanics'!$B$8+1)*'Underlying Mechanics'!$B$5))*(1-$A40))-IF(T$1=0,'Underlying Mechanics'!$B$23*(1-$B40),0)-IF(T$1&gt;0,'Underlying Mechanics'!$B$22*'Underlying Mechanics'!$B$17,0)-IF(T$1&gt;0,'Underlying Mechanics'!$B$12*'Underlying Mechanics'!$B$18,0)</x:f>
        <x:v>85500</x:v>
      </x:c>
      <x:c r="U40" t="n">
        <x:f>((IF(U$1-'Underlying Mechanics'!$B$8&lt;0,0,'Underlying Mechanics'!$B$22*'Underlying Mechanics'!$B$15*INDEX('Underlying Mechanics'!$B$31:$B$51,U$1-'Underlying Mechanics'!$B$8+1)*'Underlying Mechanics'!$B$5))*(1-$A40))-IF(U$1=0,'Underlying Mechanics'!$B$23*(1-$B40),0)-IF(U$1&gt;0,'Underlying Mechanics'!$B$22*'Underlying Mechanics'!$B$17,0)-IF(U$1&gt;0,'Underlying Mechanics'!$B$12*'Underlying Mechanics'!$B$18,0)</x:f>
        <x:v>85500</x:v>
      </x:c>
      <x:c r="V40" t="n">
        <x:f>((IF(V$1-'Underlying Mechanics'!$B$8&lt;0,0,'Underlying Mechanics'!$B$22*'Underlying Mechanics'!$B$15*INDEX('Underlying Mechanics'!$B$31:$B$51,V$1-'Underlying Mechanics'!$B$8+1)*'Underlying Mechanics'!$B$5))*(1-$A40))-IF(V$1=0,'Underlying Mechanics'!$B$23*(1-$B40),0)-IF(V$1&gt;0,'Underlying Mechanics'!$B$22*'Underlying Mechanics'!$B$17,0)-IF(V$1&gt;0,'Underlying Mechanics'!$B$12*'Underlying Mechanics'!$B$18,0)</x:f>
        <x:v>85500</x:v>
      </x:c>
      <x:c r="W40" t="n">
        <x:f>((IF(W$1-'Underlying Mechanics'!$B$8&lt;0,0,'Underlying Mechanics'!$B$22*'Underlying Mechanics'!$B$15*INDEX('Underlying Mechanics'!$B$31:$B$51,W$1-'Underlying Mechanics'!$B$8+1)*'Underlying Mechanics'!$B$5))*(1-$A40))-IF(W$1=0,'Underlying Mechanics'!$B$23*(1-$B40),0)-IF(W$1&gt;0,'Underlying Mechanics'!$B$22*'Underlying Mechanics'!$B$17,0)-IF(W$1&gt;0,'Underlying Mechanics'!$B$12*'Underlying Mechanics'!$B$18,0)</x:f>
        <x:v>85500</x:v>
      </x:c>
      <x:c r="X40" t="n">
        <x:f>IFERROR(IRR(C40:W40),-1)</x:f>
        <x:v>0.19078646817009182</x:v>
      </x:c>
    </x:row>
    <x:row r="41">
      <x:c r="A41" t="n">
        <x:v>0.1</x:v>
      </x:c>
      <x:c r="B41" t="n">
        <x:v>0.9</x:v>
      </x:c>
      <x:c r="C41" t="n">
        <x:f>((IF(C$1-'Underlying Mechanics'!$B$8&lt;0,0,'Underlying Mechanics'!$B$22*'Underlying Mechanics'!$B$15*INDEX('Underlying Mechanics'!$B$31:$B$51,C$1-'Underlying Mechanics'!$B$8+1)*'Underlying Mechanics'!$B$5))*(1-$A41))-IF(C$1=0,'Underlying Mechanics'!$B$23*(1-$B41),0)-IF(C$1&gt;0,'Underlying Mechanics'!$B$22*'Underlying Mechanics'!$B$17,0)-IF(C$1&gt;0,'Underlying Mechanics'!$B$12*'Underlying Mechanics'!$B$18,0)</x:f>
        <x:v>-14999.999999999996</x:v>
      </x:c>
      <x:c r="D41" t="n">
        <x:f>((IF(D$1-'Underlying Mechanics'!$B$8&lt;0,0,'Underlying Mechanics'!$B$22*'Underlying Mechanics'!$B$15*INDEX('Underlying Mechanics'!$B$31:$B$51,D$1-'Underlying Mechanics'!$B$8+1)*'Underlying Mechanics'!$B$5))*(1-$A41))-IF(D$1=0,'Underlying Mechanics'!$B$23*(1-$B41),0)-IF(D$1&gt;0,'Underlying Mechanics'!$B$22*'Underlying Mechanics'!$B$17,0)-IF(D$1&gt;0,'Underlying Mechanics'!$B$12*'Underlying Mechanics'!$B$18,0)</x:f>
        <x:v>-22500</x:v>
      </x:c>
      <x:c r="E41" t="n">
        <x:f>((IF(E$1-'Underlying Mechanics'!$B$8&lt;0,0,'Underlying Mechanics'!$B$22*'Underlying Mechanics'!$B$15*INDEX('Underlying Mechanics'!$B$31:$B$51,E$1-'Underlying Mechanics'!$B$8+1)*'Underlying Mechanics'!$B$5))*(1-$A41))-IF(E$1=0,'Underlying Mechanics'!$B$23*(1-$B41),0)-IF(E$1&gt;0,'Underlying Mechanics'!$B$22*'Underlying Mechanics'!$B$17,0)-IF(E$1&gt;0,'Underlying Mechanics'!$B$12*'Underlying Mechanics'!$B$18,0)</x:f>
        <x:v>-22500</x:v>
      </x:c>
      <x:c r="F41" t="n">
        <x:f>((IF(F$1-'Underlying Mechanics'!$B$8&lt;0,0,'Underlying Mechanics'!$B$22*'Underlying Mechanics'!$B$15*INDEX('Underlying Mechanics'!$B$31:$B$51,F$1-'Underlying Mechanics'!$B$8+1)*'Underlying Mechanics'!$B$5))*(1-$A41))-IF(F$1=0,'Underlying Mechanics'!$B$23*(1-$B41),0)-IF(F$1&gt;0,'Underlying Mechanics'!$B$22*'Underlying Mechanics'!$B$17,0)-IF(F$1&gt;0,'Underlying Mechanics'!$B$12*'Underlying Mechanics'!$B$18,0)</x:f>
        <x:v>-20340</x:v>
      </x:c>
      <x:c r="G41" t="n">
        <x:f>((IF(G$1-'Underlying Mechanics'!$B$8&lt;0,0,'Underlying Mechanics'!$B$22*'Underlying Mechanics'!$B$15*INDEX('Underlying Mechanics'!$B$31:$B$51,G$1-'Underlying Mechanics'!$B$8+1)*'Underlying Mechanics'!$B$5))*(1-$A41))-IF(G$1=0,'Underlying Mechanics'!$B$23*(1-$B41),0)-IF(G$1&gt;0,'Underlying Mechanics'!$B$22*'Underlying Mechanics'!$B$17,0)-IF(G$1&gt;0,'Underlying Mechanics'!$B$12*'Underlying Mechanics'!$B$18,0)</x:f>
        <x:v>-17100</x:v>
      </x:c>
      <x:c r="H41" t="n">
        <x:f>((IF(H$1-'Underlying Mechanics'!$B$8&lt;0,0,'Underlying Mechanics'!$B$22*'Underlying Mechanics'!$B$15*INDEX('Underlying Mechanics'!$B$31:$B$51,H$1-'Underlying Mechanics'!$B$8+1)*'Underlying Mechanics'!$B$5))*(1-$A41))-IF(H$1=0,'Underlying Mechanics'!$B$23*(1-$B41),0)-IF(H$1&gt;0,'Underlying Mechanics'!$B$22*'Underlying Mechanics'!$B$17,0)-IF(H$1&gt;0,'Underlying Mechanics'!$B$12*'Underlying Mechanics'!$B$18,0)</x:f>
        <x:v>-11700</x:v>
      </x:c>
      <x:c r="I41" t="n">
        <x:f>((IF(I$1-'Underlying Mechanics'!$B$8&lt;0,0,'Underlying Mechanics'!$B$22*'Underlying Mechanics'!$B$15*INDEX('Underlying Mechanics'!$B$31:$B$51,I$1-'Underlying Mechanics'!$B$8+1)*'Underlying Mechanics'!$B$5))*(1-$A41))-IF(I$1=0,'Underlying Mechanics'!$B$23*(1-$B41),0)-IF(I$1&gt;0,'Underlying Mechanics'!$B$22*'Underlying Mechanics'!$B$17,0)-IF(I$1&gt;0,'Underlying Mechanics'!$B$12*'Underlying Mechanics'!$B$18,0)</x:f>
        <x:v>-3060</x:v>
      </x:c>
      <x:c r="J41" t="n">
        <x:f>((IF(J$1-'Underlying Mechanics'!$B$8&lt;0,0,'Underlying Mechanics'!$B$22*'Underlying Mechanics'!$B$15*INDEX('Underlying Mechanics'!$B$31:$B$51,J$1-'Underlying Mechanics'!$B$8+1)*'Underlying Mechanics'!$B$5))*(1-$A41))-IF(J$1=0,'Underlying Mechanics'!$B$23*(1-$B41),0)-IF(J$1&gt;0,'Underlying Mechanics'!$B$22*'Underlying Mechanics'!$B$17,0)-IF(J$1&gt;0,'Underlying Mechanics'!$B$12*'Underlying Mechanics'!$B$18,0)</x:f>
        <x:v>7740.000000000007</x:v>
      </x:c>
      <x:c r="K41" t="n">
        <x:f>((IF(K$1-'Underlying Mechanics'!$B$8&lt;0,0,'Underlying Mechanics'!$B$22*'Underlying Mechanics'!$B$15*INDEX('Underlying Mechanics'!$B$31:$B$51,K$1-'Underlying Mechanics'!$B$8+1)*'Underlying Mechanics'!$B$5))*(1-$A41))-IF(K$1=0,'Underlying Mechanics'!$B$23*(1-$B41),0)-IF(K$1&gt;0,'Underlying Mechanics'!$B$22*'Underlying Mechanics'!$B$17,0)-IF(K$1&gt;0,'Underlying Mechanics'!$B$12*'Underlying Mechanics'!$B$18,0)</x:f>
        <x:v>20700</x:v>
      </x:c>
      <x:c r="L41" t="n">
        <x:f>((IF(L$1-'Underlying Mechanics'!$B$8&lt;0,0,'Underlying Mechanics'!$B$22*'Underlying Mechanics'!$B$15*INDEX('Underlying Mechanics'!$B$31:$B$51,L$1-'Underlying Mechanics'!$B$8+1)*'Underlying Mechanics'!$B$5))*(1-$A41))-IF(L$1=0,'Underlying Mechanics'!$B$23*(1-$B41),0)-IF(L$1&gt;0,'Underlying Mechanics'!$B$22*'Underlying Mechanics'!$B$17,0)-IF(L$1&gt;0,'Underlying Mechanics'!$B$12*'Underlying Mechanics'!$B$18,0)</x:f>
        <x:v>35820</x:v>
      </x:c>
      <x:c r="M41" t="n">
        <x:f>((IF(M$1-'Underlying Mechanics'!$B$8&lt;0,0,'Underlying Mechanics'!$B$22*'Underlying Mechanics'!$B$15*INDEX('Underlying Mechanics'!$B$31:$B$51,M$1-'Underlying Mechanics'!$B$8+1)*'Underlying Mechanics'!$B$5))*(1-$A41))-IF(M$1=0,'Underlying Mechanics'!$B$23*(1-$B41),0)-IF(M$1&gt;0,'Underlying Mechanics'!$B$22*'Underlying Mechanics'!$B$17,0)-IF(M$1&gt;0,'Underlying Mechanics'!$B$12*'Underlying Mechanics'!$B$18,0)</x:f>
        <x:v>50940.000000000015</x:v>
      </x:c>
      <x:c r="N41" t="n">
        <x:f>((IF(N$1-'Underlying Mechanics'!$B$8&lt;0,0,'Underlying Mechanics'!$B$22*'Underlying Mechanics'!$B$15*INDEX('Underlying Mechanics'!$B$31:$B$51,N$1-'Underlying Mechanics'!$B$8+1)*'Underlying Mechanics'!$B$5))*(1-$A41))-IF(N$1=0,'Underlying Mechanics'!$B$23*(1-$B41),0)-IF(N$1&gt;0,'Underlying Mechanics'!$B$22*'Underlying Mechanics'!$B$17,0)-IF(N$1&gt;0,'Underlying Mechanics'!$B$12*'Underlying Mechanics'!$B$18,0)</x:f>
        <x:v>63900</x:v>
      </x:c>
      <x:c r="O41" t="n">
        <x:f>((IF(O$1-'Underlying Mechanics'!$B$8&lt;0,0,'Underlying Mechanics'!$B$22*'Underlying Mechanics'!$B$15*INDEX('Underlying Mechanics'!$B$31:$B$51,O$1-'Underlying Mechanics'!$B$8+1)*'Underlying Mechanics'!$B$5))*(1-$A41))-IF(O$1=0,'Underlying Mechanics'!$B$23*(1-$B41),0)-IF(O$1&gt;0,'Underlying Mechanics'!$B$22*'Underlying Mechanics'!$B$17,0)-IF(O$1&gt;0,'Underlying Mechanics'!$B$12*'Underlying Mechanics'!$B$18,0)</x:f>
        <x:v>74700</x:v>
      </x:c>
      <x:c r="P41" t="n">
        <x:f>((IF(P$1-'Underlying Mechanics'!$B$8&lt;0,0,'Underlying Mechanics'!$B$22*'Underlying Mechanics'!$B$15*INDEX('Underlying Mechanics'!$B$31:$B$51,P$1-'Underlying Mechanics'!$B$8+1)*'Underlying Mechanics'!$B$5))*(1-$A41))-IF(P$1=0,'Underlying Mechanics'!$B$23*(1-$B41),0)-IF(P$1&gt;0,'Underlying Mechanics'!$B$22*'Underlying Mechanics'!$B$17,0)-IF(P$1&gt;0,'Underlying Mechanics'!$B$12*'Underlying Mechanics'!$B$18,0)</x:f>
        <x:v>85500</x:v>
      </x:c>
      <x:c r="Q41" t="n">
        <x:f>((IF(Q$1-'Underlying Mechanics'!$B$8&lt;0,0,'Underlying Mechanics'!$B$22*'Underlying Mechanics'!$B$15*INDEX('Underlying Mechanics'!$B$31:$B$51,Q$1-'Underlying Mechanics'!$B$8+1)*'Underlying Mechanics'!$B$5))*(1-$A41))-IF(Q$1=0,'Underlying Mechanics'!$B$23*(1-$B41),0)-IF(Q$1&gt;0,'Underlying Mechanics'!$B$22*'Underlying Mechanics'!$B$17,0)-IF(Q$1&gt;0,'Underlying Mechanics'!$B$12*'Underlying Mechanics'!$B$18,0)</x:f>
        <x:v>85500</x:v>
      </x:c>
      <x:c r="R41" t="n">
        <x:f>((IF(R$1-'Underlying Mechanics'!$B$8&lt;0,0,'Underlying Mechanics'!$B$22*'Underlying Mechanics'!$B$15*INDEX('Underlying Mechanics'!$B$31:$B$51,R$1-'Underlying Mechanics'!$B$8+1)*'Underlying Mechanics'!$B$5))*(1-$A41))-IF(R$1=0,'Underlying Mechanics'!$B$23*(1-$B41),0)-IF(R$1&gt;0,'Underlying Mechanics'!$B$22*'Underlying Mechanics'!$B$17,0)-IF(R$1&gt;0,'Underlying Mechanics'!$B$12*'Underlying Mechanics'!$B$18,0)</x:f>
        <x:v>85500</x:v>
      </x:c>
      <x:c r="S41" t="n">
        <x:f>((IF(S$1-'Underlying Mechanics'!$B$8&lt;0,0,'Underlying Mechanics'!$B$22*'Underlying Mechanics'!$B$15*INDEX('Underlying Mechanics'!$B$31:$B$51,S$1-'Underlying Mechanics'!$B$8+1)*'Underlying Mechanics'!$B$5))*(1-$A41))-IF(S$1=0,'Underlying Mechanics'!$B$23*(1-$B41),0)-IF(S$1&gt;0,'Underlying Mechanics'!$B$22*'Underlying Mechanics'!$B$17,0)-IF(S$1&gt;0,'Underlying Mechanics'!$B$12*'Underlying Mechanics'!$B$18,0)</x:f>
        <x:v>85500</x:v>
      </x:c>
      <x:c r="T41" t="n">
        <x:f>((IF(T$1-'Underlying Mechanics'!$B$8&lt;0,0,'Underlying Mechanics'!$B$22*'Underlying Mechanics'!$B$15*INDEX('Underlying Mechanics'!$B$31:$B$51,T$1-'Underlying Mechanics'!$B$8+1)*'Underlying Mechanics'!$B$5))*(1-$A41))-IF(T$1=0,'Underlying Mechanics'!$B$23*(1-$B41),0)-IF(T$1&gt;0,'Underlying Mechanics'!$B$22*'Underlying Mechanics'!$B$17,0)-IF(T$1&gt;0,'Underlying Mechanics'!$B$12*'Underlying Mechanics'!$B$18,0)</x:f>
        <x:v>85500</x:v>
      </x:c>
      <x:c r="U41" t="n">
        <x:f>((IF(U$1-'Underlying Mechanics'!$B$8&lt;0,0,'Underlying Mechanics'!$B$22*'Underlying Mechanics'!$B$15*INDEX('Underlying Mechanics'!$B$31:$B$51,U$1-'Underlying Mechanics'!$B$8+1)*'Underlying Mechanics'!$B$5))*(1-$A41))-IF(U$1=0,'Underlying Mechanics'!$B$23*(1-$B41),0)-IF(U$1&gt;0,'Underlying Mechanics'!$B$22*'Underlying Mechanics'!$B$17,0)-IF(U$1&gt;0,'Underlying Mechanics'!$B$12*'Underlying Mechanics'!$B$18,0)</x:f>
        <x:v>85500</x:v>
      </x:c>
      <x:c r="V41" t="n">
        <x:f>((IF(V$1-'Underlying Mechanics'!$B$8&lt;0,0,'Underlying Mechanics'!$B$22*'Underlying Mechanics'!$B$15*INDEX('Underlying Mechanics'!$B$31:$B$51,V$1-'Underlying Mechanics'!$B$8+1)*'Underlying Mechanics'!$B$5))*(1-$A41))-IF(V$1=0,'Underlying Mechanics'!$B$23*(1-$B41),0)-IF(V$1&gt;0,'Underlying Mechanics'!$B$22*'Underlying Mechanics'!$B$17,0)-IF(V$1&gt;0,'Underlying Mechanics'!$B$12*'Underlying Mechanics'!$B$18,0)</x:f>
        <x:v>85500</x:v>
      </x:c>
      <x:c r="W41" t="n">
        <x:f>((IF(W$1-'Underlying Mechanics'!$B$8&lt;0,0,'Underlying Mechanics'!$B$22*'Underlying Mechanics'!$B$15*INDEX('Underlying Mechanics'!$B$31:$B$51,W$1-'Underlying Mechanics'!$B$8+1)*'Underlying Mechanics'!$B$5))*(1-$A41))-IF(W$1=0,'Underlying Mechanics'!$B$23*(1-$B41),0)-IF(W$1&gt;0,'Underlying Mechanics'!$B$22*'Underlying Mechanics'!$B$17,0)-IF(W$1&gt;0,'Underlying Mechanics'!$B$12*'Underlying Mechanics'!$B$18,0)</x:f>
        <x:v>85500</x:v>
      </x:c>
      <x:c r="X41" t="n">
        <x:f>IFERROR(IRR(C41:W41),-1)</x:f>
        <x:v>0.20118020878928888</x:v>
      </x:c>
    </x:row>
    <x:row r="42">
      <x:c r="A42" t="n">
        <x:v>0.1</x:v>
      </x:c>
      <x:c r="B42" t="n">
        <x:v>0.95</x:v>
      </x:c>
      <x:c r="C42" t="n">
        <x:f>((IF(C$1-'Underlying Mechanics'!$B$8&lt;0,0,'Underlying Mechanics'!$B$22*'Underlying Mechanics'!$B$15*INDEX('Underlying Mechanics'!$B$31:$B$51,C$1-'Underlying Mechanics'!$B$8+1)*'Underlying Mechanics'!$B$5))*(1-$A42))-IF(C$1=0,'Underlying Mechanics'!$B$23*(1-$B42),0)-IF(C$1&gt;0,'Underlying Mechanics'!$B$22*'Underlying Mechanics'!$B$17,0)-IF(C$1&gt;0,'Underlying Mechanics'!$B$12*'Underlying Mechanics'!$B$18,0)</x:f>
        <x:v>-7500.000000000006</x:v>
      </x:c>
      <x:c r="D42" t="n">
        <x:f>((IF(D$1-'Underlying Mechanics'!$B$8&lt;0,0,'Underlying Mechanics'!$B$22*'Underlying Mechanics'!$B$15*INDEX('Underlying Mechanics'!$B$31:$B$51,D$1-'Underlying Mechanics'!$B$8+1)*'Underlying Mechanics'!$B$5))*(1-$A42))-IF(D$1=0,'Underlying Mechanics'!$B$23*(1-$B42),0)-IF(D$1&gt;0,'Underlying Mechanics'!$B$22*'Underlying Mechanics'!$B$17,0)-IF(D$1&gt;0,'Underlying Mechanics'!$B$12*'Underlying Mechanics'!$B$18,0)</x:f>
        <x:v>-22500</x:v>
      </x:c>
      <x:c r="E42" t="n">
        <x:f>((IF(E$1-'Underlying Mechanics'!$B$8&lt;0,0,'Underlying Mechanics'!$B$22*'Underlying Mechanics'!$B$15*INDEX('Underlying Mechanics'!$B$31:$B$51,E$1-'Underlying Mechanics'!$B$8+1)*'Underlying Mechanics'!$B$5))*(1-$A42))-IF(E$1=0,'Underlying Mechanics'!$B$23*(1-$B42),0)-IF(E$1&gt;0,'Underlying Mechanics'!$B$22*'Underlying Mechanics'!$B$17,0)-IF(E$1&gt;0,'Underlying Mechanics'!$B$12*'Underlying Mechanics'!$B$18,0)</x:f>
        <x:v>-22500</x:v>
      </x:c>
      <x:c r="F42" t="n">
        <x:f>((IF(F$1-'Underlying Mechanics'!$B$8&lt;0,0,'Underlying Mechanics'!$B$22*'Underlying Mechanics'!$B$15*INDEX('Underlying Mechanics'!$B$31:$B$51,F$1-'Underlying Mechanics'!$B$8+1)*'Underlying Mechanics'!$B$5))*(1-$A42))-IF(F$1=0,'Underlying Mechanics'!$B$23*(1-$B42),0)-IF(F$1&gt;0,'Underlying Mechanics'!$B$22*'Underlying Mechanics'!$B$17,0)-IF(F$1&gt;0,'Underlying Mechanics'!$B$12*'Underlying Mechanics'!$B$18,0)</x:f>
        <x:v>-20340</x:v>
      </x:c>
      <x:c r="G42" t="n">
        <x:f>((IF(G$1-'Underlying Mechanics'!$B$8&lt;0,0,'Underlying Mechanics'!$B$22*'Underlying Mechanics'!$B$15*INDEX('Underlying Mechanics'!$B$31:$B$51,G$1-'Underlying Mechanics'!$B$8+1)*'Underlying Mechanics'!$B$5))*(1-$A42))-IF(G$1=0,'Underlying Mechanics'!$B$23*(1-$B42),0)-IF(G$1&gt;0,'Underlying Mechanics'!$B$22*'Underlying Mechanics'!$B$17,0)-IF(G$1&gt;0,'Underlying Mechanics'!$B$12*'Underlying Mechanics'!$B$18,0)</x:f>
        <x:v>-17100</x:v>
      </x:c>
      <x:c r="H42" t="n">
        <x:f>((IF(H$1-'Underlying Mechanics'!$B$8&lt;0,0,'Underlying Mechanics'!$B$22*'Underlying Mechanics'!$B$15*INDEX('Underlying Mechanics'!$B$31:$B$51,H$1-'Underlying Mechanics'!$B$8+1)*'Underlying Mechanics'!$B$5))*(1-$A42))-IF(H$1=0,'Underlying Mechanics'!$B$23*(1-$B42),0)-IF(H$1&gt;0,'Underlying Mechanics'!$B$22*'Underlying Mechanics'!$B$17,0)-IF(H$1&gt;0,'Underlying Mechanics'!$B$12*'Underlying Mechanics'!$B$18,0)</x:f>
        <x:v>-11700</x:v>
      </x:c>
      <x:c r="I42" t="n">
        <x:f>((IF(I$1-'Underlying Mechanics'!$B$8&lt;0,0,'Underlying Mechanics'!$B$22*'Underlying Mechanics'!$B$15*INDEX('Underlying Mechanics'!$B$31:$B$51,I$1-'Underlying Mechanics'!$B$8+1)*'Underlying Mechanics'!$B$5))*(1-$A42))-IF(I$1=0,'Underlying Mechanics'!$B$23*(1-$B42),0)-IF(I$1&gt;0,'Underlying Mechanics'!$B$22*'Underlying Mechanics'!$B$17,0)-IF(I$1&gt;0,'Underlying Mechanics'!$B$12*'Underlying Mechanics'!$B$18,0)</x:f>
        <x:v>-3060</x:v>
      </x:c>
      <x:c r="J42" t="n">
        <x:f>((IF(J$1-'Underlying Mechanics'!$B$8&lt;0,0,'Underlying Mechanics'!$B$22*'Underlying Mechanics'!$B$15*INDEX('Underlying Mechanics'!$B$31:$B$51,J$1-'Underlying Mechanics'!$B$8+1)*'Underlying Mechanics'!$B$5))*(1-$A42))-IF(J$1=0,'Underlying Mechanics'!$B$23*(1-$B42),0)-IF(J$1&gt;0,'Underlying Mechanics'!$B$22*'Underlying Mechanics'!$B$17,0)-IF(J$1&gt;0,'Underlying Mechanics'!$B$12*'Underlying Mechanics'!$B$18,0)</x:f>
        <x:v>7740.000000000007</x:v>
      </x:c>
      <x:c r="K42" t="n">
        <x:f>((IF(K$1-'Underlying Mechanics'!$B$8&lt;0,0,'Underlying Mechanics'!$B$22*'Underlying Mechanics'!$B$15*INDEX('Underlying Mechanics'!$B$31:$B$51,K$1-'Underlying Mechanics'!$B$8+1)*'Underlying Mechanics'!$B$5))*(1-$A42))-IF(K$1=0,'Underlying Mechanics'!$B$23*(1-$B42),0)-IF(K$1&gt;0,'Underlying Mechanics'!$B$22*'Underlying Mechanics'!$B$17,0)-IF(K$1&gt;0,'Underlying Mechanics'!$B$12*'Underlying Mechanics'!$B$18,0)</x:f>
        <x:v>20700</x:v>
      </x:c>
      <x:c r="L42" t="n">
        <x:f>((IF(L$1-'Underlying Mechanics'!$B$8&lt;0,0,'Underlying Mechanics'!$B$22*'Underlying Mechanics'!$B$15*INDEX('Underlying Mechanics'!$B$31:$B$51,L$1-'Underlying Mechanics'!$B$8+1)*'Underlying Mechanics'!$B$5))*(1-$A42))-IF(L$1=0,'Underlying Mechanics'!$B$23*(1-$B42),0)-IF(L$1&gt;0,'Underlying Mechanics'!$B$22*'Underlying Mechanics'!$B$17,0)-IF(L$1&gt;0,'Underlying Mechanics'!$B$12*'Underlying Mechanics'!$B$18,0)</x:f>
        <x:v>35820</x:v>
      </x:c>
      <x:c r="M42" t="n">
        <x:f>((IF(M$1-'Underlying Mechanics'!$B$8&lt;0,0,'Underlying Mechanics'!$B$22*'Underlying Mechanics'!$B$15*INDEX('Underlying Mechanics'!$B$31:$B$51,M$1-'Underlying Mechanics'!$B$8+1)*'Underlying Mechanics'!$B$5))*(1-$A42))-IF(M$1=0,'Underlying Mechanics'!$B$23*(1-$B42),0)-IF(M$1&gt;0,'Underlying Mechanics'!$B$22*'Underlying Mechanics'!$B$17,0)-IF(M$1&gt;0,'Underlying Mechanics'!$B$12*'Underlying Mechanics'!$B$18,0)</x:f>
        <x:v>50940.000000000015</x:v>
      </x:c>
      <x:c r="N42" t="n">
        <x:f>((IF(N$1-'Underlying Mechanics'!$B$8&lt;0,0,'Underlying Mechanics'!$B$22*'Underlying Mechanics'!$B$15*INDEX('Underlying Mechanics'!$B$31:$B$51,N$1-'Underlying Mechanics'!$B$8+1)*'Underlying Mechanics'!$B$5))*(1-$A42))-IF(N$1=0,'Underlying Mechanics'!$B$23*(1-$B42),0)-IF(N$1&gt;0,'Underlying Mechanics'!$B$22*'Underlying Mechanics'!$B$17,0)-IF(N$1&gt;0,'Underlying Mechanics'!$B$12*'Underlying Mechanics'!$B$18,0)</x:f>
        <x:v>63900</x:v>
      </x:c>
      <x:c r="O42" t="n">
        <x:f>((IF(O$1-'Underlying Mechanics'!$B$8&lt;0,0,'Underlying Mechanics'!$B$22*'Underlying Mechanics'!$B$15*INDEX('Underlying Mechanics'!$B$31:$B$51,O$1-'Underlying Mechanics'!$B$8+1)*'Underlying Mechanics'!$B$5))*(1-$A42))-IF(O$1=0,'Underlying Mechanics'!$B$23*(1-$B42),0)-IF(O$1&gt;0,'Underlying Mechanics'!$B$22*'Underlying Mechanics'!$B$17,0)-IF(O$1&gt;0,'Underlying Mechanics'!$B$12*'Underlying Mechanics'!$B$18,0)</x:f>
        <x:v>74700</x:v>
      </x:c>
      <x:c r="P42" t="n">
        <x:f>((IF(P$1-'Underlying Mechanics'!$B$8&lt;0,0,'Underlying Mechanics'!$B$22*'Underlying Mechanics'!$B$15*INDEX('Underlying Mechanics'!$B$31:$B$51,P$1-'Underlying Mechanics'!$B$8+1)*'Underlying Mechanics'!$B$5))*(1-$A42))-IF(P$1=0,'Underlying Mechanics'!$B$23*(1-$B42),0)-IF(P$1&gt;0,'Underlying Mechanics'!$B$22*'Underlying Mechanics'!$B$17,0)-IF(P$1&gt;0,'Underlying Mechanics'!$B$12*'Underlying Mechanics'!$B$18,0)</x:f>
        <x:v>85500</x:v>
      </x:c>
      <x:c r="Q42" t="n">
        <x:f>((IF(Q$1-'Underlying Mechanics'!$B$8&lt;0,0,'Underlying Mechanics'!$B$22*'Underlying Mechanics'!$B$15*INDEX('Underlying Mechanics'!$B$31:$B$51,Q$1-'Underlying Mechanics'!$B$8+1)*'Underlying Mechanics'!$B$5))*(1-$A42))-IF(Q$1=0,'Underlying Mechanics'!$B$23*(1-$B42),0)-IF(Q$1&gt;0,'Underlying Mechanics'!$B$22*'Underlying Mechanics'!$B$17,0)-IF(Q$1&gt;0,'Underlying Mechanics'!$B$12*'Underlying Mechanics'!$B$18,0)</x:f>
        <x:v>85500</x:v>
      </x:c>
      <x:c r="R42" t="n">
        <x:f>((IF(R$1-'Underlying Mechanics'!$B$8&lt;0,0,'Underlying Mechanics'!$B$22*'Underlying Mechanics'!$B$15*INDEX('Underlying Mechanics'!$B$31:$B$51,R$1-'Underlying Mechanics'!$B$8+1)*'Underlying Mechanics'!$B$5))*(1-$A42))-IF(R$1=0,'Underlying Mechanics'!$B$23*(1-$B42),0)-IF(R$1&gt;0,'Underlying Mechanics'!$B$22*'Underlying Mechanics'!$B$17,0)-IF(R$1&gt;0,'Underlying Mechanics'!$B$12*'Underlying Mechanics'!$B$18,0)</x:f>
        <x:v>85500</x:v>
      </x:c>
      <x:c r="S42" t="n">
        <x:f>((IF(S$1-'Underlying Mechanics'!$B$8&lt;0,0,'Underlying Mechanics'!$B$22*'Underlying Mechanics'!$B$15*INDEX('Underlying Mechanics'!$B$31:$B$51,S$1-'Underlying Mechanics'!$B$8+1)*'Underlying Mechanics'!$B$5))*(1-$A42))-IF(S$1=0,'Underlying Mechanics'!$B$23*(1-$B42),0)-IF(S$1&gt;0,'Underlying Mechanics'!$B$22*'Underlying Mechanics'!$B$17,0)-IF(S$1&gt;0,'Underlying Mechanics'!$B$12*'Underlying Mechanics'!$B$18,0)</x:f>
        <x:v>85500</x:v>
      </x:c>
      <x:c r="T42" t="n">
        <x:f>((IF(T$1-'Underlying Mechanics'!$B$8&lt;0,0,'Underlying Mechanics'!$B$22*'Underlying Mechanics'!$B$15*INDEX('Underlying Mechanics'!$B$31:$B$51,T$1-'Underlying Mechanics'!$B$8+1)*'Underlying Mechanics'!$B$5))*(1-$A42))-IF(T$1=0,'Underlying Mechanics'!$B$23*(1-$B42),0)-IF(T$1&gt;0,'Underlying Mechanics'!$B$22*'Underlying Mechanics'!$B$17,0)-IF(T$1&gt;0,'Underlying Mechanics'!$B$12*'Underlying Mechanics'!$B$18,0)</x:f>
        <x:v>85500</x:v>
      </x:c>
      <x:c r="U42" t="n">
        <x:f>((IF(U$1-'Underlying Mechanics'!$B$8&lt;0,0,'Underlying Mechanics'!$B$22*'Underlying Mechanics'!$B$15*INDEX('Underlying Mechanics'!$B$31:$B$51,U$1-'Underlying Mechanics'!$B$8+1)*'Underlying Mechanics'!$B$5))*(1-$A42))-IF(U$1=0,'Underlying Mechanics'!$B$23*(1-$B42),0)-IF(U$1&gt;0,'Underlying Mechanics'!$B$22*'Underlying Mechanics'!$B$17,0)-IF(U$1&gt;0,'Underlying Mechanics'!$B$12*'Underlying Mechanics'!$B$18,0)</x:f>
        <x:v>85500</x:v>
      </x:c>
      <x:c r="V42" t="n">
        <x:f>((IF(V$1-'Underlying Mechanics'!$B$8&lt;0,0,'Underlying Mechanics'!$B$22*'Underlying Mechanics'!$B$15*INDEX('Underlying Mechanics'!$B$31:$B$51,V$1-'Underlying Mechanics'!$B$8+1)*'Underlying Mechanics'!$B$5))*(1-$A42))-IF(V$1=0,'Underlying Mechanics'!$B$23*(1-$B42),0)-IF(V$1&gt;0,'Underlying Mechanics'!$B$22*'Underlying Mechanics'!$B$17,0)-IF(V$1&gt;0,'Underlying Mechanics'!$B$12*'Underlying Mechanics'!$B$18,0)</x:f>
        <x:v>85500</x:v>
      </x:c>
      <x:c r="W42" t="n">
        <x:f>((IF(W$1-'Underlying Mechanics'!$B$8&lt;0,0,'Underlying Mechanics'!$B$22*'Underlying Mechanics'!$B$15*INDEX('Underlying Mechanics'!$B$31:$B$51,W$1-'Underlying Mechanics'!$B$8+1)*'Underlying Mechanics'!$B$5))*(1-$A42))-IF(W$1=0,'Underlying Mechanics'!$B$23*(1-$B42),0)-IF(W$1&gt;0,'Underlying Mechanics'!$B$22*'Underlying Mechanics'!$B$17,0)-IF(W$1&gt;0,'Underlying Mechanics'!$B$12*'Underlying Mechanics'!$B$18,0)</x:f>
        <x:v>85500</x:v>
      </x:c>
      <x:c r="X42" t="n">
        <x:f>IFERROR(IRR(C42:W42),-1)</x:f>
        <x:v>0.21330778421904295</x:v>
      </x:c>
    </x:row>
    <x:row r="43">
      <x:c r="A43" t="n">
        <x:v>0.1</x:v>
      </x:c>
      <x:c r="B43" t="n">
        <x:v>1</x:v>
      </x:c>
      <x:c r="C43" t="n">
        <x:f>((IF(C$1-'Underlying Mechanics'!$B$8&lt;0,0,'Underlying Mechanics'!$B$22*'Underlying Mechanics'!$B$15*INDEX('Underlying Mechanics'!$B$31:$B$51,C$1-'Underlying Mechanics'!$B$8+1)*'Underlying Mechanics'!$B$5))*(1-$A43))-IF(C$1=0,'Underlying Mechanics'!$B$23*(1-$B43),0)-IF(C$1&gt;0,'Underlying Mechanics'!$B$22*'Underlying Mechanics'!$B$17,0)-IF(C$1&gt;0,'Underlying Mechanics'!$B$12*'Underlying Mechanics'!$B$18,0)</x:f>
        <x:v>0</x:v>
      </x:c>
      <x:c r="D43" t="n">
        <x:f>((IF(D$1-'Underlying Mechanics'!$B$8&lt;0,0,'Underlying Mechanics'!$B$22*'Underlying Mechanics'!$B$15*INDEX('Underlying Mechanics'!$B$31:$B$51,D$1-'Underlying Mechanics'!$B$8+1)*'Underlying Mechanics'!$B$5))*(1-$A43))-IF(D$1=0,'Underlying Mechanics'!$B$23*(1-$B43),0)-IF(D$1&gt;0,'Underlying Mechanics'!$B$22*'Underlying Mechanics'!$B$17,0)-IF(D$1&gt;0,'Underlying Mechanics'!$B$12*'Underlying Mechanics'!$B$18,0)</x:f>
        <x:v>-22500</x:v>
      </x:c>
      <x:c r="E43" t="n">
        <x:f>((IF(E$1-'Underlying Mechanics'!$B$8&lt;0,0,'Underlying Mechanics'!$B$22*'Underlying Mechanics'!$B$15*INDEX('Underlying Mechanics'!$B$31:$B$51,E$1-'Underlying Mechanics'!$B$8+1)*'Underlying Mechanics'!$B$5))*(1-$A43))-IF(E$1=0,'Underlying Mechanics'!$B$23*(1-$B43),0)-IF(E$1&gt;0,'Underlying Mechanics'!$B$22*'Underlying Mechanics'!$B$17,0)-IF(E$1&gt;0,'Underlying Mechanics'!$B$12*'Underlying Mechanics'!$B$18,0)</x:f>
        <x:v>-22500</x:v>
      </x:c>
      <x:c r="F43" t="n">
        <x:f>((IF(F$1-'Underlying Mechanics'!$B$8&lt;0,0,'Underlying Mechanics'!$B$22*'Underlying Mechanics'!$B$15*INDEX('Underlying Mechanics'!$B$31:$B$51,F$1-'Underlying Mechanics'!$B$8+1)*'Underlying Mechanics'!$B$5))*(1-$A43))-IF(F$1=0,'Underlying Mechanics'!$B$23*(1-$B43),0)-IF(F$1&gt;0,'Underlying Mechanics'!$B$22*'Underlying Mechanics'!$B$17,0)-IF(F$1&gt;0,'Underlying Mechanics'!$B$12*'Underlying Mechanics'!$B$18,0)</x:f>
        <x:v>-20340</x:v>
      </x:c>
      <x:c r="G43" t="n">
        <x:f>((IF(G$1-'Underlying Mechanics'!$B$8&lt;0,0,'Underlying Mechanics'!$B$22*'Underlying Mechanics'!$B$15*INDEX('Underlying Mechanics'!$B$31:$B$51,G$1-'Underlying Mechanics'!$B$8+1)*'Underlying Mechanics'!$B$5))*(1-$A43))-IF(G$1=0,'Underlying Mechanics'!$B$23*(1-$B43),0)-IF(G$1&gt;0,'Underlying Mechanics'!$B$22*'Underlying Mechanics'!$B$17,0)-IF(G$1&gt;0,'Underlying Mechanics'!$B$12*'Underlying Mechanics'!$B$18,0)</x:f>
        <x:v>-17100</x:v>
      </x:c>
      <x:c r="H43" t="n">
        <x:f>((IF(H$1-'Underlying Mechanics'!$B$8&lt;0,0,'Underlying Mechanics'!$B$22*'Underlying Mechanics'!$B$15*INDEX('Underlying Mechanics'!$B$31:$B$51,H$1-'Underlying Mechanics'!$B$8+1)*'Underlying Mechanics'!$B$5))*(1-$A43))-IF(H$1=0,'Underlying Mechanics'!$B$23*(1-$B43),0)-IF(H$1&gt;0,'Underlying Mechanics'!$B$22*'Underlying Mechanics'!$B$17,0)-IF(H$1&gt;0,'Underlying Mechanics'!$B$12*'Underlying Mechanics'!$B$18,0)</x:f>
        <x:v>-11700</x:v>
      </x:c>
      <x:c r="I43" t="n">
        <x:f>((IF(I$1-'Underlying Mechanics'!$B$8&lt;0,0,'Underlying Mechanics'!$B$22*'Underlying Mechanics'!$B$15*INDEX('Underlying Mechanics'!$B$31:$B$51,I$1-'Underlying Mechanics'!$B$8+1)*'Underlying Mechanics'!$B$5))*(1-$A43))-IF(I$1=0,'Underlying Mechanics'!$B$23*(1-$B43),0)-IF(I$1&gt;0,'Underlying Mechanics'!$B$22*'Underlying Mechanics'!$B$17,0)-IF(I$1&gt;0,'Underlying Mechanics'!$B$12*'Underlying Mechanics'!$B$18,0)</x:f>
        <x:v>-3060</x:v>
      </x:c>
      <x:c r="J43" t="n">
        <x:f>((IF(J$1-'Underlying Mechanics'!$B$8&lt;0,0,'Underlying Mechanics'!$B$22*'Underlying Mechanics'!$B$15*INDEX('Underlying Mechanics'!$B$31:$B$51,J$1-'Underlying Mechanics'!$B$8+1)*'Underlying Mechanics'!$B$5))*(1-$A43))-IF(J$1=0,'Underlying Mechanics'!$B$23*(1-$B43),0)-IF(J$1&gt;0,'Underlying Mechanics'!$B$22*'Underlying Mechanics'!$B$17,0)-IF(J$1&gt;0,'Underlying Mechanics'!$B$12*'Underlying Mechanics'!$B$18,0)</x:f>
        <x:v>7740.000000000007</x:v>
      </x:c>
      <x:c r="K43" t="n">
        <x:f>((IF(K$1-'Underlying Mechanics'!$B$8&lt;0,0,'Underlying Mechanics'!$B$22*'Underlying Mechanics'!$B$15*INDEX('Underlying Mechanics'!$B$31:$B$51,K$1-'Underlying Mechanics'!$B$8+1)*'Underlying Mechanics'!$B$5))*(1-$A43))-IF(K$1=0,'Underlying Mechanics'!$B$23*(1-$B43),0)-IF(K$1&gt;0,'Underlying Mechanics'!$B$22*'Underlying Mechanics'!$B$17,0)-IF(K$1&gt;0,'Underlying Mechanics'!$B$12*'Underlying Mechanics'!$B$18,0)</x:f>
        <x:v>20700</x:v>
      </x:c>
      <x:c r="L43" t="n">
        <x:f>((IF(L$1-'Underlying Mechanics'!$B$8&lt;0,0,'Underlying Mechanics'!$B$22*'Underlying Mechanics'!$B$15*INDEX('Underlying Mechanics'!$B$31:$B$51,L$1-'Underlying Mechanics'!$B$8+1)*'Underlying Mechanics'!$B$5))*(1-$A43))-IF(L$1=0,'Underlying Mechanics'!$B$23*(1-$B43),0)-IF(L$1&gt;0,'Underlying Mechanics'!$B$22*'Underlying Mechanics'!$B$17,0)-IF(L$1&gt;0,'Underlying Mechanics'!$B$12*'Underlying Mechanics'!$B$18,0)</x:f>
        <x:v>35820</x:v>
      </x:c>
      <x:c r="M43" t="n">
        <x:f>((IF(M$1-'Underlying Mechanics'!$B$8&lt;0,0,'Underlying Mechanics'!$B$22*'Underlying Mechanics'!$B$15*INDEX('Underlying Mechanics'!$B$31:$B$51,M$1-'Underlying Mechanics'!$B$8+1)*'Underlying Mechanics'!$B$5))*(1-$A43))-IF(M$1=0,'Underlying Mechanics'!$B$23*(1-$B43),0)-IF(M$1&gt;0,'Underlying Mechanics'!$B$22*'Underlying Mechanics'!$B$17,0)-IF(M$1&gt;0,'Underlying Mechanics'!$B$12*'Underlying Mechanics'!$B$18,0)</x:f>
        <x:v>50940.000000000015</x:v>
      </x:c>
      <x:c r="N43" t="n">
        <x:f>((IF(N$1-'Underlying Mechanics'!$B$8&lt;0,0,'Underlying Mechanics'!$B$22*'Underlying Mechanics'!$B$15*INDEX('Underlying Mechanics'!$B$31:$B$51,N$1-'Underlying Mechanics'!$B$8+1)*'Underlying Mechanics'!$B$5))*(1-$A43))-IF(N$1=0,'Underlying Mechanics'!$B$23*(1-$B43),0)-IF(N$1&gt;0,'Underlying Mechanics'!$B$22*'Underlying Mechanics'!$B$17,0)-IF(N$1&gt;0,'Underlying Mechanics'!$B$12*'Underlying Mechanics'!$B$18,0)</x:f>
        <x:v>63900</x:v>
      </x:c>
      <x:c r="O43" t="n">
        <x:f>((IF(O$1-'Underlying Mechanics'!$B$8&lt;0,0,'Underlying Mechanics'!$B$22*'Underlying Mechanics'!$B$15*INDEX('Underlying Mechanics'!$B$31:$B$51,O$1-'Underlying Mechanics'!$B$8+1)*'Underlying Mechanics'!$B$5))*(1-$A43))-IF(O$1=0,'Underlying Mechanics'!$B$23*(1-$B43),0)-IF(O$1&gt;0,'Underlying Mechanics'!$B$22*'Underlying Mechanics'!$B$17,0)-IF(O$1&gt;0,'Underlying Mechanics'!$B$12*'Underlying Mechanics'!$B$18,0)</x:f>
        <x:v>74700</x:v>
      </x:c>
      <x:c r="P43" t="n">
        <x:f>((IF(P$1-'Underlying Mechanics'!$B$8&lt;0,0,'Underlying Mechanics'!$B$22*'Underlying Mechanics'!$B$15*INDEX('Underlying Mechanics'!$B$31:$B$51,P$1-'Underlying Mechanics'!$B$8+1)*'Underlying Mechanics'!$B$5))*(1-$A43))-IF(P$1=0,'Underlying Mechanics'!$B$23*(1-$B43),0)-IF(P$1&gt;0,'Underlying Mechanics'!$B$22*'Underlying Mechanics'!$B$17,0)-IF(P$1&gt;0,'Underlying Mechanics'!$B$12*'Underlying Mechanics'!$B$18,0)</x:f>
        <x:v>85500</x:v>
      </x:c>
      <x:c r="Q43" t="n">
        <x:f>((IF(Q$1-'Underlying Mechanics'!$B$8&lt;0,0,'Underlying Mechanics'!$B$22*'Underlying Mechanics'!$B$15*INDEX('Underlying Mechanics'!$B$31:$B$51,Q$1-'Underlying Mechanics'!$B$8+1)*'Underlying Mechanics'!$B$5))*(1-$A43))-IF(Q$1=0,'Underlying Mechanics'!$B$23*(1-$B43),0)-IF(Q$1&gt;0,'Underlying Mechanics'!$B$22*'Underlying Mechanics'!$B$17,0)-IF(Q$1&gt;0,'Underlying Mechanics'!$B$12*'Underlying Mechanics'!$B$18,0)</x:f>
        <x:v>85500</x:v>
      </x:c>
      <x:c r="R43" t="n">
        <x:f>((IF(R$1-'Underlying Mechanics'!$B$8&lt;0,0,'Underlying Mechanics'!$B$22*'Underlying Mechanics'!$B$15*INDEX('Underlying Mechanics'!$B$31:$B$51,R$1-'Underlying Mechanics'!$B$8+1)*'Underlying Mechanics'!$B$5))*(1-$A43))-IF(R$1=0,'Underlying Mechanics'!$B$23*(1-$B43),0)-IF(R$1&gt;0,'Underlying Mechanics'!$B$22*'Underlying Mechanics'!$B$17,0)-IF(R$1&gt;0,'Underlying Mechanics'!$B$12*'Underlying Mechanics'!$B$18,0)</x:f>
        <x:v>85500</x:v>
      </x:c>
      <x:c r="S43" t="n">
        <x:f>((IF(S$1-'Underlying Mechanics'!$B$8&lt;0,0,'Underlying Mechanics'!$B$22*'Underlying Mechanics'!$B$15*INDEX('Underlying Mechanics'!$B$31:$B$51,S$1-'Underlying Mechanics'!$B$8+1)*'Underlying Mechanics'!$B$5))*(1-$A43))-IF(S$1=0,'Underlying Mechanics'!$B$23*(1-$B43),0)-IF(S$1&gt;0,'Underlying Mechanics'!$B$22*'Underlying Mechanics'!$B$17,0)-IF(S$1&gt;0,'Underlying Mechanics'!$B$12*'Underlying Mechanics'!$B$18,0)</x:f>
        <x:v>85500</x:v>
      </x:c>
      <x:c r="T43" t="n">
        <x:f>((IF(T$1-'Underlying Mechanics'!$B$8&lt;0,0,'Underlying Mechanics'!$B$22*'Underlying Mechanics'!$B$15*INDEX('Underlying Mechanics'!$B$31:$B$51,T$1-'Underlying Mechanics'!$B$8+1)*'Underlying Mechanics'!$B$5))*(1-$A43))-IF(T$1=0,'Underlying Mechanics'!$B$23*(1-$B43),0)-IF(T$1&gt;0,'Underlying Mechanics'!$B$22*'Underlying Mechanics'!$B$17,0)-IF(T$1&gt;0,'Underlying Mechanics'!$B$12*'Underlying Mechanics'!$B$18,0)</x:f>
        <x:v>85500</x:v>
      </x:c>
      <x:c r="U43" t="n">
        <x:f>((IF(U$1-'Underlying Mechanics'!$B$8&lt;0,0,'Underlying Mechanics'!$B$22*'Underlying Mechanics'!$B$15*INDEX('Underlying Mechanics'!$B$31:$B$51,U$1-'Underlying Mechanics'!$B$8+1)*'Underlying Mechanics'!$B$5))*(1-$A43))-IF(U$1=0,'Underlying Mechanics'!$B$23*(1-$B43),0)-IF(U$1&gt;0,'Underlying Mechanics'!$B$22*'Underlying Mechanics'!$B$17,0)-IF(U$1&gt;0,'Underlying Mechanics'!$B$12*'Underlying Mechanics'!$B$18,0)</x:f>
        <x:v>85500</x:v>
      </x:c>
      <x:c r="V43" t="n">
        <x:f>((IF(V$1-'Underlying Mechanics'!$B$8&lt;0,0,'Underlying Mechanics'!$B$22*'Underlying Mechanics'!$B$15*INDEX('Underlying Mechanics'!$B$31:$B$51,V$1-'Underlying Mechanics'!$B$8+1)*'Underlying Mechanics'!$B$5))*(1-$A43))-IF(V$1=0,'Underlying Mechanics'!$B$23*(1-$B43),0)-IF(V$1&gt;0,'Underlying Mechanics'!$B$22*'Underlying Mechanics'!$B$17,0)-IF(V$1&gt;0,'Underlying Mechanics'!$B$12*'Underlying Mechanics'!$B$18,0)</x:f>
        <x:v>85500</x:v>
      </x:c>
      <x:c r="W43" t="n">
        <x:f>((IF(W$1-'Underlying Mechanics'!$B$8&lt;0,0,'Underlying Mechanics'!$B$22*'Underlying Mechanics'!$B$15*INDEX('Underlying Mechanics'!$B$31:$B$51,W$1-'Underlying Mechanics'!$B$8+1)*'Underlying Mechanics'!$B$5))*(1-$A43))-IF(W$1=0,'Underlying Mechanics'!$B$23*(1-$B43),0)-IF(W$1&gt;0,'Underlying Mechanics'!$B$22*'Underlying Mechanics'!$B$17,0)-IF(W$1&gt;0,'Underlying Mechanics'!$B$12*'Underlying Mechanics'!$B$18,0)</x:f>
        <x:v>85500</x:v>
      </x:c>
      <x:c r="X43" t="n">
        <x:f>IFERROR(IRR(C43:W43),-1)</x:f>
        <x:v>0.2278575284299465</x:v>
      </x:c>
    </x:row>
    <x:row r="44">
      <x:c r="A44" t="n">
        <x:v>0.2</x:v>
      </x:c>
      <x:c r="B44" t="n">
        <x:v>0</x:v>
      </x:c>
      <x:c r="C44" t="n">
        <x:f>((IF(C$1-'Underlying Mechanics'!$B$8&lt;0,0,'Underlying Mechanics'!$B$22*'Underlying Mechanics'!$B$15*INDEX('Underlying Mechanics'!$B$31:$B$51,C$1-'Underlying Mechanics'!$B$8+1)*'Underlying Mechanics'!$B$5))*(1-$A44))-IF(C$1=0,'Underlying Mechanics'!$B$23*(1-$B44),0)-IF(C$1&gt;0,'Underlying Mechanics'!$B$22*'Underlying Mechanics'!$B$17,0)-IF(C$1&gt;0,'Underlying Mechanics'!$B$12*'Underlying Mechanics'!$B$18,0)</x:f>
        <x:v>-150000</x:v>
      </x:c>
      <x:c r="D44" t="n">
        <x:f>((IF(D$1-'Underlying Mechanics'!$B$8&lt;0,0,'Underlying Mechanics'!$B$22*'Underlying Mechanics'!$B$15*INDEX('Underlying Mechanics'!$B$31:$B$51,D$1-'Underlying Mechanics'!$B$8+1)*'Underlying Mechanics'!$B$5))*(1-$A44))-IF(D$1=0,'Underlying Mechanics'!$B$23*(1-$B44),0)-IF(D$1&gt;0,'Underlying Mechanics'!$B$22*'Underlying Mechanics'!$B$17,0)-IF(D$1&gt;0,'Underlying Mechanics'!$B$12*'Underlying Mechanics'!$B$18,0)</x:f>
        <x:v>-22500</x:v>
      </x:c>
      <x:c r="E44" t="n">
        <x:f>((IF(E$1-'Underlying Mechanics'!$B$8&lt;0,0,'Underlying Mechanics'!$B$22*'Underlying Mechanics'!$B$15*INDEX('Underlying Mechanics'!$B$31:$B$51,E$1-'Underlying Mechanics'!$B$8+1)*'Underlying Mechanics'!$B$5))*(1-$A44))-IF(E$1=0,'Underlying Mechanics'!$B$23*(1-$B44),0)-IF(E$1&gt;0,'Underlying Mechanics'!$B$22*'Underlying Mechanics'!$B$17,0)-IF(E$1&gt;0,'Underlying Mechanics'!$B$12*'Underlying Mechanics'!$B$18,0)</x:f>
        <x:v>-22500</x:v>
      </x:c>
      <x:c r="F44" t="n">
        <x:f>((IF(F$1-'Underlying Mechanics'!$B$8&lt;0,0,'Underlying Mechanics'!$B$22*'Underlying Mechanics'!$B$15*INDEX('Underlying Mechanics'!$B$31:$B$51,F$1-'Underlying Mechanics'!$B$8+1)*'Underlying Mechanics'!$B$5))*(1-$A44))-IF(F$1=0,'Underlying Mechanics'!$B$23*(1-$B44),0)-IF(F$1&gt;0,'Underlying Mechanics'!$B$22*'Underlying Mechanics'!$B$17,0)-IF(F$1&gt;0,'Underlying Mechanics'!$B$12*'Underlying Mechanics'!$B$18,0)</x:f>
        <x:v>-20580</x:v>
      </x:c>
      <x:c r="G44" t="n">
        <x:f>((IF(G$1-'Underlying Mechanics'!$B$8&lt;0,0,'Underlying Mechanics'!$B$22*'Underlying Mechanics'!$B$15*INDEX('Underlying Mechanics'!$B$31:$B$51,G$1-'Underlying Mechanics'!$B$8+1)*'Underlying Mechanics'!$B$5))*(1-$A44))-IF(G$1=0,'Underlying Mechanics'!$B$23*(1-$B44),0)-IF(G$1&gt;0,'Underlying Mechanics'!$B$22*'Underlying Mechanics'!$B$17,0)-IF(G$1&gt;0,'Underlying Mechanics'!$B$12*'Underlying Mechanics'!$B$18,0)</x:f>
        <x:v>-17700</x:v>
      </x:c>
      <x:c r="H44" t="n">
        <x:f>((IF(H$1-'Underlying Mechanics'!$B$8&lt;0,0,'Underlying Mechanics'!$B$22*'Underlying Mechanics'!$B$15*INDEX('Underlying Mechanics'!$B$31:$B$51,H$1-'Underlying Mechanics'!$B$8+1)*'Underlying Mechanics'!$B$5))*(1-$A44))-IF(H$1=0,'Underlying Mechanics'!$B$23*(1-$B44),0)-IF(H$1&gt;0,'Underlying Mechanics'!$B$22*'Underlying Mechanics'!$B$17,0)-IF(H$1&gt;0,'Underlying Mechanics'!$B$12*'Underlying Mechanics'!$B$18,0)</x:f>
        <x:v>-12900</x:v>
      </x:c>
      <x:c r="I44" t="n">
        <x:f>((IF(I$1-'Underlying Mechanics'!$B$8&lt;0,0,'Underlying Mechanics'!$B$22*'Underlying Mechanics'!$B$15*INDEX('Underlying Mechanics'!$B$31:$B$51,I$1-'Underlying Mechanics'!$B$8+1)*'Underlying Mechanics'!$B$5))*(1-$A44))-IF(I$1=0,'Underlying Mechanics'!$B$23*(1-$B44),0)-IF(I$1&gt;0,'Underlying Mechanics'!$B$22*'Underlying Mechanics'!$B$17,0)-IF(I$1&gt;0,'Underlying Mechanics'!$B$12*'Underlying Mechanics'!$B$18,0)</x:f>
        <x:v>-5220</x:v>
      </x:c>
      <x:c r="J44" t="n">
        <x:f>((IF(J$1-'Underlying Mechanics'!$B$8&lt;0,0,'Underlying Mechanics'!$B$22*'Underlying Mechanics'!$B$15*INDEX('Underlying Mechanics'!$B$31:$B$51,J$1-'Underlying Mechanics'!$B$8+1)*'Underlying Mechanics'!$B$5))*(1-$A44))-IF(J$1=0,'Underlying Mechanics'!$B$23*(1-$B44),0)-IF(J$1&gt;0,'Underlying Mechanics'!$B$22*'Underlying Mechanics'!$B$17,0)-IF(J$1&gt;0,'Underlying Mechanics'!$B$12*'Underlying Mechanics'!$B$18,0)</x:f>
        <x:v>4380.000000000007</x:v>
      </x:c>
      <x:c r="K44" t="n">
        <x:f>((IF(K$1-'Underlying Mechanics'!$B$8&lt;0,0,'Underlying Mechanics'!$B$22*'Underlying Mechanics'!$B$15*INDEX('Underlying Mechanics'!$B$31:$B$51,K$1-'Underlying Mechanics'!$B$8+1)*'Underlying Mechanics'!$B$5))*(1-$A44))-IF(K$1=0,'Underlying Mechanics'!$B$23*(1-$B44),0)-IF(K$1&gt;0,'Underlying Mechanics'!$B$22*'Underlying Mechanics'!$B$17,0)-IF(K$1&gt;0,'Underlying Mechanics'!$B$12*'Underlying Mechanics'!$B$18,0)</x:f>
        <x:v>15900</x:v>
      </x:c>
      <x:c r="L44" t="n">
        <x:f>((IF(L$1-'Underlying Mechanics'!$B$8&lt;0,0,'Underlying Mechanics'!$B$22*'Underlying Mechanics'!$B$15*INDEX('Underlying Mechanics'!$B$31:$B$51,L$1-'Underlying Mechanics'!$B$8+1)*'Underlying Mechanics'!$B$5))*(1-$A44))-IF(L$1=0,'Underlying Mechanics'!$B$23*(1-$B44),0)-IF(L$1&gt;0,'Underlying Mechanics'!$B$22*'Underlying Mechanics'!$B$17,0)-IF(L$1&gt;0,'Underlying Mechanics'!$B$12*'Underlying Mechanics'!$B$18,0)</x:f>
        <x:v>29340</x:v>
      </x:c>
      <x:c r="M44" t="n">
        <x:f>((IF(M$1-'Underlying Mechanics'!$B$8&lt;0,0,'Underlying Mechanics'!$B$22*'Underlying Mechanics'!$B$15*INDEX('Underlying Mechanics'!$B$31:$B$51,M$1-'Underlying Mechanics'!$B$8+1)*'Underlying Mechanics'!$B$5))*(1-$A44))-IF(M$1=0,'Underlying Mechanics'!$B$23*(1-$B44),0)-IF(M$1&gt;0,'Underlying Mechanics'!$B$22*'Underlying Mechanics'!$B$17,0)-IF(M$1&gt;0,'Underlying Mechanics'!$B$12*'Underlying Mechanics'!$B$18,0)</x:f>
        <x:v>42780.000000000015</x:v>
      </x:c>
      <x:c r="N44" t="n">
        <x:f>((IF(N$1-'Underlying Mechanics'!$B$8&lt;0,0,'Underlying Mechanics'!$B$22*'Underlying Mechanics'!$B$15*INDEX('Underlying Mechanics'!$B$31:$B$51,N$1-'Underlying Mechanics'!$B$8+1)*'Underlying Mechanics'!$B$5))*(1-$A44))-IF(N$1=0,'Underlying Mechanics'!$B$23*(1-$B44),0)-IF(N$1&gt;0,'Underlying Mechanics'!$B$22*'Underlying Mechanics'!$B$17,0)-IF(N$1&gt;0,'Underlying Mechanics'!$B$12*'Underlying Mechanics'!$B$18,0)</x:f>
        <x:v>54300</x:v>
      </x:c>
      <x:c r="O44" t="n">
        <x:f>((IF(O$1-'Underlying Mechanics'!$B$8&lt;0,0,'Underlying Mechanics'!$B$22*'Underlying Mechanics'!$B$15*INDEX('Underlying Mechanics'!$B$31:$B$51,O$1-'Underlying Mechanics'!$B$8+1)*'Underlying Mechanics'!$B$5))*(1-$A44))-IF(O$1=0,'Underlying Mechanics'!$B$23*(1-$B44),0)-IF(O$1&gt;0,'Underlying Mechanics'!$B$22*'Underlying Mechanics'!$B$17,0)-IF(O$1&gt;0,'Underlying Mechanics'!$B$12*'Underlying Mechanics'!$B$18,0)</x:f>
        <x:v>63900</x:v>
      </x:c>
      <x:c r="P44" t="n">
        <x:f>((IF(P$1-'Underlying Mechanics'!$B$8&lt;0,0,'Underlying Mechanics'!$B$22*'Underlying Mechanics'!$B$15*INDEX('Underlying Mechanics'!$B$31:$B$51,P$1-'Underlying Mechanics'!$B$8+1)*'Underlying Mechanics'!$B$5))*(1-$A44))-IF(P$1=0,'Underlying Mechanics'!$B$23*(1-$B44),0)-IF(P$1&gt;0,'Underlying Mechanics'!$B$22*'Underlying Mechanics'!$B$17,0)-IF(P$1&gt;0,'Underlying Mechanics'!$B$12*'Underlying Mechanics'!$B$18,0)</x:f>
        <x:v>73500</x:v>
      </x:c>
      <x:c r="Q44" t="n">
        <x:f>((IF(Q$1-'Underlying Mechanics'!$B$8&lt;0,0,'Underlying Mechanics'!$B$22*'Underlying Mechanics'!$B$15*INDEX('Underlying Mechanics'!$B$31:$B$51,Q$1-'Underlying Mechanics'!$B$8+1)*'Underlying Mechanics'!$B$5))*(1-$A44))-IF(Q$1=0,'Underlying Mechanics'!$B$23*(1-$B44),0)-IF(Q$1&gt;0,'Underlying Mechanics'!$B$22*'Underlying Mechanics'!$B$17,0)-IF(Q$1&gt;0,'Underlying Mechanics'!$B$12*'Underlying Mechanics'!$B$18,0)</x:f>
        <x:v>73500</x:v>
      </x:c>
      <x:c r="R44" t="n">
        <x:f>((IF(R$1-'Underlying Mechanics'!$B$8&lt;0,0,'Underlying Mechanics'!$B$22*'Underlying Mechanics'!$B$15*INDEX('Underlying Mechanics'!$B$31:$B$51,R$1-'Underlying Mechanics'!$B$8+1)*'Underlying Mechanics'!$B$5))*(1-$A44))-IF(R$1=0,'Underlying Mechanics'!$B$23*(1-$B44),0)-IF(R$1&gt;0,'Underlying Mechanics'!$B$22*'Underlying Mechanics'!$B$17,0)-IF(R$1&gt;0,'Underlying Mechanics'!$B$12*'Underlying Mechanics'!$B$18,0)</x:f>
        <x:v>73500</x:v>
      </x:c>
      <x:c r="S44" t="n">
        <x:f>((IF(S$1-'Underlying Mechanics'!$B$8&lt;0,0,'Underlying Mechanics'!$B$22*'Underlying Mechanics'!$B$15*INDEX('Underlying Mechanics'!$B$31:$B$51,S$1-'Underlying Mechanics'!$B$8+1)*'Underlying Mechanics'!$B$5))*(1-$A44))-IF(S$1=0,'Underlying Mechanics'!$B$23*(1-$B44),0)-IF(S$1&gt;0,'Underlying Mechanics'!$B$22*'Underlying Mechanics'!$B$17,0)-IF(S$1&gt;0,'Underlying Mechanics'!$B$12*'Underlying Mechanics'!$B$18,0)</x:f>
        <x:v>73500</x:v>
      </x:c>
      <x:c r="T44" t="n">
        <x:f>((IF(T$1-'Underlying Mechanics'!$B$8&lt;0,0,'Underlying Mechanics'!$B$22*'Underlying Mechanics'!$B$15*INDEX('Underlying Mechanics'!$B$31:$B$51,T$1-'Underlying Mechanics'!$B$8+1)*'Underlying Mechanics'!$B$5))*(1-$A44))-IF(T$1=0,'Underlying Mechanics'!$B$23*(1-$B44),0)-IF(T$1&gt;0,'Underlying Mechanics'!$B$22*'Underlying Mechanics'!$B$17,0)-IF(T$1&gt;0,'Underlying Mechanics'!$B$12*'Underlying Mechanics'!$B$18,0)</x:f>
        <x:v>73500</x:v>
      </x:c>
      <x:c r="U44" t="n">
        <x:f>((IF(U$1-'Underlying Mechanics'!$B$8&lt;0,0,'Underlying Mechanics'!$B$22*'Underlying Mechanics'!$B$15*INDEX('Underlying Mechanics'!$B$31:$B$51,U$1-'Underlying Mechanics'!$B$8+1)*'Underlying Mechanics'!$B$5))*(1-$A44))-IF(U$1=0,'Underlying Mechanics'!$B$23*(1-$B44),0)-IF(U$1&gt;0,'Underlying Mechanics'!$B$22*'Underlying Mechanics'!$B$17,0)-IF(U$1&gt;0,'Underlying Mechanics'!$B$12*'Underlying Mechanics'!$B$18,0)</x:f>
        <x:v>73500</x:v>
      </x:c>
      <x:c r="V44" t="n">
        <x:f>((IF(V$1-'Underlying Mechanics'!$B$8&lt;0,0,'Underlying Mechanics'!$B$22*'Underlying Mechanics'!$B$15*INDEX('Underlying Mechanics'!$B$31:$B$51,V$1-'Underlying Mechanics'!$B$8+1)*'Underlying Mechanics'!$B$5))*(1-$A44))-IF(V$1=0,'Underlying Mechanics'!$B$23*(1-$B44),0)-IF(V$1&gt;0,'Underlying Mechanics'!$B$22*'Underlying Mechanics'!$B$17,0)-IF(V$1&gt;0,'Underlying Mechanics'!$B$12*'Underlying Mechanics'!$B$18,0)</x:f>
        <x:v>73500</x:v>
      </x:c>
      <x:c r="W44" t="n">
        <x:f>((IF(W$1-'Underlying Mechanics'!$B$8&lt;0,0,'Underlying Mechanics'!$B$22*'Underlying Mechanics'!$B$15*INDEX('Underlying Mechanics'!$B$31:$B$51,W$1-'Underlying Mechanics'!$B$8+1)*'Underlying Mechanics'!$B$5))*(1-$A44))-IF(W$1=0,'Underlying Mechanics'!$B$23*(1-$B44),0)-IF(W$1&gt;0,'Underlying Mechanics'!$B$22*'Underlying Mechanics'!$B$17,0)-IF(W$1&gt;0,'Underlying Mechanics'!$B$12*'Underlying Mechanics'!$B$18,0)</x:f>
        <x:v>73500</x:v>
      </x:c>
      <x:c r="X44" t="n">
        <x:f>IFERROR(IRR(C44:W44),-1)</x:f>
        <x:v>0.09030844574588892</x:v>
      </x:c>
    </x:row>
    <x:row r="45">
      <x:c r="A45" t="n">
        <x:v>0.2</x:v>
      </x:c>
      <x:c r="B45" t="n">
        <x:v>0.05</x:v>
      </x:c>
      <x:c r="C45" t="n">
        <x:f>((IF(C$1-'Underlying Mechanics'!$B$8&lt;0,0,'Underlying Mechanics'!$B$22*'Underlying Mechanics'!$B$15*INDEX('Underlying Mechanics'!$B$31:$B$51,C$1-'Underlying Mechanics'!$B$8+1)*'Underlying Mechanics'!$B$5))*(1-$A45))-IF(C$1=0,'Underlying Mechanics'!$B$23*(1-$B45),0)-IF(C$1&gt;0,'Underlying Mechanics'!$B$22*'Underlying Mechanics'!$B$17,0)-IF(C$1&gt;0,'Underlying Mechanics'!$B$12*'Underlying Mechanics'!$B$18,0)</x:f>
        <x:v>-142500</x:v>
      </x:c>
      <x:c r="D45" t="n">
        <x:f>((IF(D$1-'Underlying Mechanics'!$B$8&lt;0,0,'Underlying Mechanics'!$B$22*'Underlying Mechanics'!$B$15*INDEX('Underlying Mechanics'!$B$31:$B$51,D$1-'Underlying Mechanics'!$B$8+1)*'Underlying Mechanics'!$B$5))*(1-$A45))-IF(D$1=0,'Underlying Mechanics'!$B$23*(1-$B45),0)-IF(D$1&gt;0,'Underlying Mechanics'!$B$22*'Underlying Mechanics'!$B$17,0)-IF(D$1&gt;0,'Underlying Mechanics'!$B$12*'Underlying Mechanics'!$B$18,0)</x:f>
        <x:v>-22500</x:v>
      </x:c>
      <x:c r="E45" t="n">
        <x:f>((IF(E$1-'Underlying Mechanics'!$B$8&lt;0,0,'Underlying Mechanics'!$B$22*'Underlying Mechanics'!$B$15*INDEX('Underlying Mechanics'!$B$31:$B$51,E$1-'Underlying Mechanics'!$B$8+1)*'Underlying Mechanics'!$B$5))*(1-$A45))-IF(E$1=0,'Underlying Mechanics'!$B$23*(1-$B45),0)-IF(E$1&gt;0,'Underlying Mechanics'!$B$22*'Underlying Mechanics'!$B$17,0)-IF(E$1&gt;0,'Underlying Mechanics'!$B$12*'Underlying Mechanics'!$B$18,0)</x:f>
        <x:v>-22500</x:v>
      </x:c>
      <x:c r="F45" t="n">
        <x:f>((IF(F$1-'Underlying Mechanics'!$B$8&lt;0,0,'Underlying Mechanics'!$B$22*'Underlying Mechanics'!$B$15*INDEX('Underlying Mechanics'!$B$31:$B$51,F$1-'Underlying Mechanics'!$B$8+1)*'Underlying Mechanics'!$B$5))*(1-$A45))-IF(F$1=0,'Underlying Mechanics'!$B$23*(1-$B45),0)-IF(F$1&gt;0,'Underlying Mechanics'!$B$22*'Underlying Mechanics'!$B$17,0)-IF(F$1&gt;0,'Underlying Mechanics'!$B$12*'Underlying Mechanics'!$B$18,0)</x:f>
        <x:v>-20580</x:v>
      </x:c>
      <x:c r="G45" t="n">
        <x:f>((IF(G$1-'Underlying Mechanics'!$B$8&lt;0,0,'Underlying Mechanics'!$B$22*'Underlying Mechanics'!$B$15*INDEX('Underlying Mechanics'!$B$31:$B$51,G$1-'Underlying Mechanics'!$B$8+1)*'Underlying Mechanics'!$B$5))*(1-$A45))-IF(G$1=0,'Underlying Mechanics'!$B$23*(1-$B45),0)-IF(G$1&gt;0,'Underlying Mechanics'!$B$22*'Underlying Mechanics'!$B$17,0)-IF(G$1&gt;0,'Underlying Mechanics'!$B$12*'Underlying Mechanics'!$B$18,0)</x:f>
        <x:v>-17700</x:v>
      </x:c>
      <x:c r="H45" t="n">
        <x:f>((IF(H$1-'Underlying Mechanics'!$B$8&lt;0,0,'Underlying Mechanics'!$B$22*'Underlying Mechanics'!$B$15*INDEX('Underlying Mechanics'!$B$31:$B$51,H$1-'Underlying Mechanics'!$B$8+1)*'Underlying Mechanics'!$B$5))*(1-$A45))-IF(H$1=0,'Underlying Mechanics'!$B$23*(1-$B45),0)-IF(H$1&gt;0,'Underlying Mechanics'!$B$22*'Underlying Mechanics'!$B$17,0)-IF(H$1&gt;0,'Underlying Mechanics'!$B$12*'Underlying Mechanics'!$B$18,0)</x:f>
        <x:v>-12900</x:v>
      </x:c>
      <x:c r="I45" t="n">
        <x:f>((IF(I$1-'Underlying Mechanics'!$B$8&lt;0,0,'Underlying Mechanics'!$B$22*'Underlying Mechanics'!$B$15*INDEX('Underlying Mechanics'!$B$31:$B$51,I$1-'Underlying Mechanics'!$B$8+1)*'Underlying Mechanics'!$B$5))*(1-$A45))-IF(I$1=0,'Underlying Mechanics'!$B$23*(1-$B45),0)-IF(I$1&gt;0,'Underlying Mechanics'!$B$22*'Underlying Mechanics'!$B$17,0)-IF(I$1&gt;0,'Underlying Mechanics'!$B$12*'Underlying Mechanics'!$B$18,0)</x:f>
        <x:v>-5220</x:v>
      </x:c>
      <x:c r="J45" t="n">
        <x:f>((IF(J$1-'Underlying Mechanics'!$B$8&lt;0,0,'Underlying Mechanics'!$B$22*'Underlying Mechanics'!$B$15*INDEX('Underlying Mechanics'!$B$31:$B$51,J$1-'Underlying Mechanics'!$B$8+1)*'Underlying Mechanics'!$B$5))*(1-$A45))-IF(J$1=0,'Underlying Mechanics'!$B$23*(1-$B45),0)-IF(J$1&gt;0,'Underlying Mechanics'!$B$22*'Underlying Mechanics'!$B$17,0)-IF(J$1&gt;0,'Underlying Mechanics'!$B$12*'Underlying Mechanics'!$B$18,0)</x:f>
        <x:v>4380.000000000007</x:v>
      </x:c>
      <x:c r="K45" t="n">
        <x:f>((IF(K$1-'Underlying Mechanics'!$B$8&lt;0,0,'Underlying Mechanics'!$B$22*'Underlying Mechanics'!$B$15*INDEX('Underlying Mechanics'!$B$31:$B$51,K$1-'Underlying Mechanics'!$B$8+1)*'Underlying Mechanics'!$B$5))*(1-$A45))-IF(K$1=0,'Underlying Mechanics'!$B$23*(1-$B45),0)-IF(K$1&gt;0,'Underlying Mechanics'!$B$22*'Underlying Mechanics'!$B$17,0)-IF(K$1&gt;0,'Underlying Mechanics'!$B$12*'Underlying Mechanics'!$B$18,0)</x:f>
        <x:v>15900</x:v>
      </x:c>
      <x:c r="L45" t="n">
        <x:f>((IF(L$1-'Underlying Mechanics'!$B$8&lt;0,0,'Underlying Mechanics'!$B$22*'Underlying Mechanics'!$B$15*INDEX('Underlying Mechanics'!$B$31:$B$51,L$1-'Underlying Mechanics'!$B$8+1)*'Underlying Mechanics'!$B$5))*(1-$A45))-IF(L$1=0,'Underlying Mechanics'!$B$23*(1-$B45),0)-IF(L$1&gt;0,'Underlying Mechanics'!$B$22*'Underlying Mechanics'!$B$17,0)-IF(L$1&gt;0,'Underlying Mechanics'!$B$12*'Underlying Mechanics'!$B$18,0)</x:f>
        <x:v>29340</x:v>
      </x:c>
      <x:c r="M45" t="n">
        <x:f>((IF(M$1-'Underlying Mechanics'!$B$8&lt;0,0,'Underlying Mechanics'!$B$22*'Underlying Mechanics'!$B$15*INDEX('Underlying Mechanics'!$B$31:$B$51,M$1-'Underlying Mechanics'!$B$8+1)*'Underlying Mechanics'!$B$5))*(1-$A45))-IF(M$1=0,'Underlying Mechanics'!$B$23*(1-$B45),0)-IF(M$1&gt;0,'Underlying Mechanics'!$B$22*'Underlying Mechanics'!$B$17,0)-IF(M$1&gt;0,'Underlying Mechanics'!$B$12*'Underlying Mechanics'!$B$18,0)</x:f>
        <x:v>42780.000000000015</x:v>
      </x:c>
      <x:c r="N45" t="n">
        <x:f>((IF(N$1-'Underlying Mechanics'!$B$8&lt;0,0,'Underlying Mechanics'!$B$22*'Underlying Mechanics'!$B$15*INDEX('Underlying Mechanics'!$B$31:$B$51,N$1-'Underlying Mechanics'!$B$8+1)*'Underlying Mechanics'!$B$5))*(1-$A45))-IF(N$1=0,'Underlying Mechanics'!$B$23*(1-$B45),0)-IF(N$1&gt;0,'Underlying Mechanics'!$B$22*'Underlying Mechanics'!$B$17,0)-IF(N$1&gt;0,'Underlying Mechanics'!$B$12*'Underlying Mechanics'!$B$18,0)</x:f>
        <x:v>54300</x:v>
      </x:c>
      <x:c r="O45" t="n">
        <x:f>((IF(O$1-'Underlying Mechanics'!$B$8&lt;0,0,'Underlying Mechanics'!$B$22*'Underlying Mechanics'!$B$15*INDEX('Underlying Mechanics'!$B$31:$B$51,O$1-'Underlying Mechanics'!$B$8+1)*'Underlying Mechanics'!$B$5))*(1-$A45))-IF(O$1=0,'Underlying Mechanics'!$B$23*(1-$B45),0)-IF(O$1&gt;0,'Underlying Mechanics'!$B$22*'Underlying Mechanics'!$B$17,0)-IF(O$1&gt;0,'Underlying Mechanics'!$B$12*'Underlying Mechanics'!$B$18,0)</x:f>
        <x:v>63900</x:v>
      </x:c>
      <x:c r="P45" t="n">
        <x:f>((IF(P$1-'Underlying Mechanics'!$B$8&lt;0,0,'Underlying Mechanics'!$B$22*'Underlying Mechanics'!$B$15*INDEX('Underlying Mechanics'!$B$31:$B$51,P$1-'Underlying Mechanics'!$B$8+1)*'Underlying Mechanics'!$B$5))*(1-$A45))-IF(P$1=0,'Underlying Mechanics'!$B$23*(1-$B45),0)-IF(P$1&gt;0,'Underlying Mechanics'!$B$22*'Underlying Mechanics'!$B$17,0)-IF(P$1&gt;0,'Underlying Mechanics'!$B$12*'Underlying Mechanics'!$B$18,0)</x:f>
        <x:v>73500</x:v>
      </x:c>
      <x:c r="Q45" t="n">
        <x:f>((IF(Q$1-'Underlying Mechanics'!$B$8&lt;0,0,'Underlying Mechanics'!$B$22*'Underlying Mechanics'!$B$15*INDEX('Underlying Mechanics'!$B$31:$B$51,Q$1-'Underlying Mechanics'!$B$8+1)*'Underlying Mechanics'!$B$5))*(1-$A45))-IF(Q$1=0,'Underlying Mechanics'!$B$23*(1-$B45),0)-IF(Q$1&gt;0,'Underlying Mechanics'!$B$22*'Underlying Mechanics'!$B$17,0)-IF(Q$1&gt;0,'Underlying Mechanics'!$B$12*'Underlying Mechanics'!$B$18,0)</x:f>
        <x:v>73500</x:v>
      </x:c>
      <x:c r="R45" t="n">
        <x:f>((IF(R$1-'Underlying Mechanics'!$B$8&lt;0,0,'Underlying Mechanics'!$B$22*'Underlying Mechanics'!$B$15*INDEX('Underlying Mechanics'!$B$31:$B$51,R$1-'Underlying Mechanics'!$B$8+1)*'Underlying Mechanics'!$B$5))*(1-$A45))-IF(R$1=0,'Underlying Mechanics'!$B$23*(1-$B45),0)-IF(R$1&gt;0,'Underlying Mechanics'!$B$22*'Underlying Mechanics'!$B$17,0)-IF(R$1&gt;0,'Underlying Mechanics'!$B$12*'Underlying Mechanics'!$B$18,0)</x:f>
        <x:v>73500</x:v>
      </x:c>
      <x:c r="S45" t="n">
        <x:f>((IF(S$1-'Underlying Mechanics'!$B$8&lt;0,0,'Underlying Mechanics'!$B$22*'Underlying Mechanics'!$B$15*INDEX('Underlying Mechanics'!$B$31:$B$51,S$1-'Underlying Mechanics'!$B$8+1)*'Underlying Mechanics'!$B$5))*(1-$A45))-IF(S$1=0,'Underlying Mechanics'!$B$23*(1-$B45),0)-IF(S$1&gt;0,'Underlying Mechanics'!$B$22*'Underlying Mechanics'!$B$17,0)-IF(S$1&gt;0,'Underlying Mechanics'!$B$12*'Underlying Mechanics'!$B$18,0)</x:f>
        <x:v>73500</x:v>
      </x:c>
      <x:c r="T45" t="n">
        <x:f>((IF(T$1-'Underlying Mechanics'!$B$8&lt;0,0,'Underlying Mechanics'!$B$22*'Underlying Mechanics'!$B$15*INDEX('Underlying Mechanics'!$B$31:$B$51,T$1-'Underlying Mechanics'!$B$8+1)*'Underlying Mechanics'!$B$5))*(1-$A45))-IF(T$1=0,'Underlying Mechanics'!$B$23*(1-$B45),0)-IF(T$1&gt;0,'Underlying Mechanics'!$B$22*'Underlying Mechanics'!$B$17,0)-IF(T$1&gt;0,'Underlying Mechanics'!$B$12*'Underlying Mechanics'!$B$18,0)</x:f>
        <x:v>73500</x:v>
      </x:c>
      <x:c r="U45" t="n">
        <x:f>((IF(U$1-'Underlying Mechanics'!$B$8&lt;0,0,'Underlying Mechanics'!$B$22*'Underlying Mechanics'!$B$15*INDEX('Underlying Mechanics'!$B$31:$B$51,U$1-'Underlying Mechanics'!$B$8+1)*'Underlying Mechanics'!$B$5))*(1-$A45))-IF(U$1=0,'Underlying Mechanics'!$B$23*(1-$B45),0)-IF(U$1&gt;0,'Underlying Mechanics'!$B$22*'Underlying Mechanics'!$B$17,0)-IF(U$1&gt;0,'Underlying Mechanics'!$B$12*'Underlying Mechanics'!$B$18,0)</x:f>
        <x:v>73500</x:v>
      </x:c>
      <x:c r="V45" t="n">
        <x:f>((IF(V$1-'Underlying Mechanics'!$B$8&lt;0,0,'Underlying Mechanics'!$B$22*'Underlying Mechanics'!$B$15*INDEX('Underlying Mechanics'!$B$31:$B$51,V$1-'Underlying Mechanics'!$B$8+1)*'Underlying Mechanics'!$B$5))*(1-$A45))-IF(V$1=0,'Underlying Mechanics'!$B$23*(1-$B45),0)-IF(V$1&gt;0,'Underlying Mechanics'!$B$22*'Underlying Mechanics'!$B$17,0)-IF(V$1&gt;0,'Underlying Mechanics'!$B$12*'Underlying Mechanics'!$B$18,0)</x:f>
        <x:v>73500</x:v>
      </x:c>
      <x:c r="W45" t="n">
        <x:f>((IF(W$1-'Underlying Mechanics'!$B$8&lt;0,0,'Underlying Mechanics'!$B$22*'Underlying Mechanics'!$B$15*INDEX('Underlying Mechanics'!$B$31:$B$51,W$1-'Underlying Mechanics'!$B$8+1)*'Underlying Mechanics'!$B$5))*(1-$A45))-IF(W$1=0,'Underlying Mechanics'!$B$23*(1-$B45),0)-IF(W$1&gt;0,'Underlying Mechanics'!$B$22*'Underlying Mechanics'!$B$17,0)-IF(W$1&gt;0,'Underlying Mechanics'!$B$12*'Underlying Mechanics'!$B$18,0)</x:f>
        <x:v>73500</x:v>
      </x:c>
      <x:c r="X45" t="n">
        <x:f>IFERROR(IRR(C45:W45),-1)</x:f>
        <x:v>0.09311281102079164</x:v>
      </x:c>
    </x:row>
    <x:row r="46">
      <x:c r="A46" t="n">
        <x:v>0.2</x:v>
      </x:c>
      <x:c r="B46" t="n">
        <x:v>0.1</x:v>
      </x:c>
      <x:c r="C46" t="n">
        <x:f>((IF(C$1-'Underlying Mechanics'!$B$8&lt;0,0,'Underlying Mechanics'!$B$22*'Underlying Mechanics'!$B$15*INDEX('Underlying Mechanics'!$B$31:$B$51,C$1-'Underlying Mechanics'!$B$8+1)*'Underlying Mechanics'!$B$5))*(1-$A46))-IF(C$1=0,'Underlying Mechanics'!$B$23*(1-$B46),0)-IF(C$1&gt;0,'Underlying Mechanics'!$B$22*'Underlying Mechanics'!$B$17,0)-IF(C$1&gt;0,'Underlying Mechanics'!$B$12*'Underlying Mechanics'!$B$18,0)</x:f>
        <x:v>-135000</x:v>
      </x:c>
      <x:c r="D46" t="n">
        <x:f>((IF(D$1-'Underlying Mechanics'!$B$8&lt;0,0,'Underlying Mechanics'!$B$22*'Underlying Mechanics'!$B$15*INDEX('Underlying Mechanics'!$B$31:$B$51,D$1-'Underlying Mechanics'!$B$8+1)*'Underlying Mechanics'!$B$5))*(1-$A46))-IF(D$1=0,'Underlying Mechanics'!$B$23*(1-$B46),0)-IF(D$1&gt;0,'Underlying Mechanics'!$B$22*'Underlying Mechanics'!$B$17,0)-IF(D$1&gt;0,'Underlying Mechanics'!$B$12*'Underlying Mechanics'!$B$18,0)</x:f>
        <x:v>-22500</x:v>
      </x:c>
      <x:c r="E46" t="n">
        <x:f>((IF(E$1-'Underlying Mechanics'!$B$8&lt;0,0,'Underlying Mechanics'!$B$22*'Underlying Mechanics'!$B$15*INDEX('Underlying Mechanics'!$B$31:$B$51,E$1-'Underlying Mechanics'!$B$8+1)*'Underlying Mechanics'!$B$5))*(1-$A46))-IF(E$1=0,'Underlying Mechanics'!$B$23*(1-$B46),0)-IF(E$1&gt;0,'Underlying Mechanics'!$B$22*'Underlying Mechanics'!$B$17,0)-IF(E$1&gt;0,'Underlying Mechanics'!$B$12*'Underlying Mechanics'!$B$18,0)</x:f>
        <x:v>-22500</x:v>
      </x:c>
      <x:c r="F46" t="n">
        <x:f>((IF(F$1-'Underlying Mechanics'!$B$8&lt;0,0,'Underlying Mechanics'!$B$22*'Underlying Mechanics'!$B$15*INDEX('Underlying Mechanics'!$B$31:$B$51,F$1-'Underlying Mechanics'!$B$8+1)*'Underlying Mechanics'!$B$5))*(1-$A46))-IF(F$1=0,'Underlying Mechanics'!$B$23*(1-$B46),0)-IF(F$1&gt;0,'Underlying Mechanics'!$B$22*'Underlying Mechanics'!$B$17,0)-IF(F$1&gt;0,'Underlying Mechanics'!$B$12*'Underlying Mechanics'!$B$18,0)</x:f>
        <x:v>-20580</x:v>
      </x:c>
      <x:c r="G46" t="n">
        <x:f>((IF(G$1-'Underlying Mechanics'!$B$8&lt;0,0,'Underlying Mechanics'!$B$22*'Underlying Mechanics'!$B$15*INDEX('Underlying Mechanics'!$B$31:$B$51,G$1-'Underlying Mechanics'!$B$8+1)*'Underlying Mechanics'!$B$5))*(1-$A46))-IF(G$1=0,'Underlying Mechanics'!$B$23*(1-$B46),0)-IF(G$1&gt;0,'Underlying Mechanics'!$B$22*'Underlying Mechanics'!$B$17,0)-IF(G$1&gt;0,'Underlying Mechanics'!$B$12*'Underlying Mechanics'!$B$18,0)</x:f>
        <x:v>-17700</x:v>
      </x:c>
      <x:c r="H46" t="n">
        <x:f>((IF(H$1-'Underlying Mechanics'!$B$8&lt;0,0,'Underlying Mechanics'!$B$22*'Underlying Mechanics'!$B$15*INDEX('Underlying Mechanics'!$B$31:$B$51,H$1-'Underlying Mechanics'!$B$8+1)*'Underlying Mechanics'!$B$5))*(1-$A46))-IF(H$1=0,'Underlying Mechanics'!$B$23*(1-$B46),0)-IF(H$1&gt;0,'Underlying Mechanics'!$B$22*'Underlying Mechanics'!$B$17,0)-IF(H$1&gt;0,'Underlying Mechanics'!$B$12*'Underlying Mechanics'!$B$18,0)</x:f>
        <x:v>-12900</x:v>
      </x:c>
      <x:c r="I46" t="n">
        <x:f>((IF(I$1-'Underlying Mechanics'!$B$8&lt;0,0,'Underlying Mechanics'!$B$22*'Underlying Mechanics'!$B$15*INDEX('Underlying Mechanics'!$B$31:$B$51,I$1-'Underlying Mechanics'!$B$8+1)*'Underlying Mechanics'!$B$5))*(1-$A46))-IF(I$1=0,'Underlying Mechanics'!$B$23*(1-$B46),0)-IF(I$1&gt;0,'Underlying Mechanics'!$B$22*'Underlying Mechanics'!$B$17,0)-IF(I$1&gt;0,'Underlying Mechanics'!$B$12*'Underlying Mechanics'!$B$18,0)</x:f>
        <x:v>-5220</x:v>
      </x:c>
      <x:c r="J46" t="n">
        <x:f>((IF(J$1-'Underlying Mechanics'!$B$8&lt;0,0,'Underlying Mechanics'!$B$22*'Underlying Mechanics'!$B$15*INDEX('Underlying Mechanics'!$B$31:$B$51,J$1-'Underlying Mechanics'!$B$8+1)*'Underlying Mechanics'!$B$5))*(1-$A46))-IF(J$1=0,'Underlying Mechanics'!$B$23*(1-$B46),0)-IF(J$1&gt;0,'Underlying Mechanics'!$B$22*'Underlying Mechanics'!$B$17,0)-IF(J$1&gt;0,'Underlying Mechanics'!$B$12*'Underlying Mechanics'!$B$18,0)</x:f>
        <x:v>4380.000000000007</x:v>
      </x:c>
      <x:c r="K46" t="n">
        <x:f>((IF(K$1-'Underlying Mechanics'!$B$8&lt;0,0,'Underlying Mechanics'!$B$22*'Underlying Mechanics'!$B$15*INDEX('Underlying Mechanics'!$B$31:$B$51,K$1-'Underlying Mechanics'!$B$8+1)*'Underlying Mechanics'!$B$5))*(1-$A46))-IF(K$1=0,'Underlying Mechanics'!$B$23*(1-$B46),0)-IF(K$1&gt;0,'Underlying Mechanics'!$B$22*'Underlying Mechanics'!$B$17,0)-IF(K$1&gt;0,'Underlying Mechanics'!$B$12*'Underlying Mechanics'!$B$18,0)</x:f>
        <x:v>15900</x:v>
      </x:c>
      <x:c r="L46" t="n">
        <x:f>((IF(L$1-'Underlying Mechanics'!$B$8&lt;0,0,'Underlying Mechanics'!$B$22*'Underlying Mechanics'!$B$15*INDEX('Underlying Mechanics'!$B$31:$B$51,L$1-'Underlying Mechanics'!$B$8+1)*'Underlying Mechanics'!$B$5))*(1-$A46))-IF(L$1=0,'Underlying Mechanics'!$B$23*(1-$B46),0)-IF(L$1&gt;0,'Underlying Mechanics'!$B$22*'Underlying Mechanics'!$B$17,0)-IF(L$1&gt;0,'Underlying Mechanics'!$B$12*'Underlying Mechanics'!$B$18,0)</x:f>
        <x:v>29340</x:v>
      </x:c>
      <x:c r="M46" t="n">
        <x:f>((IF(M$1-'Underlying Mechanics'!$B$8&lt;0,0,'Underlying Mechanics'!$B$22*'Underlying Mechanics'!$B$15*INDEX('Underlying Mechanics'!$B$31:$B$51,M$1-'Underlying Mechanics'!$B$8+1)*'Underlying Mechanics'!$B$5))*(1-$A46))-IF(M$1=0,'Underlying Mechanics'!$B$23*(1-$B46),0)-IF(M$1&gt;0,'Underlying Mechanics'!$B$22*'Underlying Mechanics'!$B$17,0)-IF(M$1&gt;0,'Underlying Mechanics'!$B$12*'Underlying Mechanics'!$B$18,0)</x:f>
        <x:v>42780.000000000015</x:v>
      </x:c>
      <x:c r="N46" t="n">
        <x:f>((IF(N$1-'Underlying Mechanics'!$B$8&lt;0,0,'Underlying Mechanics'!$B$22*'Underlying Mechanics'!$B$15*INDEX('Underlying Mechanics'!$B$31:$B$51,N$1-'Underlying Mechanics'!$B$8+1)*'Underlying Mechanics'!$B$5))*(1-$A46))-IF(N$1=0,'Underlying Mechanics'!$B$23*(1-$B46),0)-IF(N$1&gt;0,'Underlying Mechanics'!$B$22*'Underlying Mechanics'!$B$17,0)-IF(N$1&gt;0,'Underlying Mechanics'!$B$12*'Underlying Mechanics'!$B$18,0)</x:f>
        <x:v>54300</x:v>
      </x:c>
      <x:c r="O46" t="n">
        <x:f>((IF(O$1-'Underlying Mechanics'!$B$8&lt;0,0,'Underlying Mechanics'!$B$22*'Underlying Mechanics'!$B$15*INDEX('Underlying Mechanics'!$B$31:$B$51,O$1-'Underlying Mechanics'!$B$8+1)*'Underlying Mechanics'!$B$5))*(1-$A46))-IF(O$1=0,'Underlying Mechanics'!$B$23*(1-$B46),0)-IF(O$1&gt;0,'Underlying Mechanics'!$B$22*'Underlying Mechanics'!$B$17,0)-IF(O$1&gt;0,'Underlying Mechanics'!$B$12*'Underlying Mechanics'!$B$18,0)</x:f>
        <x:v>63900</x:v>
      </x:c>
      <x:c r="P46" t="n">
        <x:f>((IF(P$1-'Underlying Mechanics'!$B$8&lt;0,0,'Underlying Mechanics'!$B$22*'Underlying Mechanics'!$B$15*INDEX('Underlying Mechanics'!$B$31:$B$51,P$1-'Underlying Mechanics'!$B$8+1)*'Underlying Mechanics'!$B$5))*(1-$A46))-IF(P$1=0,'Underlying Mechanics'!$B$23*(1-$B46),0)-IF(P$1&gt;0,'Underlying Mechanics'!$B$22*'Underlying Mechanics'!$B$17,0)-IF(P$1&gt;0,'Underlying Mechanics'!$B$12*'Underlying Mechanics'!$B$18,0)</x:f>
        <x:v>73500</x:v>
      </x:c>
      <x:c r="Q46" t="n">
        <x:f>((IF(Q$1-'Underlying Mechanics'!$B$8&lt;0,0,'Underlying Mechanics'!$B$22*'Underlying Mechanics'!$B$15*INDEX('Underlying Mechanics'!$B$31:$B$51,Q$1-'Underlying Mechanics'!$B$8+1)*'Underlying Mechanics'!$B$5))*(1-$A46))-IF(Q$1=0,'Underlying Mechanics'!$B$23*(1-$B46),0)-IF(Q$1&gt;0,'Underlying Mechanics'!$B$22*'Underlying Mechanics'!$B$17,0)-IF(Q$1&gt;0,'Underlying Mechanics'!$B$12*'Underlying Mechanics'!$B$18,0)</x:f>
        <x:v>73500</x:v>
      </x:c>
      <x:c r="R46" t="n">
        <x:f>((IF(R$1-'Underlying Mechanics'!$B$8&lt;0,0,'Underlying Mechanics'!$B$22*'Underlying Mechanics'!$B$15*INDEX('Underlying Mechanics'!$B$31:$B$51,R$1-'Underlying Mechanics'!$B$8+1)*'Underlying Mechanics'!$B$5))*(1-$A46))-IF(R$1=0,'Underlying Mechanics'!$B$23*(1-$B46),0)-IF(R$1&gt;0,'Underlying Mechanics'!$B$22*'Underlying Mechanics'!$B$17,0)-IF(R$1&gt;0,'Underlying Mechanics'!$B$12*'Underlying Mechanics'!$B$18,0)</x:f>
        <x:v>73500</x:v>
      </x:c>
      <x:c r="S46" t="n">
        <x:f>((IF(S$1-'Underlying Mechanics'!$B$8&lt;0,0,'Underlying Mechanics'!$B$22*'Underlying Mechanics'!$B$15*INDEX('Underlying Mechanics'!$B$31:$B$51,S$1-'Underlying Mechanics'!$B$8+1)*'Underlying Mechanics'!$B$5))*(1-$A46))-IF(S$1=0,'Underlying Mechanics'!$B$23*(1-$B46),0)-IF(S$1&gt;0,'Underlying Mechanics'!$B$22*'Underlying Mechanics'!$B$17,0)-IF(S$1&gt;0,'Underlying Mechanics'!$B$12*'Underlying Mechanics'!$B$18,0)</x:f>
        <x:v>73500</x:v>
      </x:c>
      <x:c r="T46" t="n">
        <x:f>((IF(T$1-'Underlying Mechanics'!$B$8&lt;0,0,'Underlying Mechanics'!$B$22*'Underlying Mechanics'!$B$15*INDEX('Underlying Mechanics'!$B$31:$B$51,T$1-'Underlying Mechanics'!$B$8+1)*'Underlying Mechanics'!$B$5))*(1-$A46))-IF(T$1=0,'Underlying Mechanics'!$B$23*(1-$B46),0)-IF(T$1&gt;0,'Underlying Mechanics'!$B$22*'Underlying Mechanics'!$B$17,0)-IF(T$1&gt;0,'Underlying Mechanics'!$B$12*'Underlying Mechanics'!$B$18,0)</x:f>
        <x:v>73500</x:v>
      </x:c>
      <x:c r="U46" t="n">
        <x:f>((IF(U$1-'Underlying Mechanics'!$B$8&lt;0,0,'Underlying Mechanics'!$B$22*'Underlying Mechanics'!$B$15*INDEX('Underlying Mechanics'!$B$31:$B$51,U$1-'Underlying Mechanics'!$B$8+1)*'Underlying Mechanics'!$B$5))*(1-$A46))-IF(U$1=0,'Underlying Mechanics'!$B$23*(1-$B46),0)-IF(U$1&gt;0,'Underlying Mechanics'!$B$22*'Underlying Mechanics'!$B$17,0)-IF(U$1&gt;0,'Underlying Mechanics'!$B$12*'Underlying Mechanics'!$B$18,0)</x:f>
        <x:v>73500</x:v>
      </x:c>
      <x:c r="V46" t="n">
        <x:f>((IF(V$1-'Underlying Mechanics'!$B$8&lt;0,0,'Underlying Mechanics'!$B$22*'Underlying Mechanics'!$B$15*INDEX('Underlying Mechanics'!$B$31:$B$51,V$1-'Underlying Mechanics'!$B$8+1)*'Underlying Mechanics'!$B$5))*(1-$A46))-IF(V$1=0,'Underlying Mechanics'!$B$23*(1-$B46),0)-IF(V$1&gt;0,'Underlying Mechanics'!$B$22*'Underlying Mechanics'!$B$17,0)-IF(V$1&gt;0,'Underlying Mechanics'!$B$12*'Underlying Mechanics'!$B$18,0)</x:f>
        <x:v>73500</x:v>
      </x:c>
      <x:c r="W46" t="n">
        <x:f>((IF(W$1-'Underlying Mechanics'!$B$8&lt;0,0,'Underlying Mechanics'!$B$22*'Underlying Mechanics'!$B$15*INDEX('Underlying Mechanics'!$B$31:$B$51,W$1-'Underlying Mechanics'!$B$8+1)*'Underlying Mechanics'!$B$5))*(1-$A46))-IF(W$1=0,'Underlying Mechanics'!$B$23*(1-$B46),0)-IF(W$1&gt;0,'Underlying Mechanics'!$B$22*'Underlying Mechanics'!$B$17,0)-IF(W$1&gt;0,'Underlying Mechanics'!$B$12*'Underlying Mechanics'!$B$18,0)</x:f>
        <x:v>73500</x:v>
      </x:c>
      <x:c r="X46" t="n">
        <x:f>IFERROR(IRR(C46:W46),-1)</x:f>
        <x:v>0.09604169035934398</x:v>
      </x:c>
    </x:row>
    <x:row r="47">
      <x:c r="A47" t="n">
        <x:v>0.2</x:v>
      </x:c>
      <x:c r="B47" t="n">
        <x:v>0.15</x:v>
      </x:c>
      <x:c r="C47" t="n">
        <x:f>((IF(C$1-'Underlying Mechanics'!$B$8&lt;0,0,'Underlying Mechanics'!$B$22*'Underlying Mechanics'!$B$15*INDEX('Underlying Mechanics'!$B$31:$B$51,C$1-'Underlying Mechanics'!$B$8+1)*'Underlying Mechanics'!$B$5))*(1-$A47))-IF(C$1=0,'Underlying Mechanics'!$B$23*(1-$B47),0)-IF(C$1&gt;0,'Underlying Mechanics'!$B$22*'Underlying Mechanics'!$B$17,0)-IF(C$1&gt;0,'Underlying Mechanics'!$B$12*'Underlying Mechanics'!$B$18,0)</x:f>
        <x:v>-127500</x:v>
      </x:c>
      <x:c r="D47" t="n">
        <x:f>((IF(D$1-'Underlying Mechanics'!$B$8&lt;0,0,'Underlying Mechanics'!$B$22*'Underlying Mechanics'!$B$15*INDEX('Underlying Mechanics'!$B$31:$B$51,D$1-'Underlying Mechanics'!$B$8+1)*'Underlying Mechanics'!$B$5))*(1-$A47))-IF(D$1=0,'Underlying Mechanics'!$B$23*(1-$B47),0)-IF(D$1&gt;0,'Underlying Mechanics'!$B$22*'Underlying Mechanics'!$B$17,0)-IF(D$1&gt;0,'Underlying Mechanics'!$B$12*'Underlying Mechanics'!$B$18,0)</x:f>
        <x:v>-22500</x:v>
      </x:c>
      <x:c r="E47" t="n">
        <x:f>((IF(E$1-'Underlying Mechanics'!$B$8&lt;0,0,'Underlying Mechanics'!$B$22*'Underlying Mechanics'!$B$15*INDEX('Underlying Mechanics'!$B$31:$B$51,E$1-'Underlying Mechanics'!$B$8+1)*'Underlying Mechanics'!$B$5))*(1-$A47))-IF(E$1=0,'Underlying Mechanics'!$B$23*(1-$B47),0)-IF(E$1&gt;0,'Underlying Mechanics'!$B$22*'Underlying Mechanics'!$B$17,0)-IF(E$1&gt;0,'Underlying Mechanics'!$B$12*'Underlying Mechanics'!$B$18,0)</x:f>
        <x:v>-22500</x:v>
      </x:c>
      <x:c r="F47" t="n">
        <x:f>((IF(F$1-'Underlying Mechanics'!$B$8&lt;0,0,'Underlying Mechanics'!$B$22*'Underlying Mechanics'!$B$15*INDEX('Underlying Mechanics'!$B$31:$B$51,F$1-'Underlying Mechanics'!$B$8+1)*'Underlying Mechanics'!$B$5))*(1-$A47))-IF(F$1=0,'Underlying Mechanics'!$B$23*(1-$B47),0)-IF(F$1&gt;0,'Underlying Mechanics'!$B$22*'Underlying Mechanics'!$B$17,0)-IF(F$1&gt;0,'Underlying Mechanics'!$B$12*'Underlying Mechanics'!$B$18,0)</x:f>
        <x:v>-20580</x:v>
      </x:c>
      <x:c r="G47" t="n">
        <x:f>((IF(G$1-'Underlying Mechanics'!$B$8&lt;0,0,'Underlying Mechanics'!$B$22*'Underlying Mechanics'!$B$15*INDEX('Underlying Mechanics'!$B$31:$B$51,G$1-'Underlying Mechanics'!$B$8+1)*'Underlying Mechanics'!$B$5))*(1-$A47))-IF(G$1=0,'Underlying Mechanics'!$B$23*(1-$B47),0)-IF(G$1&gt;0,'Underlying Mechanics'!$B$22*'Underlying Mechanics'!$B$17,0)-IF(G$1&gt;0,'Underlying Mechanics'!$B$12*'Underlying Mechanics'!$B$18,0)</x:f>
        <x:v>-17700</x:v>
      </x:c>
      <x:c r="H47" t="n">
        <x:f>((IF(H$1-'Underlying Mechanics'!$B$8&lt;0,0,'Underlying Mechanics'!$B$22*'Underlying Mechanics'!$B$15*INDEX('Underlying Mechanics'!$B$31:$B$51,H$1-'Underlying Mechanics'!$B$8+1)*'Underlying Mechanics'!$B$5))*(1-$A47))-IF(H$1=0,'Underlying Mechanics'!$B$23*(1-$B47),0)-IF(H$1&gt;0,'Underlying Mechanics'!$B$22*'Underlying Mechanics'!$B$17,0)-IF(H$1&gt;0,'Underlying Mechanics'!$B$12*'Underlying Mechanics'!$B$18,0)</x:f>
        <x:v>-12900</x:v>
      </x:c>
      <x:c r="I47" t="n">
        <x:f>((IF(I$1-'Underlying Mechanics'!$B$8&lt;0,0,'Underlying Mechanics'!$B$22*'Underlying Mechanics'!$B$15*INDEX('Underlying Mechanics'!$B$31:$B$51,I$1-'Underlying Mechanics'!$B$8+1)*'Underlying Mechanics'!$B$5))*(1-$A47))-IF(I$1=0,'Underlying Mechanics'!$B$23*(1-$B47),0)-IF(I$1&gt;0,'Underlying Mechanics'!$B$22*'Underlying Mechanics'!$B$17,0)-IF(I$1&gt;0,'Underlying Mechanics'!$B$12*'Underlying Mechanics'!$B$18,0)</x:f>
        <x:v>-5220</x:v>
      </x:c>
      <x:c r="J47" t="n">
        <x:f>((IF(J$1-'Underlying Mechanics'!$B$8&lt;0,0,'Underlying Mechanics'!$B$22*'Underlying Mechanics'!$B$15*INDEX('Underlying Mechanics'!$B$31:$B$51,J$1-'Underlying Mechanics'!$B$8+1)*'Underlying Mechanics'!$B$5))*(1-$A47))-IF(J$1=0,'Underlying Mechanics'!$B$23*(1-$B47),0)-IF(J$1&gt;0,'Underlying Mechanics'!$B$22*'Underlying Mechanics'!$B$17,0)-IF(J$1&gt;0,'Underlying Mechanics'!$B$12*'Underlying Mechanics'!$B$18,0)</x:f>
        <x:v>4380.000000000007</x:v>
      </x:c>
      <x:c r="K47" t="n">
        <x:f>((IF(K$1-'Underlying Mechanics'!$B$8&lt;0,0,'Underlying Mechanics'!$B$22*'Underlying Mechanics'!$B$15*INDEX('Underlying Mechanics'!$B$31:$B$51,K$1-'Underlying Mechanics'!$B$8+1)*'Underlying Mechanics'!$B$5))*(1-$A47))-IF(K$1=0,'Underlying Mechanics'!$B$23*(1-$B47),0)-IF(K$1&gt;0,'Underlying Mechanics'!$B$22*'Underlying Mechanics'!$B$17,0)-IF(K$1&gt;0,'Underlying Mechanics'!$B$12*'Underlying Mechanics'!$B$18,0)</x:f>
        <x:v>15900</x:v>
      </x:c>
      <x:c r="L47" t="n">
        <x:f>((IF(L$1-'Underlying Mechanics'!$B$8&lt;0,0,'Underlying Mechanics'!$B$22*'Underlying Mechanics'!$B$15*INDEX('Underlying Mechanics'!$B$31:$B$51,L$1-'Underlying Mechanics'!$B$8+1)*'Underlying Mechanics'!$B$5))*(1-$A47))-IF(L$1=0,'Underlying Mechanics'!$B$23*(1-$B47),0)-IF(L$1&gt;0,'Underlying Mechanics'!$B$22*'Underlying Mechanics'!$B$17,0)-IF(L$1&gt;0,'Underlying Mechanics'!$B$12*'Underlying Mechanics'!$B$18,0)</x:f>
        <x:v>29340</x:v>
      </x:c>
      <x:c r="M47" t="n">
        <x:f>((IF(M$1-'Underlying Mechanics'!$B$8&lt;0,0,'Underlying Mechanics'!$B$22*'Underlying Mechanics'!$B$15*INDEX('Underlying Mechanics'!$B$31:$B$51,M$1-'Underlying Mechanics'!$B$8+1)*'Underlying Mechanics'!$B$5))*(1-$A47))-IF(M$1=0,'Underlying Mechanics'!$B$23*(1-$B47),0)-IF(M$1&gt;0,'Underlying Mechanics'!$B$22*'Underlying Mechanics'!$B$17,0)-IF(M$1&gt;0,'Underlying Mechanics'!$B$12*'Underlying Mechanics'!$B$18,0)</x:f>
        <x:v>42780.000000000015</x:v>
      </x:c>
      <x:c r="N47" t="n">
        <x:f>((IF(N$1-'Underlying Mechanics'!$B$8&lt;0,0,'Underlying Mechanics'!$B$22*'Underlying Mechanics'!$B$15*INDEX('Underlying Mechanics'!$B$31:$B$51,N$1-'Underlying Mechanics'!$B$8+1)*'Underlying Mechanics'!$B$5))*(1-$A47))-IF(N$1=0,'Underlying Mechanics'!$B$23*(1-$B47),0)-IF(N$1&gt;0,'Underlying Mechanics'!$B$22*'Underlying Mechanics'!$B$17,0)-IF(N$1&gt;0,'Underlying Mechanics'!$B$12*'Underlying Mechanics'!$B$18,0)</x:f>
        <x:v>54300</x:v>
      </x:c>
      <x:c r="O47" t="n">
        <x:f>((IF(O$1-'Underlying Mechanics'!$B$8&lt;0,0,'Underlying Mechanics'!$B$22*'Underlying Mechanics'!$B$15*INDEX('Underlying Mechanics'!$B$31:$B$51,O$1-'Underlying Mechanics'!$B$8+1)*'Underlying Mechanics'!$B$5))*(1-$A47))-IF(O$1=0,'Underlying Mechanics'!$B$23*(1-$B47),0)-IF(O$1&gt;0,'Underlying Mechanics'!$B$22*'Underlying Mechanics'!$B$17,0)-IF(O$1&gt;0,'Underlying Mechanics'!$B$12*'Underlying Mechanics'!$B$18,0)</x:f>
        <x:v>63900</x:v>
      </x:c>
      <x:c r="P47" t="n">
        <x:f>((IF(P$1-'Underlying Mechanics'!$B$8&lt;0,0,'Underlying Mechanics'!$B$22*'Underlying Mechanics'!$B$15*INDEX('Underlying Mechanics'!$B$31:$B$51,P$1-'Underlying Mechanics'!$B$8+1)*'Underlying Mechanics'!$B$5))*(1-$A47))-IF(P$1=0,'Underlying Mechanics'!$B$23*(1-$B47),0)-IF(P$1&gt;0,'Underlying Mechanics'!$B$22*'Underlying Mechanics'!$B$17,0)-IF(P$1&gt;0,'Underlying Mechanics'!$B$12*'Underlying Mechanics'!$B$18,0)</x:f>
        <x:v>73500</x:v>
      </x:c>
      <x:c r="Q47" t="n">
        <x:f>((IF(Q$1-'Underlying Mechanics'!$B$8&lt;0,0,'Underlying Mechanics'!$B$22*'Underlying Mechanics'!$B$15*INDEX('Underlying Mechanics'!$B$31:$B$51,Q$1-'Underlying Mechanics'!$B$8+1)*'Underlying Mechanics'!$B$5))*(1-$A47))-IF(Q$1=0,'Underlying Mechanics'!$B$23*(1-$B47),0)-IF(Q$1&gt;0,'Underlying Mechanics'!$B$22*'Underlying Mechanics'!$B$17,0)-IF(Q$1&gt;0,'Underlying Mechanics'!$B$12*'Underlying Mechanics'!$B$18,0)</x:f>
        <x:v>73500</x:v>
      </x:c>
      <x:c r="R47" t="n">
        <x:f>((IF(R$1-'Underlying Mechanics'!$B$8&lt;0,0,'Underlying Mechanics'!$B$22*'Underlying Mechanics'!$B$15*INDEX('Underlying Mechanics'!$B$31:$B$51,R$1-'Underlying Mechanics'!$B$8+1)*'Underlying Mechanics'!$B$5))*(1-$A47))-IF(R$1=0,'Underlying Mechanics'!$B$23*(1-$B47),0)-IF(R$1&gt;0,'Underlying Mechanics'!$B$22*'Underlying Mechanics'!$B$17,0)-IF(R$1&gt;0,'Underlying Mechanics'!$B$12*'Underlying Mechanics'!$B$18,0)</x:f>
        <x:v>73500</x:v>
      </x:c>
      <x:c r="S47" t="n">
        <x:f>((IF(S$1-'Underlying Mechanics'!$B$8&lt;0,0,'Underlying Mechanics'!$B$22*'Underlying Mechanics'!$B$15*INDEX('Underlying Mechanics'!$B$31:$B$51,S$1-'Underlying Mechanics'!$B$8+1)*'Underlying Mechanics'!$B$5))*(1-$A47))-IF(S$1=0,'Underlying Mechanics'!$B$23*(1-$B47),0)-IF(S$1&gt;0,'Underlying Mechanics'!$B$22*'Underlying Mechanics'!$B$17,0)-IF(S$1&gt;0,'Underlying Mechanics'!$B$12*'Underlying Mechanics'!$B$18,0)</x:f>
        <x:v>73500</x:v>
      </x:c>
      <x:c r="T47" t="n">
        <x:f>((IF(T$1-'Underlying Mechanics'!$B$8&lt;0,0,'Underlying Mechanics'!$B$22*'Underlying Mechanics'!$B$15*INDEX('Underlying Mechanics'!$B$31:$B$51,T$1-'Underlying Mechanics'!$B$8+1)*'Underlying Mechanics'!$B$5))*(1-$A47))-IF(T$1=0,'Underlying Mechanics'!$B$23*(1-$B47),0)-IF(T$1&gt;0,'Underlying Mechanics'!$B$22*'Underlying Mechanics'!$B$17,0)-IF(T$1&gt;0,'Underlying Mechanics'!$B$12*'Underlying Mechanics'!$B$18,0)</x:f>
        <x:v>73500</x:v>
      </x:c>
      <x:c r="U47" t="n">
        <x:f>((IF(U$1-'Underlying Mechanics'!$B$8&lt;0,0,'Underlying Mechanics'!$B$22*'Underlying Mechanics'!$B$15*INDEX('Underlying Mechanics'!$B$31:$B$51,U$1-'Underlying Mechanics'!$B$8+1)*'Underlying Mechanics'!$B$5))*(1-$A47))-IF(U$1=0,'Underlying Mechanics'!$B$23*(1-$B47),0)-IF(U$1&gt;0,'Underlying Mechanics'!$B$22*'Underlying Mechanics'!$B$17,0)-IF(U$1&gt;0,'Underlying Mechanics'!$B$12*'Underlying Mechanics'!$B$18,0)</x:f>
        <x:v>73500</x:v>
      </x:c>
      <x:c r="V47" t="n">
        <x:f>((IF(V$1-'Underlying Mechanics'!$B$8&lt;0,0,'Underlying Mechanics'!$B$22*'Underlying Mechanics'!$B$15*INDEX('Underlying Mechanics'!$B$31:$B$51,V$1-'Underlying Mechanics'!$B$8+1)*'Underlying Mechanics'!$B$5))*(1-$A47))-IF(V$1=0,'Underlying Mechanics'!$B$23*(1-$B47),0)-IF(V$1&gt;0,'Underlying Mechanics'!$B$22*'Underlying Mechanics'!$B$17,0)-IF(V$1&gt;0,'Underlying Mechanics'!$B$12*'Underlying Mechanics'!$B$18,0)</x:f>
        <x:v>73500</x:v>
      </x:c>
      <x:c r="W47" t="n">
        <x:f>((IF(W$1-'Underlying Mechanics'!$B$8&lt;0,0,'Underlying Mechanics'!$B$22*'Underlying Mechanics'!$B$15*INDEX('Underlying Mechanics'!$B$31:$B$51,W$1-'Underlying Mechanics'!$B$8+1)*'Underlying Mechanics'!$B$5))*(1-$A47))-IF(W$1=0,'Underlying Mechanics'!$B$23*(1-$B47),0)-IF(W$1&gt;0,'Underlying Mechanics'!$B$22*'Underlying Mechanics'!$B$17,0)-IF(W$1&gt;0,'Underlying Mechanics'!$B$12*'Underlying Mechanics'!$B$18,0)</x:f>
        <x:v>73500</x:v>
      </x:c>
      <x:c r="X47" t="n">
        <x:f>IFERROR(IRR(C47:W47),-1)</x:f>
        <x:v>0.09910624187128035</x:v>
      </x:c>
    </x:row>
    <x:row r="48">
      <x:c r="A48" t="n">
        <x:v>0.2</x:v>
      </x:c>
      <x:c r="B48" t="n">
        <x:v>0.2</x:v>
      </x:c>
      <x:c r="C48" t="n">
        <x:f>((IF(C$1-'Underlying Mechanics'!$B$8&lt;0,0,'Underlying Mechanics'!$B$22*'Underlying Mechanics'!$B$15*INDEX('Underlying Mechanics'!$B$31:$B$51,C$1-'Underlying Mechanics'!$B$8+1)*'Underlying Mechanics'!$B$5))*(1-$A48))-IF(C$1=0,'Underlying Mechanics'!$B$23*(1-$B48),0)-IF(C$1&gt;0,'Underlying Mechanics'!$B$22*'Underlying Mechanics'!$B$17,0)-IF(C$1&gt;0,'Underlying Mechanics'!$B$12*'Underlying Mechanics'!$B$18,0)</x:f>
        <x:v>-120000</x:v>
      </x:c>
      <x:c r="D48" t="n">
        <x:f>((IF(D$1-'Underlying Mechanics'!$B$8&lt;0,0,'Underlying Mechanics'!$B$22*'Underlying Mechanics'!$B$15*INDEX('Underlying Mechanics'!$B$31:$B$51,D$1-'Underlying Mechanics'!$B$8+1)*'Underlying Mechanics'!$B$5))*(1-$A48))-IF(D$1=0,'Underlying Mechanics'!$B$23*(1-$B48),0)-IF(D$1&gt;0,'Underlying Mechanics'!$B$22*'Underlying Mechanics'!$B$17,0)-IF(D$1&gt;0,'Underlying Mechanics'!$B$12*'Underlying Mechanics'!$B$18,0)</x:f>
        <x:v>-22500</x:v>
      </x:c>
      <x:c r="E48" t="n">
        <x:f>((IF(E$1-'Underlying Mechanics'!$B$8&lt;0,0,'Underlying Mechanics'!$B$22*'Underlying Mechanics'!$B$15*INDEX('Underlying Mechanics'!$B$31:$B$51,E$1-'Underlying Mechanics'!$B$8+1)*'Underlying Mechanics'!$B$5))*(1-$A48))-IF(E$1=0,'Underlying Mechanics'!$B$23*(1-$B48),0)-IF(E$1&gt;0,'Underlying Mechanics'!$B$22*'Underlying Mechanics'!$B$17,0)-IF(E$1&gt;0,'Underlying Mechanics'!$B$12*'Underlying Mechanics'!$B$18,0)</x:f>
        <x:v>-22500</x:v>
      </x:c>
      <x:c r="F48" t="n">
        <x:f>((IF(F$1-'Underlying Mechanics'!$B$8&lt;0,0,'Underlying Mechanics'!$B$22*'Underlying Mechanics'!$B$15*INDEX('Underlying Mechanics'!$B$31:$B$51,F$1-'Underlying Mechanics'!$B$8+1)*'Underlying Mechanics'!$B$5))*(1-$A48))-IF(F$1=0,'Underlying Mechanics'!$B$23*(1-$B48),0)-IF(F$1&gt;0,'Underlying Mechanics'!$B$22*'Underlying Mechanics'!$B$17,0)-IF(F$1&gt;0,'Underlying Mechanics'!$B$12*'Underlying Mechanics'!$B$18,0)</x:f>
        <x:v>-20580</x:v>
      </x:c>
      <x:c r="G48" t="n">
        <x:f>((IF(G$1-'Underlying Mechanics'!$B$8&lt;0,0,'Underlying Mechanics'!$B$22*'Underlying Mechanics'!$B$15*INDEX('Underlying Mechanics'!$B$31:$B$51,G$1-'Underlying Mechanics'!$B$8+1)*'Underlying Mechanics'!$B$5))*(1-$A48))-IF(G$1=0,'Underlying Mechanics'!$B$23*(1-$B48),0)-IF(G$1&gt;0,'Underlying Mechanics'!$B$22*'Underlying Mechanics'!$B$17,0)-IF(G$1&gt;0,'Underlying Mechanics'!$B$12*'Underlying Mechanics'!$B$18,0)</x:f>
        <x:v>-17700</x:v>
      </x:c>
      <x:c r="H48" t="n">
        <x:f>((IF(H$1-'Underlying Mechanics'!$B$8&lt;0,0,'Underlying Mechanics'!$B$22*'Underlying Mechanics'!$B$15*INDEX('Underlying Mechanics'!$B$31:$B$51,H$1-'Underlying Mechanics'!$B$8+1)*'Underlying Mechanics'!$B$5))*(1-$A48))-IF(H$1=0,'Underlying Mechanics'!$B$23*(1-$B48),0)-IF(H$1&gt;0,'Underlying Mechanics'!$B$22*'Underlying Mechanics'!$B$17,0)-IF(H$1&gt;0,'Underlying Mechanics'!$B$12*'Underlying Mechanics'!$B$18,0)</x:f>
        <x:v>-12900</x:v>
      </x:c>
      <x:c r="I48" t="n">
        <x:f>((IF(I$1-'Underlying Mechanics'!$B$8&lt;0,0,'Underlying Mechanics'!$B$22*'Underlying Mechanics'!$B$15*INDEX('Underlying Mechanics'!$B$31:$B$51,I$1-'Underlying Mechanics'!$B$8+1)*'Underlying Mechanics'!$B$5))*(1-$A48))-IF(I$1=0,'Underlying Mechanics'!$B$23*(1-$B48),0)-IF(I$1&gt;0,'Underlying Mechanics'!$B$22*'Underlying Mechanics'!$B$17,0)-IF(I$1&gt;0,'Underlying Mechanics'!$B$12*'Underlying Mechanics'!$B$18,0)</x:f>
        <x:v>-5220</x:v>
      </x:c>
      <x:c r="J48" t="n">
        <x:f>((IF(J$1-'Underlying Mechanics'!$B$8&lt;0,0,'Underlying Mechanics'!$B$22*'Underlying Mechanics'!$B$15*INDEX('Underlying Mechanics'!$B$31:$B$51,J$1-'Underlying Mechanics'!$B$8+1)*'Underlying Mechanics'!$B$5))*(1-$A48))-IF(J$1=0,'Underlying Mechanics'!$B$23*(1-$B48),0)-IF(J$1&gt;0,'Underlying Mechanics'!$B$22*'Underlying Mechanics'!$B$17,0)-IF(J$1&gt;0,'Underlying Mechanics'!$B$12*'Underlying Mechanics'!$B$18,0)</x:f>
        <x:v>4380.000000000007</x:v>
      </x:c>
      <x:c r="K48" t="n">
        <x:f>((IF(K$1-'Underlying Mechanics'!$B$8&lt;0,0,'Underlying Mechanics'!$B$22*'Underlying Mechanics'!$B$15*INDEX('Underlying Mechanics'!$B$31:$B$51,K$1-'Underlying Mechanics'!$B$8+1)*'Underlying Mechanics'!$B$5))*(1-$A48))-IF(K$1=0,'Underlying Mechanics'!$B$23*(1-$B48),0)-IF(K$1&gt;0,'Underlying Mechanics'!$B$22*'Underlying Mechanics'!$B$17,0)-IF(K$1&gt;0,'Underlying Mechanics'!$B$12*'Underlying Mechanics'!$B$18,0)</x:f>
        <x:v>15900</x:v>
      </x:c>
      <x:c r="L48" t="n">
        <x:f>((IF(L$1-'Underlying Mechanics'!$B$8&lt;0,0,'Underlying Mechanics'!$B$22*'Underlying Mechanics'!$B$15*INDEX('Underlying Mechanics'!$B$31:$B$51,L$1-'Underlying Mechanics'!$B$8+1)*'Underlying Mechanics'!$B$5))*(1-$A48))-IF(L$1=0,'Underlying Mechanics'!$B$23*(1-$B48),0)-IF(L$1&gt;0,'Underlying Mechanics'!$B$22*'Underlying Mechanics'!$B$17,0)-IF(L$1&gt;0,'Underlying Mechanics'!$B$12*'Underlying Mechanics'!$B$18,0)</x:f>
        <x:v>29340</x:v>
      </x:c>
      <x:c r="M48" t="n">
        <x:f>((IF(M$1-'Underlying Mechanics'!$B$8&lt;0,0,'Underlying Mechanics'!$B$22*'Underlying Mechanics'!$B$15*INDEX('Underlying Mechanics'!$B$31:$B$51,M$1-'Underlying Mechanics'!$B$8+1)*'Underlying Mechanics'!$B$5))*(1-$A48))-IF(M$1=0,'Underlying Mechanics'!$B$23*(1-$B48),0)-IF(M$1&gt;0,'Underlying Mechanics'!$B$22*'Underlying Mechanics'!$B$17,0)-IF(M$1&gt;0,'Underlying Mechanics'!$B$12*'Underlying Mechanics'!$B$18,0)</x:f>
        <x:v>42780.000000000015</x:v>
      </x:c>
      <x:c r="N48" t="n">
        <x:f>((IF(N$1-'Underlying Mechanics'!$B$8&lt;0,0,'Underlying Mechanics'!$B$22*'Underlying Mechanics'!$B$15*INDEX('Underlying Mechanics'!$B$31:$B$51,N$1-'Underlying Mechanics'!$B$8+1)*'Underlying Mechanics'!$B$5))*(1-$A48))-IF(N$1=0,'Underlying Mechanics'!$B$23*(1-$B48),0)-IF(N$1&gt;0,'Underlying Mechanics'!$B$22*'Underlying Mechanics'!$B$17,0)-IF(N$1&gt;0,'Underlying Mechanics'!$B$12*'Underlying Mechanics'!$B$18,0)</x:f>
        <x:v>54300</x:v>
      </x:c>
      <x:c r="O48" t="n">
        <x:f>((IF(O$1-'Underlying Mechanics'!$B$8&lt;0,0,'Underlying Mechanics'!$B$22*'Underlying Mechanics'!$B$15*INDEX('Underlying Mechanics'!$B$31:$B$51,O$1-'Underlying Mechanics'!$B$8+1)*'Underlying Mechanics'!$B$5))*(1-$A48))-IF(O$1=0,'Underlying Mechanics'!$B$23*(1-$B48),0)-IF(O$1&gt;0,'Underlying Mechanics'!$B$22*'Underlying Mechanics'!$B$17,0)-IF(O$1&gt;0,'Underlying Mechanics'!$B$12*'Underlying Mechanics'!$B$18,0)</x:f>
        <x:v>63900</x:v>
      </x:c>
      <x:c r="P48" t="n">
        <x:f>((IF(P$1-'Underlying Mechanics'!$B$8&lt;0,0,'Underlying Mechanics'!$B$22*'Underlying Mechanics'!$B$15*INDEX('Underlying Mechanics'!$B$31:$B$51,P$1-'Underlying Mechanics'!$B$8+1)*'Underlying Mechanics'!$B$5))*(1-$A48))-IF(P$1=0,'Underlying Mechanics'!$B$23*(1-$B48),0)-IF(P$1&gt;0,'Underlying Mechanics'!$B$22*'Underlying Mechanics'!$B$17,0)-IF(P$1&gt;0,'Underlying Mechanics'!$B$12*'Underlying Mechanics'!$B$18,0)</x:f>
        <x:v>73500</x:v>
      </x:c>
      <x:c r="Q48" t="n">
        <x:f>((IF(Q$1-'Underlying Mechanics'!$B$8&lt;0,0,'Underlying Mechanics'!$B$22*'Underlying Mechanics'!$B$15*INDEX('Underlying Mechanics'!$B$31:$B$51,Q$1-'Underlying Mechanics'!$B$8+1)*'Underlying Mechanics'!$B$5))*(1-$A48))-IF(Q$1=0,'Underlying Mechanics'!$B$23*(1-$B48),0)-IF(Q$1&gt;0,'Underlying Mechanics'!$B$22*'Underlying Mechanics'!$B$17,0)-IF(Q$1&gt;0,'Underlying Mechanics'!$B$12*'Underlying Mechanics'!$B$18,0)</x:f>
        <x:v>73500</x:v>
      </x:c>
      <x:c r="R48" t="n">
        <x:f>((IF(R$1-'Underlying Mechanics'!$B$8&lt;0,0,'Underlying Mechanics'!$B$22*'Underlying Mechanics'!$B$15*INDEX('Underlying Mechanics'!$B$31:$B$51,R$1-'Underlying Mechanics'!$B$8+1)*'Underlying Mechanics'!$B$5))*(1-$A48))-IF(R$1=0,'Underlying Mechanics'!$B$23*(1-$B48),0)-IF(R$1&gt;0,'Underlying Mechanics'!$B$22*'Underlying Mechanics'!$B$17,0)-IF(R$1&gt;0,'Underlying Mechanics'!$B$12*'Underlying Mechanics'!$B$18,0)</x:f>
        <x:v>73500</x:v>
      </x:c>
      <x:c r="S48" t="n">
        <x:f>((IF(S$1-'Underlying Mechanics'!$B$8&lt;0,0,'Underlying Mechanics'!$B$22*'Underlying Mechanics'!$B$15*INDEX('Underlying Mechanics'!$B$31:$B$51,S$1-'Underlying Mechanics'!$B$8+1)*'Underlying Mechanics'!$B$5))*(1-$A48))-IF(S$1=0,'Underlying Mechanics'!$B$23*(1-$B48),0)-IF(S$1&gt;0,'Underlying Mechanics'!$B$22*'Underlying Mechanics'!$B$17,0)-IF(S$1&gt;0,'Underlying Mechanics'!$B$12*'Underlying Mechanics'!$B$18,0)</x:f>
        <x:v>73500</x:v>
      </x:c>
      <x:c r="T48" t="n">
        <x:f>((IF(T$1-'Underlying Mechanics'!$B$8&lt;0,0,'Underlying Mechanics'!$B$22*'Underlying Mechanics'!$B$15*INDEX('Underlying Mechanics'!$B$31:$B$51,T$1-'Underlying Mechanics'!$B$8+1)*'Underlying Mechanics'!$B$5))*(1-$A48))-IF(T$1=0,'Underlying Mechanics'!$B$23*(1-$B48),0)-IF(T$1&gt;0,'Underlying Mechanics'!$B$22*'Underlying Mechanics'!$B$17,0)-IF(T$1&gt;0,'Underlying Mechanics'!$B$12*'Underlying Mechanics'!$B$18,0)</x:f>
        <x:v>73500</x:v>
      </x:c>
      <x:c r="U48" t="n">
        <x:f>((IF(U$1-'Underlying Mechanics'!$B$8&lt;0,0,'Underlying Mechanics'!$B$22*'Underlying Mechanics'!$B$15*INDEX('Underlying Mechanics'!$B$31:$B$51,U$1-'Underlying Mechanics'!$B$8+1)*'Underlying Mechanics'!$B$5))*(1-$A48))-IF(U$1=0,'Underlying Mechanics'!$B$23*(1-$B48),0)-IF(U$1&gt;0,'Underlying Mechanics'!$B$22*'Underlying Mechanics'!$B$17,0)-IF(U$1&gt;0,'Underlying Mechanics'!$B$12*'Underlying Mechanics'!$B$18,0)</x:f>
        <x:v>73500</x:v>
      </x:c>
      <x:c r="V48" t="n">
        <x:f>((IF(V$1-'Underlying Mechanics'!$B$8&lt;0,0,'Underlying Mechanics'!$B$22*'Underlying Mechanics'!$B$15*INDEX('Underlying Mechanics'!$B$31:$B$51,V$1-'Underlying Mechanics'!$B$8+1)*'Underlying Mechanics'!$B$5))*(1-$A48))-IF(V$1=0,'Underlying Mechanics'!$B$23*(1-$B48),0)-IF(V$1&gt;0,'Underlying Mechanics'!$B$22*'Underlying Mechanics'!$B$17,0)-IF(V$1&gt;0,'Underlying Mechanics'!$B$12*'Underlying Mechanics'!$B$18,0)</x:f>
        <x:v>73500</x:v>
      </x:c>
      <x:c r="W48" t="n">
        <x:f>((IF(W$1-'Underlying Mechanics'!$B$8&lt;0,0,'Underlying Mechanics'!$B$22*'Underlying Mechanics'!$B$15*INDEX('Underlying Mechanics'!$B$31:$B$51,W$1-'Underlying Mechanics'!$B$8+1)*'Underlying Mechanics'!$B$5))*(1-$A48))-IF(W$1=0,'Underlying Mechanics'!$B$23*(1-$B48),0)-IF(W$1&gt;0,'Underlying Mechanics'!$B$22*'Underlying Mechanics'!$B$17,0)-IF(W$1&gt;0,'Underlying Mechanics'!$B$12*'Underlying Mechanics'!$B$18,0)</x:f>
        <x:v>73500</x:v>
      </x:c>
      <x:c r="X48" t="n">
        <x:f>IFERROR(IRR(C48:W48),-1)</x:f>
        <x:v>0.10231918179438579</x:v>
      </x:c>
    </x:row>
    <x:row r="49">
      <x:c r="A49" t="n">
        <x:v>0.2</x:v>
      </x:c>
      <x:c r="B49" t="n">
        <x:v>0.25</x:v>
      </x:c>
      <x:c r="C49" t="n">
        <x:f>((IF(C$1-'Underlying Mechanics'!$B$8&lt;0,0,'Underlying Mechanics'!$B$22*'Underlying Mechanics'!$B$15*INDEX('Underlying Mechanics'!$B$31:$B$51,C$1-'Underlying Mechanics'!$B$8+1)*'Underlying Mechanics'!$B$5))*(1-$A49))-IF(C$1=0,'Underlying Mechanics'!$B$23*(1-$B49),0)-IF(C$1&gt;0,'Underlying Mechanics'!$B$22*'Underlying Mechanics'!$B$17,0)-IF(C$1&gt;0,'Underlying Mechanics'!$B$12*'Underlying Mechanics'!$B$18,0)</x:f>
        <x:v>-112500</x:v>
      </x:c>
      <x:c r="D49" t="n">
        <x:f>((IF(D$1-'Underlying Mechanics'!$B$8&lt;0,0,'Underlying Mechanics'!$B$22*'Underlying Mechanics'!$B$15*INDEX('Underlying Mechanics'!$B$31:$B$51,D$1-'Underlying Mechanics'!$B$8+1)*'Underlying Mechanics'!$B$5))*(1-$A49))-IF(D$1=0,'Underlying Mechanics'!$B$23*(1-$B49),0)-IF(D$1&gt;0,'Underlying Mechanics'!$B$22*'Underlying Mechanics'!$B$17,0)-IF(D$1&gt;0,'Underlying Mechanics'!$B$12*'Underlying Mechanics'!$B$18,0)</x:f>
        <x:v>-22500</x:v>
      </x:c>
      <x:c r="E49" t="n">
        <x:f>((IF(E$1-'Underlying Mechanics'!$B$8&lt;0,0,'Underlying Mechanics'!$B$22*'Underlying Mechanics'!$B$15*INDEX('Underlying Mechanics'!$B$31:$B$51,E$1-'Underlying Mechanics'!$B$8+1)*'Underlying Mechanics'!$B$5))*(1-$A49))-IF(E$1=0,'Underlying Mechanics'!$B$23*(1-$B49),0)-IF(E$1&gt;0,'Underlying Mechanics'!$B$22*'Underlying Mechanics'!$B$17,0)-IF(E$1&gt;0,'Underlying Mechanics'!$B$12*'Underlying Mechanics'!$B$18,0)</x:f>
        <x:v>-22500</x:v>
      </x:c>
      <x:c r="F49" t="n">
        <x:f>((IF(F$1-'Underlying Mechanics'!$B$8&lt;0,0,'Underlying Mechanics'!$B$22*'Underlying Mechanics'!$B$15*INDEX('Underlying Mechanics'!$B$31:$B$51,F$1-'Underlying Mechanics'!$B$8+1)*'Underlying Mechanics'!$B$5))*(1-$A49))-IF(F$1=0,'Underlying Mechanics'!$B$23*(1-$B49),0)-IF(F$1&gt;0,'Underlying Mechanics'!$B$22*'Underlying Mechanics'!$B$17,0)-IF(F$1&gt;0,'Underlying Mechanics'!$B$12*'Underlying Mechanics'!$B$18,0)</x:f>
        <x:v>-20580</x:v>
      </x:c>
      <x:c r="G49" t="n">
        <x:f>((IF(G$1-'Underlying Mechanics'!$B$8&lt;0,0,'Underlying Mechanics'!$B$22*'Underlying Mechanics'!$B$15*INDEX('Underlying Mechanics'!$B$31:$B$51,G$1-'Underlying Mechanics'!$B$8+1)*'Underlying Mechanics'!$B$5))*(1-$A49))-IF(G$1=0,'Underlying Mechanics'!$B$23*(1-$B49),0)-IF(G$1&gt;0,'Underlying Mechanics'!$B$22*'Underlying Mechanics'!$B$17,0)-IF(G$1&gt;0,'Underlying Mechanics'!$B$12*'Underlying Mechanics'!$B$18,0)</x:f>
        <x:v>-17700</x:v>
      </x:c>
      <x:c r="H49" t="n">
        <x:f>((IF(H$1-'Underlying Mechanics'!$B$8&lt;0,0,'Underlying Mechanics'!$B$22*'Underlying Mechanics'!$B$15*INDEX('Underlying Mechanics'!$B$31:$B$51,H$1-'Underlying Mechanics'!$B$8+1)*'Underlying Mechanics'!$B$5))*(1-$A49))-IF(H$1=0,'Underlying Mechanics'!$B$23*(1-$B49),0)-IF(H$1&gt;0,'Underlying Mechanics'!$B$22*'Underlying Mechanics'!$B$17,0)-IF(H$1&gt;0,'Underlying Mechanics'!$B$12*'Underlying Mechanics'!$B$18,0)</x:f>
        <x:v>-12900</x:v>
      </x:c>
      <x:c r="I49" t="n">
        <x:f>((IF(I$1-'Underlying Mechanics'!$B$8&lt;0,0,'Underlying Mechanics'!$B$22*'Underlying Mechanics'!$B$15*INDEX('Underlying Mechanics'!$B$31:$B$51,I$1-'Underlying Mechanics'!$B$8+1)*'Underlying Mechanics'!$B$5))*(1-$A49))-IF(I$1=0,'Underlying Mechanics'!$B$23*(1-$B49),0)-IF(I$1&gt;0,'Underlying Mechanics'!$B$22*'Underlying Mechanics'!$B$17,0)-IF(I$1&gt;0,'Underlying Mechanics'!$B$12*'Underlying Mechanics'!$B$18,0)</x:f>
        <x:v>-5220</x:v>
      </x:c>
      <x:c r="J49" t="n">
        <x:f>((IF(J$1-'Underlying Mechanics'!$B$8&lt;0,0,'Underlying Mechanics'!$B$22*'Underlying Mechanics'!$B$15*INDEX('Underlying Mechanics'!$B$31:$B$51,J$1-'Underlying Mechanics'!$B$8+1)*'Underlying Mechanics'!$B$5))*(1-$A49))-IF(J$1=0,'Underlying Mechanics'!$B$23*(1-$B49),0)-IF(J$1&gt;0,'Underlying Mechanics'!$B$22*'Underlying Mechanics'!$B$17,0)-IF(J$1&gt;0,'Underlying Mechanics'!$B$12*'Underlying Mechanics'!$B$18,0)</x:f>
        <x:v>4380.000000000007</x:v>
      </x:c>
      <x:c r="K49" t="n">
        <x:f>((IF(K$1-'Underlying Mechanics'!$B$8&lt;0,0,'Underlying Mechanics'!$B$22*'Underlying Mechanics'!$B$15*INDEX('Underlying Mechanics'!$B$31:$B$51,K$1-'Underlying Mechanics'!$B$8+1)*'Underlying Mechanics'!$B$5))*(1-$A49))-IF(K$1=0,'Underlying Mechanics'!$B$23*(1-$B49),0)-IF(K$1&gt;0,'Underlying Mechanics'!$B$22*'Underlying Mechanics'!$B$17,0)-IF(K$1&gt;0,'Underlying Mechanics'!$B$12*'Underlying Mechanics'!$B$18,0)</x:f>
        <x:v>15900</x:v>
      </x:c>
      <x:c r="L49" t="n">
        <x:f>((IF(L$1-'Underlying Mechanics'!$B$8&lt;0,0,'Underlying Mechanics'!$B$22*'Underlying Mechanics'!$B$15*INDEX('Underlying Mechanics'!$B$31:$B$51,L$1-'Underlying Mechanics'!$B$8+1)*'Underlying Mechanics'!$B$5))*(1-$A49))-IF(L$1=0,'Underlying Mechanics'!$B$23*(1-$B49),0)-IF(L$1&gt;0,'Underlying Mechanics'!$B$22*'Underlying Mechanics'!$B$17,0)-IF(L$1&gt;0,'Underlying Mechanics'!$B$12*'Underlying Mechanics'!$B$18,0)</x:f>
        <x:v>29340</x:v>
      </x:c>
      <x:c r="M49" t="n">
        <x:f>((IF(M$1-'Underlying Mechanics'!$B$8&lt;0,0,'Underlying Mechanics'!$B$22*'Underlying Mechanics'!$B$15*INDEX('Underlying Mechanics'!$B$31:$B$51,M$1-'Underlying Mechanics'!$B$8+1)*'Underlying Mechanics'!$B$5))*(1-$A49))-IF(M$1=0,'Underlying Mechanics'!$B$23*(1-$B49),0)-IF(M$1&gt;0,'Underlying Mechanics'!$B$22*'Underlying Mechanics'!$B$17,0)-IF(M$1&gt;0,'Underlying Mechanics'!$B$12*'Underlying Mechanics'!$B$18,0)</x:f>
        <x:v>42780.000000000015</x:v>
      </x:c>
      <x:c r="N49" t="n">
        <x:f>((IF(N$1-'Underlying Mechanics'!$B$8&lt;0,0,'Underlying Mechanics'!$B$22*'Underlying Mechanics'!$B$15*INDEX('Underlying Mechanics'!$B$31:$B$51,N$1-'Underlying Mechanics'!$B$8+1)*'Underlying Mechanics'!$B$5))*(1-$A49))-IF(N$1=0,'Underlying Mechanics'!$B$23*(1-$B49),0)-IF(N$1&gt;0,'Underlying Mechanics'!$B$22*'Underlying Mechanics'!$B$17,0)-IF(N$1&gt;0,'Underlying Mechanics'!$B$12*'Underlying Mechanics'!$B$18,0)</x:f>
        <x:v>54300</x:v>
      </x:c>
      <x:c r="O49" t="n">
        <x:f>((IF(O$1-'Underlying Mechanics'!$B$8&lt;0,0,'Underlying Mechanics'!$B$22*'Underlying Mechanics'!$B$15*INDEX('Underlying Mechanics'!$B$31:$B$51,O$1-'Underlying Mechanics'!$B$8+1)*'Underlying Mechanics'!$B$5))*(1-$A49))-IF(O$1=0,'Underlying Mechanics'!$B$23*(1-$B49),0)-IF(O$1&gt;0,'Underlying Mechanics'!$B$22*'Underlying Mechanics'!$B$17,0)-IF(O$1&gt;0,'Underlying Mechanics'!$B$12*'Underlying Mechanics'!$B$18,0)</x:f>
        <x:v>63900</x:v>
      </x:c>
      <x:c r="P49" t="n">
        <x:f>((IF(P$1-'Underlying Mechanics'!$B$8&lt;0,0,'Underlying Mechanics'!$B$22*'Underlying Mechanics'!$B$15*INDEX('Underlying Mechanics'!$B$31:$B$51,P$1-'Underlying Mechanics'!$B$8+1)*'Underlying Mechanics'!$B$5))*(1-$A49))-IF(P$1=0,'Underlying Mechanics'!$B$23*(1-$B49),0)-IF(P$1&gt;0,'Underlying Mechanics'!$B$22*'Underlying Mechanics'!$B$17,0)-IF(P$1&gt;0,'Underlying Mechanics'!$B$12*'Underlying Mechanics'!$B$18,0)</x:f>
        <x:v>73500</x:v>
      </x:c>
      <x:c r="Q49" t="n">
        <x:f>((IF(Q$1-'Underlying Mechanics'!$B$8&lt;0,0,'Underlying Mechanics'!$B$22*'Underlying Mechanics'!$B$15*INDEX('Underlying Mechanics'!$B$31:$B$51,Q$1-'Underlying Mechanics'!$B$8+1)*'Underlying Mechanics'!$B$5))*(1-$A49))-IF(Q$1=0,'Underlying Mechanics'!$B$23*(1-$B49),0)-IF(Q$1&gt;0,'Underlying Mechanics'!$B$22*'Underlying Mechanics'!$B$17,0)-IF(Q$1&gt;0,'Underlying Mechanics'!$B$12*'Underlying Mechanics'!$B$18,0)</x:f>
        <x:v>73500</x:v>
      </x:c>
      <x:c r="R49" t="n">
        <x:f>((IF(R$1-'Underlying Mechanics'!$B$8&lt;0,0,'Underlying Mechanics'!$B$22*'Underlying Mechanics'!$B$15*INDEX('Underlying Mechanics'!$B$31:$B$51,R$1-'Underlying Mechanics'!$B$8+1)*'Underlying Mechanics'!$B$5))*(1-$A49))-IF(R$1=0,'Underlying Mechanics'!$B$23*(1-$B49),0)-IF(R$1&gt;0,'Underlying Mechanics'!$B$22*'Underlying Mechanics'!$B$17,0)-IF(R$1&gt;0,'Underlying Mechanics'!$B$12*'Underlying Mechanics'!$B$18,0)</x:f>
        <x:v>73500</x:v>
      </x:c>
      <x:c r="S49" t="n">
        <x:f>((IF(S$1-'Underlying Mechanics'!$B$8&lt;0,0,'Underlying Mechanics'!$B$22*'Underlying Mechanics'!$B$15*INDEX('Underlying Mechanics'!$B$31:$B$51,S$1-'Underlying Mechanics'!$B$8+1)*'Underlying Mechanics'!$B$5))*(1-$A49))-IF(S$1=0,'Underlying Mechanics'!$B$23*(1-$B49),0)-IF(S$1&gt;0,'Underlying Mechanics'!$B$22*'Underlying Mechanics'!$B$17,0)-IF(S$1&gt;0,'Underlying Mechanics'!$B$12*'Underlying Mechanics'!$B$18,0)</x:f>
        <x:v>73500</x:v>
      </x:c>
      <x:c r="T49" t="n">
        <x:f>((IF(T$1-'Underlying Mechanics'!$B$8&lt;0,0,'Underlying Mechanics'!$B$22*'Underlying Mechanics'!$B$15*INDEX('Underlying Mechanics'!$B$31:$B$51,T$1-'Underlying Mechanics'!$B$8+1)*'Underlying Mechanics'!$B$5))*(1-$A49))-IF(T$1=0,'Underlying Mechanics'!$B$23*(1-$B49),0)-IF(T$1&gt;0,'Underlying Mechanics'!$B$22*'Underlying Mechanics'!$B$17,0)-IF(T$1&gt;0,'Underlying Mechanics'!$B$12*'Underlying Mechanics'!$B$18,0)</x:f>
        <x:v>73500</x:v>
      </x:c>
      <x:c r="U49" t="n">
        <x:f>((IF(U$1-'Underlying Mechanics'!$B$8&lt;0,0,'Underlying Mechanics'!$B$22*'Underlying Mechanics'!$B$15*INDEX('Underlying Mechanics'!$B$31:$B$51,U$1-'Underlying Mechanics'!$B$8+1)*'Underlying Mechanics'!$B$5))*(1-$A49))-IF(U$1=0,'Underlying Mechanics'!$B$23*(1-$B49),0)-IF(U$1&gt;0,'Underlying Mechanics'!$B$22*'Underlying Mechanics'!$B$17,0)-IF(U$1&gt;0,'Underlying Mechanics'!$B$12*'Underlying Mechanics'!$B$18,0)</x:f>
        <x:v>73500</x:v>
      </x:c>
      <x:c r="V49" t="n">
        <x:f>((IF(V$1-'Underlying Mechanics'!$B$8&lt;0,0,'Underlying Mechanics'!$B$22*'Underlying Mechanics'!$B$15*INDEX('Underlying Mechanics'!$B$31:$B$51,V$1-'Underlying Mechanics'!$B$8+1)*'Underlying Mechanics'!$B$5))*(1-$A49))-IF(V$1=0,'Underlying Mechanics'!$B$23*(1-$B49),0)-IF(V$1&gt;0,'Underlying Mechanics'!$B$22*'Underlying Mechanics'!$B$17,0)-IF(V$1&gt;0,'Underlying Mechanics'!$B$12*'Underlying Mechanics'!$B$18,0)</x:f>
        <x:v>73500</x:v>
      </x:c>
      <x:c r="W49" t="n">
        <x:f>((IF(W$1-'Underlying Mechanics'!$B$8&lt;0,0,'Underlying Mechanics'!$B$22*'Underlying Mechanics'!$B$15*INDEX('Underlying Mechanics'!$B$31:$B$51,W$1-'Underlying Mechanics'!$B$8+1)*'Underlying Mechanics'!$B$5))*(1-$A49))-IF(W$1=0,'Underlying Mechanics'!$B$23*(1-$B49),0)-IF(W$1&gt;0,'Underlying Mechanics'!$B$22*'Underlying Mechanics'!$B$17,0)-IF(W$1&gt;0,'Underlying Mechanics'!$B$12*'Underlying Mechanics'!$B$18,0)</x:f>
        <x:v>73500</x:v>
      </x:c>
      <x:c r="X49" t="n">
        <x:f>IFERROR(IRR(C49:W49),-1)</x:f>
        <x:v>0.10569508746032849</x:v>
      </x:c>
    </x:row>
    <x:row r="50">
      <x:c r="A50" t="n">
        <x:v>0.2</x:v>
      </x:c>
      <x:c r="B50" t="n">
        <x:v>0.3</x:v>
      </x:c>
      <x:c r="C50" t="n">
        <x:f>((IF(C$1-'Underlying Mechanics'!$B$8&lt;0,0,'Underlying Mechanics'!$B$22*'Underlying Mechanics'!$B$15*INDEX('Underlying Mechanics'!$B$31:$B$51,C$1-'Underlying Mechanics'!$B$8+1)*'Underlying Mechanics'!$B$5))*(1-$A50))-IF(C$1=0,'Underlying Mechanics'!$B$23*(1-$B50),0)-IF(C$1&gt;0,'Underlying Mechanics'!$B$22*'Underlying Mechanics'!$B$17,0)-IF(C$1&gt;0,'Underlying Mechanics'!$B$12*'Underlying Mechanics'!$B$18,0)</x:f>
        <x:v>-105000</x:v>
      </x:c>
      <x:c r="D50" t="n">
        <x:f>((IF(D$1-'Underlying Mechanics'!$B$8&lt;0,0,'Underlying Mechanics'!$B$22*'Underlying Mechanics'!$B$15*INDEX('Underlying Mechanics'!$B$31:$B$51,D$1-'Underlying Mechanics'!$B$8+1)*'Underlying Mechanics'!$B$5))*(1-$A50))-IF(D$1=0,'Underlying Mechanics'!$B$23*(1-$B50),0)-IF(D$1&gt;0,'Underlying Mechanics'!$B$22*'Underlying Mechanics'!$B$17,0)-IF(D$1&gt;0,'Underlying Mechanics'!$B$12*'Underlying Mechanics'!$B$18,0)</x:f>
        <x:v>-22500</x:v>
      </x:c>
      <x:c r="E50" t="n">
        <x:f>((IF(E$1-'Underlying Mechanics'!$B$8&lt;0,0,'Underlying Mechanics'!$B$22*'Underlying Mechanics'!$B$15*INDEX('Underlying Mechanics'!$B$31:$B$51,E$1-'Underlying Mechanics'!$B$8+1)*'Underlying Mechanics'!$B$5))*(1-$A50))-IF(E$1=0,'Underlying Mechanics'!$B$23*(1-$B50),0)-IF(E$1&gt;0,'Underlying Mechanics'!$B$22*'Underlying Mechanics'!$B$17,0)-IF(E$1&gt;0,'Underlying Mechanics'!$B$12*'Underlying Mechanics'!$B$18,0)</x:f>
        <x:v>-22500</x:v>
      </x:c>
      <x:c r="F50" t="n">
        <x:f>((IF(F$1-'Underlying Mechanics'!$B$8&lt;0,0,'Underlying Mechanics'!$B$22*'Underlying Mechanics'!$B$15*INDEX('Underlying Mechanics'!$B$31:$B$51,F$1-'Underlying Mechanics'!$B$8+1)*'Underlying Mechanics'!$B$5))*(1-$A50))-IF(F$1=0,'Underlying Mechanics'!$B$23*(1-$B50),0)-IF(F$1&gt;0,'Underlying Mechanics'!$B$22*'Underlying Mechanics'!$B$17,0)-IF(F$1&gt;0,'Underlying Mechanics'!$B$12*'Underlying Mechanics'!$B$18,0)</x:f>
        <x:v>-20580</x:v>
      </x:c>
      <x:c r="G50" t="n">
        <x:f>((IF(G$1-'Underlying Mechanics'!$B$8&lt;0,0,'Underlying Mechanics'!$B$22*'Underlying Mechanics'!$B$15*INDEX('Underlying Mechanics'!$B$31:$B$51,G$1-'Underlying Mechanics'!$B$8+1)*'Underlying Mechanics'!$B$5))*(1-$A50))-IF(G$1=0,'Underlying Mechanics'!$B$23*(1-$B50),0)-IF(G$1&gt;0,'Underlying Mechanics'!$B$22*'Underlying Mechanics'!$B$17,0)-IF(G$1&gt;0,'Underlying Mechanics'!$B$12*'Underlying Mechanics'!$B$18,0)</x:f>
        <x:v>-17700</x:v>
      </x:c>
      <x:c r="H50" t="n">
        <x:f>((IF(H$1-'Underlying Mechanics'!$B$8&lt;0,0,'Underlying Mechanics'!$B$22*'Underlying Mechanics'!$B$15*INDEX('Underlying Mechanics'!$B$31:$B$51,H$1-'Underlying Mechanics'!$B$8+1)*'Underlying Mechanics'!$B$5))*(1-$A50))-IF(H$1=0,'Underlying Mechanics'!$B$23*(1-$B50),0)-IF(H$1&gt;0,'Underlying Mechanics'!$B$22*'Underlying Mechanics'!$B$17,0)-IF(H$1&gt;0,'Underlying Mechanics'!$B$12*'Underlying Mechanics'!$B$18,0)</x:f>
        <x:v>-12900</x:v>
      </x:c>
      <x:c r="I50" t="n">
        <x:f>((IF(I$1-'Underlying Mechanics'!$B$8&lt;0,0,'Underlying Mechanics'!$B$22*'Underlying Mechanics'!$B$15*INDEX('Underlying Mechanics'!$B$31:$B$51,I$1-'Underlying Mechanics'!$B$8+1)*'Underlying Mechanics'!$B$5))*(1-$A50))-IF(I$1=0,'Underlying Mechanics'!$B$23*(1-$B50),0)-IF(I$1&gt;0,'Underlying Mechanics'!$B$22*'Underlying Mechanics'!$B$17,0)-IF(I$1&gt;0,'Underlying Mechanics'!$B$12*'Underlying Mechanics'!$B$18,0)</x:f>
        <x:v>-5220</x:v>
      </x:c>
      <x:c r="J50" t="n">
        <x:f>((IF(J$1-'Underlying Mechanics'!$B$8&lt;0,0,'Underlying Mechanics'!$B$22*'Underlying Mechanics'!$B$15*INDEX('Underlying Mechanics'!$B$31:$B$51,J$1-'Underlying Mechanics'!$B$8+1)*'Underlying Mechanics'!$B$5))*(1-$A50))-IF(J$1=0,'Underlying Mechanics'!$B$23*(1-$B50),0)-IF(J$1&gt;0,'Underlying Mechanics'!$B$22*'Underlying Mechanics'!$B$17,0)-IF(J$1&gt;0,'Underlying Mechanics'!$B$12*'Underlying Mechanics'!$B$18,0)</x:f>
        <x:v>4380.000000000007</x:v>
      </x:c>
      <x:c r="K50" t="n">
        <x:f>((IF(K$1-'Underlying Mechanics'!$B$8&lt;0,0,'Underlying Mechanics'!$B$22*'Underlying Mechanics'!$B$15*INDEX('Underlying Mechanics'!$B$31:$B$51,K$1-'Underlying Mechanics'!$B$8+1)*'Underlying Mechanics'!$B$5))*(1-$A50))-IF(K$1=0,'Underlying Mechanics'!$B$23*(1-$B50),0)-IF(K$1&gt;0,'Underlying Mechanics'!$B$22*'Underlying Mechanics'!$B$17,0)-IF(K$1&gt;0,'Underlying Mechanics'!$B$12*'Underlying Mechanics'!$B$18,0)</x:f>
        <x:v>15900</x:v>
      </x:c>
      <x:c r="L50" t="n">
        <x:f>((IF(L$1-'Underlying Mechanics'!$B$8&lt;0,0,'Underlying Mechanics'!$B$22*'Underlying Mechanics'!$B$15*INDEX('Underlying Mechanics'!$B$31:$B$51,L$1-'Underlying Mechanics'!$B$8+1)*'Underlying Mechanics'!$B$5))*(1-$A50))-IF(L$1=0,'Underlying Mechanics'!$B$23*(1-$B50),0)-IF(L$1&gt;0,'Underlying Mechanics'!$B$22*'Underlying Mechanics'!$B$17,0)-IF(L$1&gt;0,'Underlying Mechanics'!$B$12*'Underlying Mechanics'!$B$18,0)</x:f>
        <x:v>29340</x:v>
      </x:c>
      <x:c r="M50" t="n">
        <x:f>((IF(M$1-'Underlying Mechanics'!$B$8&lt;0,0,'Underlying Mechanics'!$B$22*'Underlying Mechanics'!$B$15*INDEX('Underlying Mechanics'!$B$31:$B$51,M$1-'Underlying Mechanics'!$B$8+1)*'Underlying Mechanics'!$B$5))*(1-$A50))-IF(M$1=0,'Underlying Mechanics'!$B$23*(1-$B50),0)-IF(M$1&gt;0,'Underlying Mechanics'!$B$22*'Underlying Mechanics'!$B$17,0)-IF(M$1&gt;0,'Underlying Mechanics'!$B$12*'Underlying Mechanics'!$B$18,0)</x:f>
        <x:v>42780.000000000015</x:v>
      </x:c>
      <x:c r="N50" t="n">
        <x:f>((IF(N$1-'Underlying Mechanics'!$B$8&lt;0,0,'Underlying Mechanics'!$B$22*'Underlying Mechanics'!$B$15*INDEX('Underlying Mechanics'!$B$31:$B$51,N$1-'Underlying Mechanics'!$B$8+1)*'Underlying Mechanics'!$B$5))*(1-$A50))-IF(N$1=0,'Underlying Mechanics'!$B$23*(1-$B50),0)-IF(N$1&gt;0,'Underlying Mechanics'!$B$22*'Underlying Mechanics'!$B$17,0)-IF(N$1&gt;0,'Underlying Mechanics'!$B$12*'Underlying Mechanics'!$B$18,0)</x:f>
        <x:v>54300</x:v>
      </x:c>
      <x:c r="O50" t="n">
        <x:f>((IF(O$1-'Underlying Mechanics'!$B$8&lt;0,0,'Underlying Mechanics'!$B$22*'Underlying Mechanics'!$B$15*INDEX('Underlying Mechanics'!$B$31:$B$51,O$1-'Underlying Mechanics'!$B$8+1)*'Underlying Mechanics'!$B$5))*(1-$A50))-IF(O$1=0,'Underlying Mechanics'!$B$23*(1-$B50),0)-IF(O$1&gt;0,'Underlying Mechanics'!$B$22*'Underlying Mechanics'!$B$17,0)-IF(O$1&gt;0,'Underlying Mechanics'!$B$12*'Underlying Mechanics'!$B$18,0)</x:f>
        <x:v>63900</x:v>
      </x:c>
      <x:c r="P50" t="n">
        <x:f>((IF(P$1-'Underlying Mechanics'!$B$8&lt;0,0,'Underlying Mechanics'!$B$22*'Underlying Mechanics'!$B$15*INDEX('Underlying Mechanics'!$B$31:$B$51,P$1-'Underlying Mechanics'!$B$8+1)*'Underlying Mechanics'!$B$5))*(1-$A50))-IF(P$1=0,'Underlying Mechanics'!$B$23*(1-$B50),0)-IF(P$1&gt;0,'Underlying Mechanics'!$B$22*'Underlying Mechanics'!$B$17,0)-IF(P$1&gt;0,'Underlying Mechanics'!$B$12*'Underlying Mechanics'!$B$18,0)</x:f>
        <x:v>73500</x:v>
      </x:c>
      <x:c r="Q50" t="n">
        <x:f>((IF(Q$1-'Underlying Mechanics'!$B$8&lt;0,0,'Underlying Mechanics'!$B$22*'Underlying Mechanics'!$B$15*INDEX('Underlying Mechanics'!$B$31:$B$51,Q$1-'Underlying Mechanics'!$B$8+1)*'Underlying Mechanics'!$B$5))*(1-$A50))-IF(Q$1=0,'Underlying Mechanics'!$B$23*(1-$B50),0)-IF(Q$1&gt;0,'Underlying Mechanics'!$B$22*'Underlying Mechanics'!$B$17,0)-IF(Q$1&gt;0,'Underlying Mechanics'!$B$12*'Underlying Mechanics'!$B$18,0)</x:f>
        <x:v>73500</x:v>
      </x:c>
      <x:c r="R50" t="n">
        <x:f>((IF(R$1-'Underlying Mechanics'!$B$8&lt;0,0,'Underlying Mechanics'!$B$22*'Underlying Mechanics'!$B$15*INDEX('Underlying Mechanics'!$B$31:$B$51,R$1-'Underlying Mechanics'!$B$8+1)*'Underlying Mechanics'!$B$5))*(1-$A50))-IF(R$1=0,'Underlying Mechanics'!$B$23*(1-$B50),0)-IF(R$1&gt;0,'Underlying Mechanics'!$B$22*'Underlying Mechanics'!$B$17,0)-IF(R$1&gt;0,'Underlying Mechanics'!$B$12*'Underlying Mechanics'!$B$18,0)</x:f>
        <x:v>73500</x:v>
      </x:c>
      <x:c r="S50" t="n">
        <x:f>((IF(S$1-'Underlying Mechanics'!$B$8&lt;0,0,'Underlying Mechanics'!$B$22*'Underlying Mechanics'!$B$15*INDEX('Underlying Mechanics'!$B$31:$B$51,S$1-'Underlying Mechanics'!$B$8+1)*'Underlying Mechanics'!$B$5))*(1-$A50))-IF(S$1=0,'Underlying Mechanics'!$B$23*(1-$B50),0)-IF(S$1&gt;0,'Underlying Mechanics'!$B$22*'Underlying Mechanics'!$B$17,0)-IF(S$1&gt;0,'Underlying Mechanics'!$B$12*'Underlying Mechanics'!$B$18,0)</x:f>
        <x:v>73500</x:v>
      </x:c>
      <x:c r="T50" t="n">
        <x:f>((IF(T$1-'Underlying Mechanics'!$B$8&lt;0,0,'Underlying Mechanics'!$B$22*'Underlying Mechanics'!$B$15*INDEX('Underlying Mechanics'!$B$31:$B$51,T$1-'Underlying Mechanics'!$B$8+1)*'Underlying Mechanics'!$B$5))*(1-$A50))-IF(T$1=0,'Underlying Mechanics'!$B$23*(1-$B50),0)-IF(T$1&gt;0,'Underlying Mechanics'!$B$22*'Underlying Mechanics'!$B$17,0)-IF(T$1&gt;0,'Underlying Mechanics'!$B$12*'Underlying Mechanics'!$B$18,0)</x:f>
        <x:v>73500</x:v>
      </x:c>
      <x:c r="U50" t="n">
        <x:f>((IF(U$1-'Underlying Mechanics'!$B$8&lt;0,0,'Underlying Mechanics'!$B$22*'Underlying Mechanics'!$B$15*INDEX('Underlying Mechanics'!$B$31:$B$51,U$1-'Underlying Mechanics'!$B$8+1)*'Underlying Mechanics'!$B$5))*(1-$A50))-IF(U$1=0,'Underlying Mechanics'!$B$23*(1-$B50),0)-IF(U$1&gt;0,'Underlying Mechanics'!$B$22*'Underlying Mechanics'!$B$17,0)-IF(U$1&gt;0,'Underlying Mechanics'!$B$12*'Underlying Mechanics'!$B$18,0)</x:f>
        <x:v>73500</x:v>
      </x:c>
      <x:c r="V50" t="n">
        <x:f>((IF(V$1-'Underlying Mechanics'!$B$8&lt;0,0,'Underlying Mechanics'!$B$22*'Underlying Mechanics'!$B$15*INDEX('Underlying Mechanics'!$B$31:$B$51,V$1-'Underlying Mechanics'!$B$8+1)*'Underlying Mechanics'!$B$5))*(1-$A50))-IF(V$1=0,'Underlying Mechanics'!$B$23*(1-$B50),0)-IF(V$1&gt;0,'Underlying Mechanics'!$B$22*'Underlying Mechanics'!$B$17,0)-IF(V$1&gt;0,'Underlying Mechanics'!$B$12*'Underlying Mechanics'!$B$18,0)</x:f>
        <x:v>73500</x:v>
      </x:c>
      <x:c r="W50" t="n">
        <x:f>((IF(W$1-'Underlying Mechanics'!$B$8&lt;0,0,'Underlying Mechanics'!$B$22*'Underlying Mechanics'!$B$15*INDEX('Underlying Mechanics'!$B$31:$B$51,W$1-'Underlying Mechanics'!$B$8+1)*'Underlying Mechanics'!$B$5))*(1-$A50))-IF(W$1=0,'Underlying Mechanics'!$B$23*(1-$B50),0)-IF(W$1&gt;0,'Underlying Mechanics'!$B$22*'Underlying Mechanics'!$B$17,0)-IF(W$1&gt;0,'Underlying Mechanics'!$B$12*'Underlying Mechanics'!$B$18,0)</x:f>
        <x:v>73500</x:v>
      </x:c>
      <x:c r="X50" t="n">
        <x:f>IFERROR(IRR(C50:W50),-1)</x:f>
        <x:v>0.10925077923971754</x:v>
      </x:c>
    </x:row>
    <x:row r="51">
      <x:c r="A51" t="n">
        <x:v>0.2</x:v>
      </x:c>
      <x:c r="B51" t="n">
        <x:v>0.35</x:v>
      </x:c>
      <x:c r="C51" t="n">
        <x:f>((IF(C$1-'Underlying Mechanics'!$B$8&lt;0,0,'Underlying Mechanics'!$B$22*'Underlying Mechanics'!$B$15*INDEX('Underlying Mechanics'!$B$31:$B$51,C$1-'Underlying Mechanics'!$B$8+1)*'Underlying Mechanics'!$B$5))*(1-$A51))-IF(C$1=0,'Underlying Mechanics'!$B$23*(1-$B51),0)-IF(C$1&gt;0,'Underlying Mechanics'!$B$22*'Underlying Mechanics'!$B$17,0)-IF(C$1&gt;0,'Underlying Mechanics'!$B$12*'Underlying Mechanics'!$B$18,0)</x:f>
        <x:v>-97500</x:v>
      </x:c>
      <x:c r="D51" t="n">
        <x:f>((IF(D$1-'Underlying Mechanics'!$B$8&lt;0,0,'Underlying Mechanics'!$B$22*'Underlying Mechanics'!$B$15*INDEX('Underlying Mechanics'!$B$31:$B$51,D$1-'Underlying Mechanics'!$B$8+1)*'Underlying Mechanics'!$B$5))*(1-$A51))-IF(D$1=0,'Underlying Mechanics'!$B$23*(1-$B51),0)-IF(D$1&gt;0,'Underlying Mechanics'!$B$22*'Underlying Mechanics'!$B$17,0)-IF(D$1&gt;0,'Underlying Mechanics'!$B$12*'Underlying Mechanics'!$B$18,0)</x:f>
        <x:v>-22500</x:v>
      </x:c>
      <x:c r="E51" t="n">
        <x:f>((IF(E$1-'Underlying Mechanics'!$B$8&lt;0,0,'Underlying Mechanics'!$B$22*'Underlying Mechanics'!$B$15*INDEX('Underlying Mechanics'!$B$31:$B$51,E$1-'Underlying Mechanics'!$B$8+1)*'Underlying Mechanics'!$B$5))*(1-$A51))-IF(E$1=0,'Underlying Mechanics'!$B$23*(1-$B51),0)-IF(E$1&gt;0,'Underlying Mechanics'!$B$22*'Underlying Mechanics'!$B$17,0)-IF(E$1&gt;0,'Underlying Mechanics'!$B$12*'Underlying Mechanics'!$B$18,0)</x:f>
        <x:v>-22500</x:v>
      </x:c>
      <x:c r="F51" t="n">
        <x:f>((IF(F$1-'Underlying Mechanics'!$B$8&lt;0,0,'Underlying Mechanics'!$B$22*'Underlying Mechanics'!$B$15*INDEX('Underlying Mechanics'!$B$31:$B$51,F$1-'Underlying Mechanics'!$B$8+1)*'Underlying Mechanics'!$B$5))*(1-$A51))-IF(F$1=0,'Underlying Mechanics'!$B$23*(1-$B51),0)-IF(F$1&gt;0,'Underlying Mechanics'!$B$22*'Underlying Mechanics'!$B$17,0)-IF(F$1&gt;0,'Underlying Mechanics'!$B$12*'Underlying Mechanics'!$B$18,0)</x:f>
        <x:v>-20580</x:v>
      </x:c>
      <x:c r="G51" t="n">
        <x:f>((IF(G$1-'Underlying Mechanics'!$B$8&lt;0,0,'Underlying Mechanics'!$B$22*'Underlying Mechanics'!$B$15*INDEX('Underlying Mechanics'!$B$31:$B$51,G$1-'Underlying Mechanics'!$B$8+1)*'Underlying Mechanics'!$B$5))*(1-$A51))-IF(G$1=0,'Underlying Mechanics'!$B$23*(1-$B51),0)-IF(G$1&gt;0,'Underlying Mechanics'!$B$22*'Underlying Mechanics'!$B$17,0)-IF(G$1&gt;0,'Underlying Mechanics'!$B$12*'Underlying Mechanics'!$B$18,0)</x:f>
        <x:v>-17700</x:v>
      </x:c>
      <x:c r="H51" t="n">
        <x:f>((IF(H$1-'Underlying Mechanics'!$B$8&lt;0,0,'Underlying Mechanics'!$B$22*'Underlying Mechanics'!$B$15*INDEX('Underlying Mechanics'!$B$31:$B$51,H$1-'Underlying Mechanics'!$B$8+1)*'Underlying Mechanics'!$B$5))*(1-$A51))-IF(H$1=0,'Underlying Mechanics'!$B$23*(1-$B51),0)-IF(H$1&gt;0,'Underlying Mechanics'!$B$22*'Underlying Mechanics'!$B$17,0)-IF(H$1&gt;0,'Underlying Mechanics'!$B$12*'Underlying Mechanics'!$B$18,0)</x:f>
        <x:v>-12900</x:v>
      </x:c>
      <x:c r="I51" t="n">
        <x:f>((IF(I$1-'Underlying Mechanics'!$B$8&lt;0,0,'Underlying Mechanics'!$B$22*'Underlying Mechanics'!$B$15*INDEX('Underlying Mechanics'!$B$31:$B$51,I$1-'Underlying Mechanics'!$B$8+1)*'Underlying Mechanics'!$B$5))*(1-$A51))-IF(I$1=0,'Underlying Mechanics'!$B$23*(1-$B51),0)-IF(I$1&gt;0,'Underlying Mechanics'!$B$22*'Underlying Mechanics'!$B$17,0)-IF(I$1&gt;0,'Underlying Mechanics'!$B$12*'Underlying Mechanics'!$B$18,0)</x:f>
        <x:v>-5220</x:v>
      </x:c>
      <x:c r="J51" t="n">
        <x:f>((IF(J$1-'Underlying Mechanics'!$B$8&lt;0,0,'Underlying Mechanics'!$B$22*'Underlying Mechanics'!$B$15*INDEX('Underlying Mechanics'!$B$31:$B$51,J$1-'Underlying Mechanics'!$B$8+1)*'Underlying Mechanics'!$B$5))*(1-$A51))-IF(J$1=0,'Underlying Mechanics'!$B$23*(1-$B51),0)-IF(J$1&gt;0,'Underlying Mechanics'!$B$22*'Underlying Mechanics'!$B$17,0)-IF(J$1&gt;0,'Underlying Mechanics'!$B$12*'Underlying Mechanics'!$B$18,0)</x:f>
        <x:v>4380.000000000007</x:v>
      </x:c>
      <x:c r="K51" t="n">
        <x:f>((IF(K$1-'Underlying Mechanics'!$B$8&lt;0,0,'Underlying Mechanics'!$B$22*'Underlying Mechanics'!$B$15*INDEX('Underlying Mechanics'!$B$31:$B$51,K$1-'Underlying Mechanics'!$B$8+1)*'Underlying Mechanics'!$B$5))*(1-$A51))-IF(K$1=0,'Underlying Mechanics'!$B$23*(1-$B51),0)-IF(K$1&gt;0,'Underlying Mechanics'!$B$22*'Underlying Mechanics'!$B$17,0)-IF(K$1&gt;0,'Underlying Mechanics'!$B$12*'Underlying Mechanics'!$B$18,0)</x:f>
        <x:v>15900</x:v>
      </x:c>
      <x:c r="L51" t="n">
        <x:f>((IF(L$1-'Underlying Mechanics'!$B$8&lt;0,0,'Underlying Mechanics'!$B$22*'Underlying Mechanics'!$B$15*INDEX('Underlying Mechanics'!$B$31:$B$51,L$1-'Underlying Mechanics'!$B$8+1)*'Underlying Mechanics'!$B$5))*(1-$A51))-IF(L$1=0,'Underlying Mechanics'!$B$23*(1-$B51),0)-IF(L$1&gt;0,'Underlying Mechanics'!$B$22*'Underlying Mechanics'!$B$17,0)-IF(L$1&gt;0,'Underlying Mechanics'!$B$12*'Underlying Mechanics'!$B$18,0)</x:f>
        <x:v>29340</x:v>
      </x:c>
      <x:c r="M51" t="n">
        <x:f>((IF(M$1-'Underlying Mechanics'!$B$8&lt;0,0,'Underlying Mechanics'!$B$22*'Underlying Mechanics'!$B$15*INDEX('Underlying Mechanics'!$B$31:$B$51,M$1-'Underlying Mechanics'!$B$8+1)*'Underlying Mechanics'!$B$5))*(1-$A51))-IF(M$1=0,'Underlying Mechanics'!$B$23*(1-$B51),0)-IF(M$1&gt;0,'Underlying Mechanics'!$B$22*'Underlying Mechanics'!$B$17,0)-IF(M$1&gt;0,'Underlying Mechanics'!$B$12*'Underlying Mechanics'!$B$18,0)</x:f>
        <x:v>42780.000000000015</x:v>
      </x:c>
      <x:c r="N51" t="n">
        <x:f>((IF(N$1-'Underlying Mechanics'!$B$8&lt;0,0,'Underlying Mechanics'!$B$22*'Underlying Mechanics'!$B$15*INDEX('Underlying Mechanics'!$B$31:$B$51,N$1-'Underlying Mechanics'!$B$8+1)*'Underlying Mechanics'!$B$5))*(1-$A51))-IF(N$1=0,'Underlying Mechanics'!$B$23*(1-$B51),0)-IF(N$1&gt;0,'Underlying Mechanics'!$B$22*'Underlying Mechanics'!$B$17,0)-IF(N$1&gt;0,'Underlying Mechanics'!$B$12*'Underlying Mechanics'!$B$18,0)</x:f>
        <x:v>54300</x:v>
      </x:c>
      <x:c r="O51" t="n">
        <x:f>((IF(O$1-'Underlying Mechanics'!$B$8&lt;0,0,'Underlying Mechanics'!$B$22*'Underlying Mechanics'!$B$15*INDEX('Underlying Mechanics'!$B$31:$B$51,O$1-'Underlying Mechanics'!$B$8+1)*'Underlying Mechanics'!$B$5))*(1-$A51))-IF(O$1=0,'Underlying Mechanics'!$B$23*(1-$B51),0)-IF(O$1&gt;0,'Underlying Mechanics'!$B$22*'Underlying Mechanics'!$B$17,0)-IF(O$1&gt;0,'Underlying Mechanics'!$B$12*'Underlying Mechanics'!$B$18,0)</x:f>
        <x:v>63900</x:v>
      </x:c>
      <x:c r="P51" t="n">
        <x:f>((IF(P$1-'Underlying Mechanics'!$B$8&lt;0,0,'Underlying Mechanics'!$B$22*'Underlying Mechanics'!$B$15*INDEX('Underlying Mechanics'!$B$31:$B$51,P$1-'Underlying Mechanics'!$B$8+1)*'Underlying Mechanics'!$B$5))*(1-$A51))-IF(P$1=0,'Underlying Mechanics'!$B$23*(1-$B51),0)-IF(P$1&gt;0,'Underlying Mechanics'!$B$22*'Underlying Mechanics'!$B$17,0)-IF(P$1&gt;0,'Underlying Mechanics'!$B$12*'Underlying Mechanics'!$B$18,0)</x:f>
        <x:v>73500</x:v>
      </x:c>
      <x:c r="Q51" t="n">
        <x:f>((IF(Q$1-'Underlying Mechanics'!$B$8&lt;0,0,'Underlying Mechanics'!$B$22*'Underlying Mechanics'!$B$15*INDEX('Underlying Mechanics'!$B$31:$B$51,Q$1-'Underlying Mechanics'!$B$8+1)*'Underlying Mechanics'!$B$5))*(1-$A51))-IF(Q$1=0,'Underlying Mechanics'!$B$23*(1-$B51),0)-IF(Q$1&gt;0,'Underlying Mechanics'!$B$22*'Underlying Mechanics'!$B$17,0)-IF(Q$1&gt;0,'Underlying Mechanics'!$B$12*'Underlying Mechanics'!$B$18,0)</x:f>
        <x:v>73500</x:v>
      </x:c>
      <x:c r="R51" t="n">
        <x:f>((IF(R$1-'Underlying Mechanics'!$B$8&lt;0,0,'Underlying Mechanics'!$B$22*'Underlying Mechanics'!$B$15*INDEX('Underlying Mechanics'!$B$31:$B$51,R$1-'Underlying Mechanics'!$B$8+1)*'Underlying Mechanics'!$B$5))*(1-$A51))-IF(R$1=0,'Underlying Mechanics'!$B$23*(1-$B51),0)-IF(R$1&gt;0,'Underlying Mechanics'!$B$22*'Underlying Mechanics'!$B$17,0)-IF(R$1&gt;0,'Underlying Mechanics'!$B$12*'Underlying Mechanics'!$B$18,0)</x:f>
        <x:v>73500</x:v>
      </x:c>
      <x:c r="S51" t="n">
        <x:f>((IF(S$1-'Underlying Mechanics'!$B$8&lt;0,0,'Underlying Mechanics'!$B$22*'Underlying Mechanics'!$B$15*INDEX('Underlying Mechanics'!$B$31:$B$51,S$1-'Underlying Mechanics'!$B$8+1)*'Underlying Mechanics'!$B$5))*(1-$A51))-IF(S$1=0,'Underlying Mechanics'!$B$23*(1-$B51),0)-IF(S$1&gt;0,'Underlying Mechanics'!$B$22*'Underlying Mechanics'!$B$17,0)-IF(S$1&gt;0,'Underlying Mechanics'!$B$12*'Underlying Mechanics'!$B$18,0)</x:f>
        <x:v>73500</x:v>
      </x:c>
      <x:c r="T51" t="n">
        <x:f>((IF(T$1-'Underlying Mechanics'!$B$8&lt;0,0,'Underlying Mechanics'!$B$22*'Underlying Mechanics'!$B$15*INDEX('Underlying Mechanics'!$B$31:$B$51,T$1-'Underlying Mechanics'!$B$8+1)*'Underlying Mechanics'!$B$5))*(1-$A51))-IF(T$1=0,'Underlying Mechanics'!$B$23*(1-$B51),0)-IF(T$1&gt;0,'Underlying Mechanics'!$B$22*'Underlying Mechanics'!$B$17,0)-IF(T$1&gt;0,'Underlying Mechanics'!$B$12*'Underlying Mechanics'!$B$18,0)</x:f>
        <x:v>73500</x:v>
      </x:c>
      <x:c r="U51" t="n">
        <x:f>((IF(U$1-'Underlying Mechanics'!$B$8&lt;0,0,'Underlying Mechanics'!$B$22*'Underlying Mechanics'!$B$15*INDEX('Underlying Mechanics'!$B$31:$B$51,U$1-'Underlying Mechanics'!$B$8+1)*'Underlying Mechanics'!$B$5))*(1-$A51))-IF(U$1=0,'Underlying Mechanics'!$B$23*(1-$B51),0)-IF(U$1&gt;0,'Underlying Mechanics'!$B$22*'Underlying Mechanics'!$B$17,0)-IF(U$1&gt;0,'Underlying Mechanics'!$B$12*'Underlying Mechanics'!$B$18,0)</x:f>
        <x:v>73500</x:v>
      </x:c>
      <x:c r="V51" t="n">
        <x:f>((IF(V$1-'Underlying Mechanics'!$B$8&lt;0,0,'Underlying Mechanics'!$B$22*'Underlying Mechanics'!$B$15*INDEX('Underlying Mechanics'!$B$31:$B$51,V$1-'Underlying Mechanics'!$B$8+1)*'Underlying Mechanics'!$B$5))*(1-$A51))-IF(V$1=0,'Underlying Mechanics'!$B$23*(1-$B51),0)-IF(V$1&gt;0,'Underlying Mechanics'!$B$22*'Underlying Mechanics'!$B$17,0)-IF(V$1&gt;0,'Underlying Mechanics'!$B$12*'Underlying Mechanics'!$B$18,0)</x:f>
        <x:v>73500</x:v>
      </x:c>
      <x:c r="W51" t="n">
        <x:f>((IF(W$1-'Underlying Mechanics'!$B$8&lt;0,0,'Underlying Mechanics'!$B$22*'Underlying Mechanics'!$B$15*INDEX('Underlying Mechanics'!$B$31:$B$51,W$1-'Underlying Mechanics'!$B$8+1)*'Underlying Mechanics'!$B$5))*(1-$A51))-IF(W$1=0,'Underlying Mechanics'!$B$23*(1-$B51),0)-IF(W$1&gt;0,'Underlying Mechanics'!$B$22*'Underlying Mechanics'!$B$17,0)-IF(W$1&gt;0,'Underlying Mechanics'!$B$12*'Underlying Mechanics'!$B$18,0)</x:f>
        <x:v>73500</x:v>
      </x:c>
      <x:c r="X51" t="n">
        <x:f>IFERROR(IRR(C51:W51),-1)</x:f>
        <x:v>0.1130058047449378</x:v>
      </x:c>
    </x:row>
    <x:row r="52">
      <x:c r="A52" t="n">
        <x:v>0.2</x:v>
      </x:c>
      <x:c r="B52" t="n">
        <x:v>0.4</x:v>
      </x:c>
      <x:c r="C52" t="n">
        <x:f>((IF(C$1-'Underlying Mechanics'!$B$8&lt;0,0,'Underlying Mechanics'!$B$22*'Underlying Mechanics'!$B$15*INDEX('Underlying Mechanics'!$B$31:$B$51,C$1-'Underlying Mechanics'!$B$8+1)*'Underlying Mechanics'!$B$5))*(1-$A52))-IF(C$1=0,'Underlying Mechanics'!$B$23*(1-$B52),0)-IF(C$1&gt;0,'Underlying Mechanics'!$B$22*'Underlying Mechanics'!$B$17,0)-IF(C$1&gt;0,'Underlying Mechanics'!$B$12*'Underlying Mechanics'!$B$18,0)</x:f>
        <x:v>-90000</x:v>
      </x:c>
      <x:c r="D52" t="n">
        <x:f>((IF(D$1-'Underlying Mechanics'!$B$8&lt;0,0,'Underlying Mechanics'!$B$22*'Underlying Mechanics'!$B$15*INDEX('Underlying Mechanics'!$B$31:$B$51,D$1-'Underlying Mechanics'!$B$8+1)*'Underlying Mechanics'!$B$5))*(1-$A52))-IF(D$1=0,'Underlying Mechanics'!$B$23*(1-$B52),0)-IF(D$1&gt;0,'Underlying Mechanics'!$B$22*'Underlying Mechanics'!$B$17,0)-IF(D$1&gt;0,'Underlying Mechanics'!$B$12*'Underlying Mechanics'!$B$18,0)</x:f>
        <x:v>-22500</x:v>
      </x:c>
      <x:c r="E52" t="n">
        <x:f>((IF(E$1-'Underlying Mechanics'!$B$8&lt;0,0,'Underlying Mechanics'!$B$22*'Underlying Mechanics'!$B$15*INDEX('Underlying Mechanics'!$B$31:$B$51,E$1-'Underlying Mechanics'!$B$8+1)*'Underlying Mechanics'!$B$5))*(1-$A52))-IF(E$1=0,'Underlying Mechanics'!$B$23*(1-$B52),0)-IF(E$1&gt;0,'Underlying Mechanics'!$B$22*'Underlying Mechanics'!$B$17,0)-IF(E$1&gt;0,'Underlying Mechanics'!$B$12*'Underlying Mechanics'!$B$18,0)</x:f>
        <x:v>-22500</x:v>
      </x:c>
      <x:c r="F52" t="n">
        <x:f>((IF(F$1-'Underlying Mechanics'!$B$8&lt;0,0,'Underlying Mechanics'!$B$22*'Underlying Mechanics'!$B$15*INDEX('Underlying Mechanics'!$B$31:$B$51,F$1-'Underlying Mechanics'!$B$8+1)*'Underlying Mechanics'!$B$5))*(1-$A52))-IF(F$1=0,'Underlying Mechanics'!$B$23*(1-$B52),0)-IF(F$1&gt;0,'Underlying Mechanics'!$B$22*'Underlying Mechanics'!$B$17,0)-IF(F$1&gt;0,'Underlying Mechanics'!$B$12*'Underlying Mechanics'!$B$18,0)</x:f>
        <x:v>-20580</x:v>
      </x:c>
      <x:c r="G52" t="n">
        <x:f>((IF(G$1-'Underlying Mechanics'!$B$8&lt;0,0,'Underlying Mechanics'!$B$22*'Underlying Mechanics'!$B$15*INDEX('Underlying Mechanics'!$B$31:$B$51,G$1-'Underlying Mechanics'!$B$8+1)*'Underlying Mechanics'!$B$5))*(1-$A52))-IF(G$1=0,'Underlying Mechanics'!$B$23*(1-$B52),0)-IF(G$1&gt;0,'Underlying Mechanics'!$B$22*'Underlying Mechanics'!$B$17,0)-IF(G$1&gt;0,'Underlying Mechanics'!$B$12*'Underlying Mechanics'!$B$18,0)</x:f>
        <x:v>-17700</x:v>
      </x:c>
      <x:c r="H52" t="n">
        <x:f>((IF(H$1-'Underlying Mechanics'!$B$8&lt;0,0,'Underlying Mechanics'!$B$22*'Underlying Mechanics'!$B$15*INDEX('Underlying Mechanics'!$B$31:$B$51,H$1-'Underlying Mechanics'!$B$8+1)*'Underlying Mechanics'!$B$5))*(1-$A52))-IF(H$1=0,'Underlying Mechanics'!$B$23*(1-$B52),0)-IF(H$1&gt;0,'Underlying Mechanics'!$B$22*'Underlying Mechanics'!$B$17,0)-IF(H$1&gt;0,'Underlying Mechanics'!$B$12*'Underlying Mechanics'!$B$18,0)</x:f>
        <x:v>-12900</x:v>
      </x:c>
      <x:c r="I52" t="n">
        <x:f>((IF(I$1-'Underlying Mechanics'!$B$8&lt;0,0,'Underlying Mechanics'!$B$22*'Underlying Mechanics'!$B$15*INDEX('Underlying Mechanics'!$B$31:$B$51,I$1-'Underlying Mechanics'!$B$8+1)*'Underlying Mechanics'!$B$5))*(1-$A52))-IF(I$1=0,'Underlying Mechanics'!$B$23*(1-$B52),0)-IF(I$1&gt;0,'Underlying Mechanics'!$B$22*'Underlying Mechanics'!$B$17,0)-IF(I$1&gt;0,'Underlying Mechanics'!$B$12*'Underlying Mechanics'!$B$18,0)</x:f>
        <x:v>-5220</x:v>
      </x:c>
      <x:c r="J52" t="n">
        <x:f>((IF(J$1-'Underlying Mechanics'!$B$8&lt;0,0,'Underlying Mechanics'!$B$22*'Underlying Mechanics'!$B$15*INDEX('Underlying Mechanics'!$B$31:$B$51,J$1-'Underlying Mechanics'!$B$8+1)*'Underlying Mechanics'!$B$5))*(1-$A52))-IF(J$1=0,'Underlying Mechanics'!$B$23*(1-$B52),0)-IF(J$1&gt;0,'Underlying Mechanics'!$B$22*'Underlying Mechanics'!$B$17,0)-IF(J$1&gt;0,'Underlying Mechanics'!$B$12*'Underlying Mechanics'!$B$18,0)</x:f>
        <x:v>4380.000000000007</x:v>
      </x:c>
      <x:c r="K52" t="n">
        <x:f>((IF(K$1-'Underlying Mechanics'!$B$8&lt;0,0,'Underlying Mechanics'!$B$22*'Underlying Mechanics'!$B$15*INDEX('Underlying Mechanics'!$B$31:$B$51,K$1-'Underlying Mechanics'!$B$8+1)*'Underlying Mechanics'!$B$5))*(1-$A52))-IF(K$1=0,'Underlying Mechanics'!$B$23*(1-$B52),0)-IF(K$1&gt;0,'Underlying Mechanics'!$B$22*'Underlying Mechanics'!$B$17,0)-IF(K$1&gt;0,'Underlying Mechanics'!$B$12*'Underlying Mechanics'!$B$18,0)</x:f>
        <x:v>15900</x:v>
      </x:c>
      <x:c r="L52" t="n">
        <x:f>((IF(L$1-'Underlying Mechanics'!$B$8&lt;0,0,'Underlying Mechanics'!$B$22*'Underlying Mechanics'!$B$15*INDEX('Underlying Mechanics'!$B$31:$B$51,L$1-'Underlying Mechanics'!$B$8+1)*'Underlying Mechanics'!$B$5))*(1-$A52))-IF(L$1=0,'Underlying Mechanics'!$B$23*(1-$B52),0)-IF(L$1&gt;0,'Underlying Mechanics'!$B$22*'Underlying Mechanics'!$B$17,0)-IF(L$1&gt;0,'Underlying Mechanics'!$B$12*'Underlying Mechanics'!$B$18,0)</x:f>
        <x:v>29340</x:v>
      </x:c>
      <x:c r="M52" t="n">
        <x:f>((IF(M$1-'Underlying Mechanics'!$B$8&lt;0,0,'Underlying Mechanics'!$B$22*'Underlying Mechanics'!$B$15*INDEX('Underlying Mechanics'!$B$31:$B$51,M$1-'Underlying Mechanics'!$B$8+1)*'Underlying Mechanics'!$B$5))*(1-$A52))-IF(M$1=0,'Underlying Mechanics'!$B$23*(1-$B52),0)-IF(M$1&gt;0,'Underlying Mechanics'!$B$22*'Underlying Mechanics'!$B$17,0)-IF(M$1&gt;0,'Underlying Mechanics'!$B$12*'Underlying Mechanics'!$B$18,0)</x:f>
        <x:v>42780.000000000015</x:v>
      </x:c>
      <x:c r="N52" t="n">
        <x:f>((IF(N$1-'Underlying Mechanics'!$B$8&lt;0,0,'Underlying Mechanics'!$B$22*'Underlying Mechanics'!$B$15*INDEX('Underlying Mechanics'!$B$31:$B$51,N$1-'Underlying Mechanics'!$B$8+1)*'Underlying Mechanics'!$B$5))*(1-$A52))-IF(N$1=0,'Underlying Mechanics'!$B$23*(1-$B52),0)-IF(N$1&gt;0,'Underlying Mechanics'!$B$22*'Underlying Mechanics'!$B$17,0)-IF(N$1&gt;0,'Underlying Mechanics'!$B$12*'Underlying Mechanics'!$B$18,0)</x:f>
        <x:v>54300</x:v>
      </x:c>
      <x:c r="O52" t="n">
        <x:f>((IF(O$1-'Underlying Mechanics'!$B$8&lt;0,0,'Underlying Mechanics'!$B$22*'Underlying Mechanics'!$B$15*INDEX('Underlying Mechanics'!$B$31:$B$51,O$1-'Underlying Mechanics'!$B$8+1)*'Underlying Mechanics'!$B$5))*(1-$A52))-IF(O$1=0,'Underlying Mechanics'!$B$23*(1-$B52),0)-IF(O$1&gt;0,'Underlying Mechanics'!$B$22*'Underlying Mechanics'!$B$17,0)-IF(O$1&gt;0,'Underlying Mechanics'!$B$12*'Underlying Mechanics'!$B$18,0)</x:f>
        <x:v>63900</x:v>
      </x:c>
      <x:c r="P52" t="n">
        <x:f>((IF(P$1-'Underlying Mechanics'!$B$8&lt;0,0,'Underlying Mechanics'!$B$22*'Underlying Mechanics'!$B$15*INDEX('Underlying Mechanics'!$B$31:$B$51,P$1-'Underlying Mechanics'!$B$8+1)*'Underlying Mechanics'!$B$5))*(1-$A52))-IF(P$1=0,'Underlying Mechanics'!$B$23*(1-$B52),0)-IF(P$1&gt;0,'Underlying Mechanics'!$B$22*'Underlying Mechanics'!$B$17,0)-IF(P$1&gt;0,'Underlying Mechanics'!$B$12*'Underlying Mechanics'!$B$18,0)</x:f>
        <x:v>73500</x:v>
      </x:c>
      <x:c r="Q52" t="n">
        <x:f>((IF(Q$1-'Underlying Mechanics'!$B$8&lt;0,0,'Underlying Mechanics'!$B$22*'Underlying Mechanics'!$B$15*INDEX('Underlying Mechanics'!$B$31:$B$51,Q$1-'Underlying Mechanics'!$B$8+1)*'Underlying Mechanics'!$B$5))*(1-$A52))-IF(Q$1=0,'Underlying Mechanics'!$B$23*(1-$B52),0)-IF(Q$1&gt;0,'Underlying Mechanics'!$B$22*'Underlying Mechanics'!$B$17,0)-IF(Q$1&gt;0,'Underlying Mechanics'!$B$12*'Underlying Mechanics'!$B$18,0)</x:f>
        <x:v>73500</x:v>
      </x:c>
      <x:c r="R52" t="n">
        <x:f>((IF(R$1-'Underlying Mechanics'!$B$8&lt;0,0,'Underlying Mechanics'!$B$22*'Underlying Mechanics'!$B$15*INDEX('Underlying Mechanics'!$B$31:$B$51,R$1-'Underlying Mechanics'!$B$8+1)*'Underlying Mechanics'!$B$5))*(1-$A52))-IF(R$1=0,'Underlying Mechanics'!$B$23*(1-$B52),0)-IF(R$1&gt;0,'Underlying Mechanics'!$B$22*'Underlying Mechanics'!$B$17,0)-IF(R$1&gt;0,'Underlying Mechanics'!$B$12*'Underlying Mechanics'!$B$18,0)</x:f>
        <x:v>73500</x:v>
      </x:c>
      <x:c r="S52" t="n">
        <x:f>((IF(S$1-'Underlying Mechanics'!$B$8&lt;0,0,'Underlying Mechanics'!$B$22*'Underlying Mechanics'!$B$15*INDEX('Underlying Mechanics'!$B$31:$B$51,S$1-'Underlying Mechanics'!$B$8+1)*'Underlying Mechanics'!$B$5))*(1-$A52))-IF(S$1=0,'Underlying Mechanics'!$B$23*(1-$B52),0)-IF(S$1&gt;0,'Underlying Mechanics'!$B$22*'Underlying Mechanics'!$B$17,0)-IF(S$1&gt;0,'Underlying Mechanics'!$B$12*'Underlying Mechanics'!$B$18,0)</x:f>
        <x:v>73500</x:v>
      </x:c>
      <x:c r="T52" t="n">
        <x:f>((IF(T$1-'Underlying Mechanics'!$B$8&lt;0,0,'Underlying Mechanics'!$B$22*'Underlying Mechanics'!$B$15*INDEX('Underlying Mechanics'!$B$31:$B$51,T$1-'Underlying Mechanics'!$B$8+1)*'Underlying Mechanics'!$B$5))*(1-$A52))-IF(T$1=0,'Underlying Mechanics'!$B$23*(1-$B52),0)-IF(T$1&gt;0,'Underlying Mechanics'!$B$22*'Underlying Mechanics'!$B$17,0)-IF(T$1&gt;0,'Underlying Mechanics'!$B$12*'Underlying Mechanics'!$B$18,0)</x:f>
        <x:v>73500</x:v>
      </x:c>
      <x:c r="U52" t="n">
        <x:f>((IF(U$1-'Underlying Mechanics'!$B$8&lt;0,0,'Underlying Mechanics'!$B$22*'Underlying Mechanics'!$B$15*INDEX('Underlying Mechanics'!$B$31:$B$51,U$1-'Underlying Mechanics'!$B$8+1)*'Underlying Mechanics'!$B$5))*(1-$A52))-IF(U$1=0,'Underlying Mechanics'!$B$23*(1-$B52),0)-IF(U$1&gt;0,'Underlying Mechanics'!$B$22*'Underlying Mechanics'!$B$17,0)-IF(U$1&gt;0,'Underlying Mechanics'!$B$12*'Underlying Mechanics'!$B$18,0)</x:f>
        <x:v>73500</x:v>
      </x:c>
      <x:c r="V52" t="n">
        <x:f>((IF(V$1-'Underlying Mechanics'!$B$8&lt;0,0,'Underlying Mechanics'!$B$22*'Underlying Mechanics'!$B$15*INDEX('Underlying Mechanics'!$B$31:$B$51,V$1-'Underlying Mechanics'!$B$8+1)*'Underlying Mechanics'!$B$5))*(1-$A52))-IF(V$1=0,'Underlying Mechanics'!$B$23*(1-$B52),0)-IF(V$1&gt;0,'Underlying Mechanics'!$B$22*'Underlying Mechanics'!$B$17,0)-IF(V$1&gt;0,'Underlying Mechanics'!$B$12*'Underlying Mechanics'!$B$18,0)</x:f>
        <x:v>73500</x:v>
      </x:c>
      <x:c r="W52" t="n">
        <x:f>((IF(W$1-'Underlying Mechanics'!$B$8&lt;0,0,'Underlying Mechanics'!$B$22*'Underlying Mechanics'!$B$15*INDEX('Underlying Mechanics'!$B$31:$B$51,W$1-'Underlying Mechanics'!$B$8+1)*'Underlying Mechanics'!$B$5))*(1-$A52))-IF(W$1=0,'Underlying Mechanics'!$B$23*(1-$B52),0)-IF(W$1&gt;0,'Underlying Mechanics'!$B$22*'Underlying Mechanics'!$B$17,0)-IF(W$1&gt;0,'Underlying Mechanics'!$B$12*'Underlying Mechanics'!$B$18,0)</x:f>
        <x:v>73500</x:v>
      </x:c>
      <x:c r="X52" t="n">
        <x:f>IFERROR(IRR(C52:W52),-1)</x:f>
        <x:v>0.11698306211161479</x:v>
      </x:c>
    </x:row>
    <x:row r="53">
      <x:c r="A53" t="n">
        <x:v>0.2</x:v>
      </x:c>
      <x:c r="B53" t="n">
        <x:v>0.45</x:v>
      </x:c>
      <x:c r="C53" t="n">
        <x:f>((IF(C$1-'Underlying Mechanics'!$B$8&lt;0,0,'Underlying Mechanics'!$B$22*'Underlying Mechanics'!$B$15*INDEX('Underlying Mechanics'!$B$31:$B$51,C$1-'Underlying Mechanics'!$B$8+1)*'Underlying Mechanics'!$B$5))*(1-$A53))-IF(C$1=0,'Underlying Mechanics'!$B$23*(1-$B53),0)-IF(C$1&gt;0,'Underlying Mechanics'!$B$22*'Underlying Mechanics'!$B$17,0)-IF(C$1&gt;0,'Underlying Mechanics'!$B$12*'Underlying Mechanics'!$B$18,0)</x:f>
        <x:v>-82500</x:v>
      </x:c>
      <x:c r="D53" t="n">
        <x:f>((IF(D$1-'Underlying Mechanics'!$B$8&lt;0,0,'Underlying Mechanics'!$B$22*'Underlying Mechanics'!$B$15*INDEX('Underlying Mechanics'!$B$31:$B$51,D$1-'Underlying Mechanics'!$B$8+1)*'Underlying Mechanics'!$B$5))*(1-$A53))-IF(D$1=0,'Underlying Mechanics'!$B$23*(1-$B53),0)-IF(D$1&gt;0,'Underlying Mechanics'!$B$22*'Underlying Mechanics'!$B$17,0)-IF(D$1&gt;0,'Underlying Mechanics'!$B$12*'Underlying Mechanics'!$B$18,0)</x:f>
        <x:v>-22500</x:v>
      </x:c>
      <x:c r="E53" t="n">
        <x:f>((IF(E$1-'Underlying Mechanics'!$B$8&lt;0,0,'Underlying Mechanics'!$B$22*'Underlying Mechanics'!$B$15*INDEX('Underlying Mechanics'!$B$31:$B$51,E$1-'Underlying Mechanics'!$B$8+1)*'Underlying Mechanics'!$B$5))*(1-$A53))-IF(E$1=0,'Underlying Mechanics'!$B$23*(1-$B53),0)-IF(E$1&gt;0,'Underlying Mechanics'!$B$22*'Underlying Mechanics'!$B$17,0)-IF(E$1&gt;0,'Underlying Mechanics'!$B$12*'Underlying Mechanics'!$B$18,0)</x:f>
        <x:v>-22500</x:v>
      </x:c>
      <x:c r="F53" t="n">
        <x:f>((IF(F$1-'Underlying Mechanics'!$B$8&lt;0,0,'Underlying Mechanics'!$B$22*'Underlying Mechanics'!$B$15*INDEX('Underlying Mechanics'!$B$31:$B$51,F$1-'Underlying Mechanics'!$B$8+1)*'Underlying Mechanics'!$B$5))*(1-$A53))-IF(F$1=0,'Underlying Mechanics'!$B$23*(1-$B53),0)-IF(F$1&gt;0,'Underlying Mechanics'!$B$22*'Underlying Mechanics'!$B$17,0)-IF(F$1&gt;0,'Underlying Mechanics'!$B$12*'Underlying Mechanics'!$B$18,0)</x:f>
        <x:v>-20580</x:v>
      </x:c>
      <x:c r="G53" t="n">
        <x:f>((IF(G$1-'Underlying Mechanics'!$B$8&lt;0,0,'Underlying Mechanics'!$B$22*'Underlying Mechanics'!$B$15*INDEX('Underlying Mechanics'!$B$31:$B$51,G$1-'Underlying Mechanics'!$B$8+1)*'Underlying Mechanics'!$B$5))*(1-$A53))-IF(G$1=0,'Underlying Mechanics'!$B$23*(1-$B53),0)-IF(G$1&gt;0,'Underlying Mechanics'!$B$22*'Underlying Mechanics'!$B$17,0)-IF(G$1&gt;0,'Underlying Mechanics'!$B$12*'Underlying Mechanics'!$B$18,0)</x:f>
        <x:v>-17700</x:v>
      </x:c>
      <x:c r="H53" t="n">
        <x:f>((IF(H$1-'Underlying Mechanics'!$B$8&lt;0,0,'Underlying Mechanics'!$B$22*'Underlying Mechanics'!$B$15*INDEX('Underlying Mechanics'!$B$31:$B$51,H$1-'Underlying Mechanics'!$B$8+1)*'Underlying Mechanics'!$B$5))*(1-$A53))-IF(H$1=0,'Underlying Mechanics'!$B$23*(1-$B53),0)-IF(H$1&gt;0,'Underlying Mechanics'!$B$22*'Underlying Mechanics'!$B$17,0)-IF(H$1&gt;0,'Underlying Mechanics'!$B$12*'Underlying Mechanics'!$B$18,0)</x:f>
        <x:v>-12900</x:v>
      </x:c>
      <x:c r="I53" t="n">
        <x:f>((IF(I$1-'Underlying Mechanics'!$B$8&lt;0,0,'Underlying Mechanics'!$B$22*'Underlying Mechanics'!$B$15*INDEX('Underlying Mechanics'!$B$31:$B$51,I$1-'Underlying Mechanics'!$B$8+1)*'Underlying Mechanics'!$B$5))*(1-$A53))-IF(I$1=0,'Underlying Mechanics'!$B$23*(1-$B53),0)-IF(I$1&gt;0,'Underlying Mechanics'!$B$22*'Underlying Mechanics'!$B$17,0)-IF(I$1&gt;0,'Underlying Mechanics'!$B$12*'Underlying Mechanics'!$B$18,0)</x:f>
        <x:v>-5220</x:v>
      </x:c>
      <x:c r="J53" t="n">
        <x:f>((IF(J$1-'Underlying Mechanics'!$B$8&lt;0,0,'Underlying Mechanics'!$B$22*'Underlying Mechanics'!$B$15*INDEX('Underlying Mechanics'!$B$31:$B$51,J$1-'Underlying Mechanics'!$B$8+1)*'Underlying Mechanics'!$B$5))*(1-$A53))-IF(J$1=0,'Underlying Mechanics'!$B$23*(1-$B53),0)-IF(J$1&gt;0,'Underlying Mechanics'!$B$22*'Underlying Mechanics'!$B$17,0)-IF(J$1&gt;0,'Underlying Mechanics'!$B$12*'Underlying Mechanics'!$B$18,0)</x:f>
        <x:v>4380.000000000007</x:v>
      </x:c>
      <x:c r="K53" t="n">
        <x:f>((IF(K$1-'Underlying Mechanics'!$B$8&lt;0,0,'Underlying Mechanics'!$B$22*'Underlying Mechanics'!$B$15*INDEX('Underlying Mechanics'!$B$31:$B$51,K$1-'Underlying Mechanics'!$B$8+1)*'Underlying Mechanics'!$B$5))*(1-$A53))-IF(K$1=0,'Underlying Mechanics'!$B$23*(1-$B53),0)-IF(K$1&gt;0,'Underlying Mechanics'!$B$22*'Underlying Mechanics'!$B$17,0)-IF(K$1&gt;0,'Underlying Mechanics'!$B$12*'Underlying Mechanics'!$B$18,0)</x:f>
        <x:v>15900</x:v>
      </x:c>
      <x:c r="L53" t="n">
        <x:f>((IF(L$1-'Underlying Mechanics'!$B$8&lt;0,0,'Underlying Mechanics'!$B$22*'Underlying Mechanics'!$B$15*INDEX('Underlying Mechanics'!$B$31:$B$51,L$1-'Underlying Mechanics'!$B$8+1)*'Underlying Mechanics'!$B$5))*(1-$A53))-IF(L$1=0,'Underlying Mechanics'!$B$23*(1-$B53),0)-IF(L$1&gt;0,'Underlying Mechanics'!$B$22*'Underlying Mechanics'!$B$17,0)-IF(L$1&gt;0,'Underlying Mechanics'!$B$12*'Underlying Mechanics'!$B$18,0)</x:f>
        <x:v>29340</x:v>
      </x:c>
      <x:c r="M53" t="n">
        <x:f>((IF(M$1-'Underlying Mechanics'!$B$8&lt;0,0,'Underlying Mechanics'!$B$22*'Underlying Mechanics'!$B$15*INDEX('Underlying Mechanics'!$B$31:$B$51,M$1-'Underlying Mechanics'!$B$8+1)*'Underlying Mechanics'!$B$5))*(1-$A53))-IF(M$1=0,'Underlying Mechanics'!$B$23*(1-$B53),0)-IF(M$1&gt;0,'Underlying Mechanics'!$B$22*'Underlying Mechanics'!$B$17,0)-IF(M$1&gt;0,'Underlying Mechanics'!$B$12*'Underlying Mechanics'!$B$18,0)</x:f>
        <x:v>42780.000000000015</x:v>
      </x:c>
      <x:c r="N53" t="n">
        <x:f>((IF(N$1-'Underlying Mechanics'!$B$8&lt;0,0,'Underlying Mechanics'!$B$22*'Underlying Mechanics'!$B$15*INDEX('Underlying Mechanics'!$B$31:$B$51,N$1-'Underlying Mechanics'!$B$8+1)*'Underlying Mechanics'!$B$5))*(1-$A53))-IF(N$1=0,'Underlying Mechanics'!$B$23*(1-$B53),0)-IF(N$1&gt;0,'Underlying Mechanics'!$B$22*'Underlying Mechanics'!$B$17,0)-IF(N$1&gt;0,'Underlying Mechanics'!$B$12*'Underlying Mechanics'!$B$18,0)</x:f>
        <x:v>54300</x:v>
      </x:c>
      <x:c r="O53" t="n">
        <x:f>((IF(O$1-'Underlying Mechanics'!$B$8&lt;0,0,'Underlying Mechanics'!$B$22*'Underlying Mechanics'!$B$15*INDEX('Underlying Mechanics'!$B$31:$B$51,O$1-'Underlying Mechanics'!$B$8+1)*'Underlying Mechanics'!$B$5))*(1-$A53))-IF(O$1=0,'Underlying Mechanics'!$B$23*(1-$B53),0)-IF(O$1&gt;0,'Underlying Mechanics'!$B$22*'Underlying Mechanics'!$B$17,0)-IF(O$1&gt;0,'Underlying Mechanics'!$B$12*'Underlying Mechanics'!$B$18,0)</x:f>
        <x:v>63900</x:v>
      </x:c>
      <x:c r="P53" t="n">
        <x:f>((IF(P$1-'Underlying Mechanics'!$B$8&lt;0,0,'Underlying Mechanics'!$B$22*'Underlying Mechanics'!$B$15*INDEX('Underlying Mechanics'!$B$31:$B$51,P$1-'Underlying Mechanics'!$B$8+1)*'Underlying Mechanics'!$B$5))*(1-$A53))-IF(P$1=0,'Underlying Mechanics'!$B$23*(1-$B53),0)-IF(P$1&gt;0,'Underlying Mechanics'!$B$22*'Underlying Mechanics'!$B$17,0)-IF(P$1&gt;0,'Underlying Mechanics'!$B$12*'Underlying Mechanics'!$B$18,0)</x:f>
        <x:v>73500</x:v>
      </x:c>
      <x:c r="Q53" t="n">
        <x:f>((IF(Q$1-'Underlying Mechanics'!$B$8&lt;0,0,'Underlying Mechanics'!$B$22*'Underlying Mechanics'!$B$15*INDEX('Underlying Mechanics'!$B$31:$B$51,Q$1-'Underlying Mechanics'!$B$8+1)*'Underlying Mechanics'!$B$5))*(1-$A53))-IF(Q$1=0,'Underlying Mechanics'!$B$23*(1-$B53),0)-IF(Q$1&gt;0,'Underlying Mechanics'!$B$22*'Underlying Mechanics'!$B$17,0)-IF(Q$1&gt;0,'Underlying Mechanics'!$B$12*'Underlying Mechanics'!$B$18,0)</x:f>
        <x:v>73500</x:v>
      </x:c>
      <x:c r="R53" t="n">
        <x:f>((IF(R$1-'Underlying Mechanics'!$B$8&lt;0,0,'Underlying Mechanics'!$B$22*'Underlying Mechanics'!$B$15*INDEX('Underlying Mechanics'!$B$31:$B$51,R$1-'Underlying Mechanics'!$B$8+1)*'Underlying Mechanics'!$B$5))*(1-$A53))-IF(R$1=0,'Underlying Mechanics'!$B$23*(1-$B53),0)-IF(R$1&gt;0,'Underlying Mechanics'!$B$22*'Underlying Mechanics'!$B$17,0)-IF(R$1&gt;0,'Underlying Mechanics'!$B$12*'Underlying Mechanics'!$B$18,0)</x:f>
        <x:v>73500</x:v>
      </x:c>
      <x:c r="S53" t="n">
        <x:f>((IF(S$1-'Underlying Mechanics'!$B$8&lt;0,0,'Underlying Mechanics'!$B$22*'Underlying Mechanics'!$B$15*INDEX('Underlying Mechanics'!$B$31:$B$51,S$1-'Underlying Mechanics'!$B$8+1)*'Underlying Mechanics'!$B$5))*(1-$A53))-IF(S$1=0,'Underlying Mechanics'!$B$23*(1-$B53),0)-IF(S$1&gt;0,'Underlying Mechanics'!$B$22*'Underlying Mechanics'!$B$17,0)-IF(S$1&gt;0,'Underlying Mechanics'!$B$12*'Underlying Mechanics'!$B$18,0)</x:f>
        <x:v>73500</x:v>
      </x:c>
      <x:c r="T53" t="n">
        <x:f>((IF(T$1-'Underlying Mechanics'!$B$8&lt;0,0,'Underlying Mechanics'!$B$22*'Underlying Mechanics'!$B$15*INDEX('Underlying Mechanics'!$B$31:$B$51,T$1-'Underlying Mechanics'!$B$8+1)*'Underlying Mechanics'!$B$5))*(1-$A53))-IF(T$1=0,'Underlying Mechanics'!$B$23*(1-$B53),0)-IF(T$1&gt;0,'Underlying Mechanics'!$B$22*'Underlying Mechanics'!$B$17,0)-IF(T$1&gt;0,'Underlying Mechanics'!$B$12*'Underlying Mechanics'!$B$18,0)</x:f>
        <x:v>73500</x:v>
      </x:c>
      <x:c r="U53" t="n">
        <x:f>((IF(U$1-'Underlying Mechanics'!$B$8&lt;0,0,'Underlying Mechanics'!$B$22*'Underlying Mechanics'!$B$15*INDEX('Underlying Mechanics'!$B$31:$B$51,U$1-'Underlying Mechanics'!$B$8+1)*'Underlying Mechanics'!$B$5))*(1-$A53))-IF(U$1=0,'Underlying Mechanics'!$B$23*(1-$B53),0)-IF(U$1&gt;0,'Underlying Mechanics'!$B$22*'Underlying Mechanics'!$B$17,0)-IF(U$1&gt;0,'Underlying Mechanics'!$B$12*'Underlying Mechanics'!$B$18,0)</x:f>
        <x:v>73500</x:v>
      </x:c>
      <x:c r="V53" t="n">
        <x:f>((IF(V$1-'Underlying Mechanics'!$B$8&lt;0,0,'Underlying Mechanics'!$B$22*'Underlying Mechanics'!$B$15*INDEX('Underlying Mechanics'!$B$31:$B$51,V$1-'Underlying Mechanics'!$B$8+1)*'Underlying Mechanics'!$B$5))*(1-$A53))-IF(V$1=0,'Underlying Mechanics'!$B$23*(1-$B53),0)-IF(V$1&gt;0,'Underlying Mechanics'!$B$22*'Underlying Mechanics'!$B$17,0)-IF(V$1&gt;0,'Underlying Mechanics'!$B$12*'Underlying Mechanics'!$B$18,0)</x:f>
        <x:v>73500</x:v>
      </x:c>
      <x:c r="W53" t="n">
        <x:f>((IF(W$1-'Underlying Mechanics'!$B$8&lt;0,0,'Underlying Mechanics'!$B$22*'Underlying Mechanics'!$B$15*INDEX('Underlying Mechanics'!$B$31:$B$51,W$1-'Underlying Mechanics'!$B$8+1)*'Underlying Mechanics'!$B$5))*(1-$A53))-IF(W$1=0,'Underlying Mechanics'!$B$23*(1-$B53),0)-IF(W$1&gt;0,'Underlying Mechanics'!$B$22*'Underlying Mechanics'!$B$17,0)-IF(W$1&gt;0,'Underlying Mechanics'!$B$12*'Underlying Mechanics'!$B$18,0)</x:f>
        <x:v>73500</x:v>
      </x:c>
      <x:c r="X53" t="n">
        <x:f>IFERROR(IRR(C53:W53),-1)</x:f>
        <x:v>0.12120961202491126</x:v>
      </x:c>
    </x:row>
    <x:row r="54">
      <x:c r="A54" t="n">
        <x:v>0.2</x:v>
      </x:c>
      <x:c r="B54" t="n">
        <x:v>0.5</x:v>
      </x:c>
      <x:c r="C54" t="n">
        <x:f>((IF(C$1-'Underlying Mechanics'!$B$8&lt;0,0,'Underlying Mechanics'!$B$22*'Underlying Mechanics'!$B$15*INDEX('Underlying Mechanics'!$B$31:$B$51,C$1-'Underlying Mechanics'!$B$8+1)*'Underlying Mechanics'!$B$5))*(1-$A54))-IF(C$1=0,'Underlying Mechanics'!$B$23*(1-$B54),0)-IF(C$1&gt;0,'Underlying Mechanics'!$B$22*'Underlying Mechanics'!$B$17,0)-IF(C$1&gt;0,'Underlying Mechanics'!$B$12*'Underlying Mechanics'!$B$18,0)</x:f>
        <x:v>-75000</x:v>
      </x:c>
      <x:c r="D54" t="n">
        <x:f>((IF(D$1-'Underlying Mechanics'!$B$8&lt;0,0,'Underlying Mechanics'!$B$22*'Underlying Mechanics'!$B$15*INDEX('Underlying Mechanics'!$B$31:$B$51,D$1-'Underlying Mechanics'!$B$8+1)*'Underlying Mechanics'!$B$5))*(1-$A54))-IF(D$1=0,'Underlying Mechanics'!$B$23*(1-$B54),0)-IF(D$1&gt;0,'Underlying Mechanics'!$B$22*'Underlying Mechanics'!$B$17,0)-IF(D$1&gt;0,'Underlying Mechanics'!$B$12*'Underlying Mechanics'!$B$18,0)</x:f>
        <x:v>-22500</x:v>
      </x:c>
      <x:c r="E54" t="n">
        <x:f>((IF(E$1-'Underlying Mechanics'!$B$8&lt;0,0,'Underlying Mechanics'!$B$22*'Underlying Mechanics'!$B$15*INDEX('Underlying Mechanics'!$B$31:$B$51,E$1-'Underlying Mechanics'!$B$8+1)*'Underlying Mechanics'!$B$5))*(1-$A54))-IF(E$1=0,'Underlying Mechanics'!$B$23*(1-$B54),0)-IF(E$1&gt;0,'Underlying Mechanics'!$B$22*'Underlying Mechanics'!$B$17,0)-IF(E$1&gt;0,'Underlying Mechanics'!$B$12*'Underlying Mechanics'!$B$18,0)</x:f>
        <x:v>-22500</x:v>
      </x:c>
      <x:c r="F54" t="n">
        <x:f>((IF(F$1-'Underlying Mechanics'!$B$8&lt;0,0,'Underlying Mechanics'!$B$22*'Underlying Mechanics'!$B$15*INDEX('Underlying Mechanics'!$B$31:$B$51,F$1-'Underlying Mechanics'!$B$8+1)*'Underlying Mechanics'!$B$5))*(1-$A54))-IF(F$1=0,'Underlying Mechanics'!$B$23*(1-$B54),0)-IF(F$1&gt;0,'Underlying Mechanics'!$B$22*'Underlying Mechanics'!$B$17,0)-IF(F$1&gt;0,'Underlying Mechanics'!$B$12*'Underlying Mechanics'!$B$18,0)</x:f>
        <x:v>-20580</x:v>
      </x:c>
      <x:c r="G54" t="n">
        <x:f>((IF(G$1-'Underlying Mechanics'!$B$8&lt;0,0,'Underlying Mechanics'!$B$22*'Underlying Mechanics'!$B$15*INDEX('Underlying Mechanics'!$B$31:$B$51,G$1-'Underlying Mechanics'!$B$8+1)*'Underlying Mechanics'!$B$5))*(1-$A54))-IF(G$1=0,'Underlying Mechanics'!$B$23*(1-$B54),0)-IF(G$1&gt;0,'Underlying Mechanics'!$B$22*'Underlying Mechanics'!$B$17,0)-IF(G$1&gt;0,'Underlying Mechanics'!$B$12*'Underlying Mechanics'!$B$18,0)</x:f>
        <x:v>-17700</x:v>
      </x:c>
      <x:c r="H54" t="n">
        <x:f>((IF(H$1-'Underlying Mechanics'!$B$8&lt;0,0,'Underlying Mechanics'!$B$22*'Underlying Mechanics'!$B$15*INDEX('Underlying Mechanics'!$B$31:$B$51,H$1-'Underlying Mechanics'!$B$8+1)*'Underlying Mechanics'!$B$5))*(1-$A54))-IF(H$1=0,'Underlying Mechanics'!$B$23*(1-$B54),0)-IF(H$1&gt;0,'Underlying Mechanics'!$B$22*'Underlying Mechanics'!$B$17,0)-IF(H$1&gt;0,'Underlying Mechanics'!$B$12*'Underlying Mechanics'!$B$18,0)</x:f>
        <x:v>-12900</x:v>
      </x:c>
      <x:c r="I54" t="n">
        <x:f>((IF(I$1-'Underlying Mechanics'!$B$8&lt;0,0,'Underlying Mechanics'!$B$22*'Underlying Mechanics'!$B$15*INDEX('Underlying Mechanics'!$B$31:$B$51,I$1-'Underlying Mechanics'!$B$8+1)*'Underlying Mechanics'!$B$5))*(1-$A54))-IF(I$1=0,'Underlying Mechanics'!$B$23*(1-$B54),0)-IF(I$1&gt;0,'Underlying Mechanics'!$B$22*'Underlying Mechanics'!$B$17,0)-IF(I$1&gt;0,'Underlying Mechanics'!$B$12*'Underlying Mechanics'!$B$18,0)</x:f>
        <x:v>-5220</x:v>
      </x:c>
      <x:c r="J54" t="n">
        <x:f>((IF(J$1-'Underlying Mechanics'!$B$8&lt;0,0,'Underlying Mechanics'!$B$22*'Underlying Mechanics'!$B$15*INDEX('Underlying Mechanics'!$B$31:$B$51,J$1-'Underlying Mechanics'!$B$8+1)*'Underlying Mechanics'!$B$5))*(1-$A54))-IF(J$1=0,'Underlying Mechanics'!$B$23*(1-$B54),0)-IF(J$1&gt;0,'Underlying Mechanics'!$B$22*'Underlying Mechanics'!$B$17,0)-IF(J$1&gt;0,'Underlying Mechanics'!$B$12*'Underlying Mechanics'!$B$18,0)</x:f>
        <x:v>4380.000000000007</x:v>
      </x:c>
      <x:c r="K54" t="n">
        <x:f>((IF(K$1-'Underlying Mechanics'!$B$8&lt;0,0,'Underlying Mechanics'!$B$22*'Underlying Mechanics'!$B$15*INDEX('Underlying Mechanics'!$B$31:$B$51,K$1-'Underlying Mechanics'!$B$8+1)*'Underlying Mechanics'!$B$5))*(1-$A54))-IF(K$1=0,'Underlying Mechanics'!$B$23*(1-$B54),0)-IF(K$1&gt;0,'Underlying Mechanics'!$B$22*'Underlying Mechanics'!$B$17,0)-IF(K$1&gt;0,'Underlying Mechanics'!$B$12*'Underlying Mechanics'!$B$18,0)</x:f>
        <x:v>15900</x:v>
      </x:c>
      <x:c r="L54" t="n">
        <x:f>((IF(L$1-'Underlying Mechanics'!$B$8&lt;0,0,'Underlying Mechanics'!$B$22*'Underlying Mechanics'!$B$15*INDEX('Underlying Mechanics'!$B$31:$B$51,L$1-'Underlying Mechanics'!$B$8+1)*'Underlying Mechanics'!$B$5))*(1-$A54))-IF(L$1=0,'Underlying Mechanics'!$B$23*(1-$B54),0)-IF(L$1&gt;0,'Underlying Mechanics'!$B$22*'Underlying Mechanics'!$B$17,0)-IF(L$1&gt;0,'Underlying Mechanics'!$B$12*'Underlying Mechanics'!$B$18,0)</x:f>
        <x:v>29340</x:v>
      </x:c>
      <x:c r="M54" t="n">
        <x:f>((IF(M$1-'Underlying Mechanics'!$B$8&lt;0,0,'Underlying Mechanics'!$B$22*'Underlying Mechanics'!$B$15*INDEX('Underlying Mechanics'!$B$31:$B$51,M$1-'Underlying Mechanics'!$B$8+1)*'Underlying Mechanics'!$B$5))*(1-$A54))-IF(M$1=0,'Underlying Mechanics'!$B$23*(1-$B54),0)-IF(M$1&gt;0,'Underlying Mechanics'!$B$22*'Underlying Mechanics'!$B$17,0)-IF(M$1&gt;0,'Underlying Mechanics'!$B$12*'Underlying Mechanics'!$B$18,0)</x:f>
        <x:v>42780.000000000015</x:v>
      </x:c>
      <x:c r="N54" t="n">
        <x:f>((IF(N$1-'Underlying Mechanics'!$B$8&lt;0,0,'Underlying Mechanics'!$B$22*'Underlying Mechanics'!$B$15*INDEX('Underlying Mechanics'!$B$31:$B$51,N$1-'Underlying Mechanics'!$B$8+1)*'Underlying Mechanics'!$B$5))*(1-$A54))-IF(N$1=0,'Underlying Mechanics'!$B$23*(1-$B54),0)-IF(N$1&gt;0,'Underlying Mechanics'!$B$22*'Underlying Mechanics'!$B$17,0)-IF(N$1&gt;0,'Underlying Mechanics'!$B$12*'Underlying Mechanics'!$B$18,0)</x:f>
        <x:v>54300</x:v>
      </x:c>
      <x:c r="O54" t="n">
        <x:f>((IF(O$1-'Underlying Mechanics'!$B$8&lt;0,0,'Underlying Mechanics'!$B$22*'Underlying Mechanics'!$B$15*INDEX('Underlying Mechanics'!$B$31:$B$51,O$1-'Underlying Mechanics'!$B$8+1)*'Underlying Mechanics'!$B$5))*(1-$A54))-IF(O$1=0,'Underlying Mechanics'!$B$23*(1-$B54),0)-IF(O$1&gt;0,'Underlying Mechanics'!$B$22*'Underlying Mechanics'!$B$17,0)-IF(O$1&gt;0,'Underlying Mechanics'!$B$12*'Underlying Mechanics'!$B$18,0)</x:f>
        <x:v>63900</x:v>
      </x:c>
      <x:c r="P54" t="n">
        <x:f>((IF(P$1-'Underlying Mechanics'!$B$8&lt;0,0,'Underlying Mechanics'!$B$22*'Underlying Mechanics'!$B$15*INDEX('Underlying Mechanics'!$B$31:$B$51,P$1-'Underlying Mechanics'!$B$8+1)*'Underlying Mechanics'!$B$5))*(1-$A54))-IF(P$1=0,'Underlying Mechanics'!$B$23*(1-$B54),0)-IF(P$1&gt;0,'Underlying Mechanics'!$B$22*'Underlying Mechanics'!$B$17,0)-IF(P$1&gt;0,'Underlying Mechanics'!$B$12*'Underlying Mechanics'!$B$18,0)</x:f>
        <x:v>73500</x:v>
      </x:c>
      <x:c r="Q54" t="n">
        <x:f>((IF(Q$1-'Underlying Mechanics'!$B$8&lt;0,0,'Underlying Mechanics'!$B$22*'Underlying Mechanics'!$B$15*INDEX('Underlying Mechanics'!$B$31:$B$51,Q$1-'Underlying Mechanics'!$B$8+1)*'Underlying Mechanics'!$B$5))*(1-$A54))-IF(Q$1=0,'Underlying Mechanics'!$B$23*(1-$B54),0)-IF(Q$1&gt;0,'Underlying Mechanics'!$B$22*'Underlying Mechanics'!$B$17,0)-IF(Q$1&gt;0,'Underlying Mechanics'!$B$12*'Underlying Mechanics'!$B$18,0)</x:f>
        <x:v>73500</x:v>
      </x:c>
      <x:c r="R54" t="n">
        <x:f>((IF(R$1-'Underlying Mechanics'!$B$8&lt;0,0,'Underlying Mechanics'!$B$22*'Underlying Mechanics'!$B$15*INDEX('Underlying Mechanics'!$B$31:$B$51,R$1-'Underlying Mechanics'!$B$8+1)*'Underlying Mechanics'!$B$5))*(1-$A54))-IF(R$1=0,'Underlying Mechanics'!$B$23*(1-$B54),0)-IF(R$1&gt;0,'Underlying Mechanics'!$B$22*'Underlying Mechanics'!$B$17,0)-IF(R$1&gt;0,'Underlying Mechanics'!$B$12*'Underlying Mechanics'!$B$18,0)</x:f>
        <x:v>73500</x:v>
      </x:c>
      <x:c r="S54" t="n">
        <x:f>((IF(S$1-'Underlying Mechanics'!$B$8&lt;0,0,'Underlying Mechanics'!$B$22*'Underlying Mechanics'!$B$15*INDEX('Underlying Mechanics'!$B$31:$B$51,S$1-'Underlying Mechanics'!$B$8+1)*'Underlying Mechanics'!$B$5))*(1-$A54))-IF(S$1=0,'Underlying Mechanics'!$B$23*(1-$B54),0)-IF(S$1&gt;0,'Underlying Mechanics'!$B$22*'Underlying Mechanics'!$B$17,0)-IF(S$1&gt;0,'Underlying Mechanics'!$B$12*'Underlying Mechanics'!$B$18,0)</x:f>
        <x:v>73500</x:v>
      </x:c>
      <x:c r="T54" t="n">
        <x:f>((IF(T$1-'Underlying Mechanics'!$B$8&lt;0,0,'Underlying Mechanics'!$B$22*'Underlying Mechanics'!$B$15*INDEX('Underlying Mechanics'!$B$31:$B$51,T$1-'Underlying Mechanics'!$B$8+1)*'Underlying Mechanics'!$B$5))*(1-$A54))-IF(T$1=0,'Underlying Mechanics'!$B$23*(1-$B54),0)-IF(T$1&gt;0,'Underlying Mechanics'!$B$22*'Underlying Mechanics'!$B$17,0)-IF(T$1&gt;0,'Underlying Mechanics'!$B$12*'Underlying Mechanics'!$B$18,0)</x:f>
        <x:v>73500</x:v>
      </x:c>
      <x:c r="U54" t="n">
        <x:f>((IF(U$1-'Underlying Mechanics'!$B$8&lt;0,0,'Underlying Mechanics'!$B$22*'Underlying Mechanics'!$B$15*INDEX('Underlying Mechanics'!$B$31:$B$51,U$1-'Underlying Mechanics'!$B$8+1)*'Underlying Mechanics'!$B$5))*(1-$A54))-IF(U$1=0,'Underlying Mechanics'!$B$23*(1-$B54),0)-IF(U$1&gt;0,'Underlying Mechanics'!$B$22*'Underlying Mechanics'!$B$17,0)-IF(U$1&gt;0,'Underlying Mechanics'!$B$12*'Underlying Mechanics'!$B$18,0)</x:f>
        <x:v>73500</x:v>
      </x:c>
      <x:c r="V54" t="n">
        <x:f>((IF(V$1-'Underlying Mechanics'!$B$8&lt;0,0,'Underlying Mechanics'!$B$22*'Underlying Mechanics'!$B$15*INDEX('Underlying Mechanics'!$B$31:$B$51,V$1-'Underlying Mechanics'!$B$8+1)*'Underlying Mechanics'!$B$5))*(1-$A54))-IF(V$1=0,'Underlying Mechanics'!$B$23*(1-$B54),0)-IF(V$1&gt;0,'Underlying Mechanics'!$B$22*'Underlying Mechanics'!$B$17,0)-IF(V$1&gt;0,'Underlying Mechanics'!$B$12*'Underlying Mechanics'!$B$18,0)</x:f>
        <x:v>73500</x:v>
      </x:c>
      <x:c r="W54" t="n">
        <x:f>((IF(W$1-'Underlying Mechanics'!$B$8&lt;0,0,'Underlying Mechanics'!$B$22*'Underlying Mechanics'!$B$15*INDEX('Underlying Mechanics'!$B$31:$B$51,W$1-'Underlying Mechanics'!$B$8+1)*'Underlying Mechanics'!$B$5))*(1-$A54))-IF(W$1=0,'Underlying Mechanics'!$B$23*(1-$B54),0)-IF(W$1&gt;0,'Underlying Mechanics'!$B$22*'Underlying Mechanics'!$B$17,0)-IF(W$1&gt;0,'Underlying Mechanics'!$B$12*'Underlying Mechanics'!$B$18,0)</x:f>
        <x:v>73500</x:v>
      </x:c>
      <x:c r="X54" t="n">
        <x:f>IFERROR(IRR(C54:W54),-1)</x:f>
        <x:v>0.1257177524306064</x:v>
      </x:c>
    </x:row>
    <x:row r="55">
      <x:c r="A55" t="n">
        <x:v>0.2</x:v>
      </x:c>
      <x:c r="B55" t="n">
        <x:v>0.55</x:v>
      </x:c>
      <x:c r="C55" t="n">
        <x:f>((IF(C$1-'Underlying Mechanics'!$B$8&lt;0,0,'Underlying Mechanics'!$B$22*'Underlying Mechanics'!$B$15*INDEX('Underlying Mechanics'!$B$31:$B$51,C$1-'Underlying Mechanics'!$B$8+1)*'Underlying Mechanics'!$B$5))*(1-$A55))-IF(C$1=0,'Underlying Mechanics'!$B$23*(1-$B55),0)-IF(C$1&gt;0,'Underlying Mechanics'!$B$22*'Underlying Mechanics'!$B$17,0)-IF(C$1&gt;0,'Underlying Mechanics'!$B$12*'Underlying Mechanics'!$B$18,0)</x:f>
        <x:v>-67500</x:v>
      </x:c>
      <x:c r="D55" t="n">
        <x:f>((IF(D$1-'Underlying Mechanics'!$B$8&lt;0,0,'Underlying Mechanics'!$B$22*'Underlying Mechanics'!$B$15*INDEX('Underlying Mechanics'!$B$31:$B$51,D$1-'Underlying Mechanics'!$B$8+1)*'Underlying Mechanics'!$B$5))*(1-$A55))-IF(D$1=0,'Underlying Mechanics'!$B$23*(1-$B55),0)-IF(D$1&gt;0,'Underlying Mechanics'!$B$22*'Underlying Mechanics'!$B$17,0)-IF(D$1&gt;0,'Underlying Mechanics'!$B$12*'Underlying Mechanics'!$B$18,0)</x:f>
        <x:v>-22500</x:v>
      </x:c>
      <x:c r="E55" t="n">
        <x:f>((IF(E$1-'Underlying Mechanics'!$B$8&lt;0,0,'Underlying Mechanics'!$B$22*'Underlying Mechanics'!$B$15*INDEX('Underlying Mechanics'!$B$31:$B$51,E$1-'Underlying Mechanics'!$B$8+1)*'Underlying Mechanics'!$B$5))*(1-$A55))-IF(E$1=0,'Underlying Mechanics'!$B$23*(1-$B55),0)-IF(E$1&gt;0,'Underlying Mechanics'!$B$22*'Underlying Mechanics'!$B$17,0)-IF(E$1&gt;0,'Underlying Mechanics'!$B$12*'Underlying Mechanics'!$B$18,0)</x:f>
        <x:v>-22500</x:v>
      </x:c>
      <x:c r="F55" t="n">
        <x:f>((IF(F$1-'Underlying Mechanics'!$B$8&lt;0,0,'Underlying Mechanics'!$B$22*'Underlying Mechanics'!$B$15*INDEX('Underlying Mechanics'!$B$31:$B$51,F$1-'Underlying Mechanics'!$B$8+1)*'Underlying Mechanics'!$B$5))*(1-$A55))-IF(F$1=0,'Underlying Mechanics'!$B$23*(1-$B55),0)-IF(F$1&gt;0,'Underlying Mechanics'!$B$22*'Underlying Mechanics'!$B$17,0)-IF(F$1&gt;0,'Underlying Mechanics'!$B$12*'Underlying Mechanics'!$B$18,0)</x:f>
        <x:v>-20580</x:v>
      </x:c>
      <x:c r="G55" t="n">
        <x:f>((IF(G$1-'Underlying Mechanics'!$B$8&lt;0,0,'Underlying Mechanics'!$B$22*'Underlying Mechanics'!$B$15*INDEX('Underlying Mechanics'!$B$31:$B$51,G$1-'Underlying Mechanics'!$B$8+1)*'Underlying Mechanics'!$B$5))*(1-$A55))-IF(G$1=0,'Underlying Mechanics'!$B$23*(1-$B55),0)-IF(G$1&gt;0,'Underlying Mechanics'!$B$22*'Underlying Mechanics'!$B$17,0)-IF(G$1&gt;0,'Underlying Mechanics'!$B$12*'Underlying Mechanics'!$B$18,0)</x:f>
        <x:v>-17700</x:v>
      </x:c>
      <x:c r="H55" t="n">
        <x:f>((IF(H$1-'Underlying Mechanics'!$B$8&lt;0,0,'Underlying Mechanics'!$B$22*'Underlying Mechanics'!$B$15*INDEX('Underlying Mechanics'!$B$31:$B$51,H$1-'Underlying Mechanics'!$B$8+1)*'Underlying Mechanics'!$B$5))*(1-$A55))-IF(H$1=0,'Underlying Mechanics'!$B$23*(1-$B55),0)-IF(H$1&gt;0,'Underlying Mechanics'!$B$22*'Underlying Mechanics'!$B$17,0)-IF(H$1&gt;0,'Underlying Mechanics'!$B$12*'Underlying Mechanics'!$B$18,0)</x:f>
        <x:v>-12900</x:v>
      </x:c>
      <x:c r="I55" t="n">
        <x:f>((IF(I$1-'Underlying Mechanics'!$B$8&lt;0,0,'Underlying Mechanics'!$B$22*'Underlying Mechanics'!$B$15*INDEX('Underlying Mechanics'!$B$31:$B$51,I$1-'Underlying Mechanics'!$B$8+1)*'Underlying Mechanics'!$B$5))*(1-$A55))-IF(I$1=0,'Underlying Mechanics'!$B$23*(1-$B55),0)-IF(I$1&gt;0,'Underlying Mechanics'!$B$22*'Underlying Mechanics'!$B$17,0)-IF(I$1&gt;0,'Underlying Mechanics'!$B$12*'Underlying Mechanics'!$B$18,0)</x:f>
        <x:v>-5220</x:v>
      </x:c>
      <x:c r="J55" t="n">
        <x:f>((IF(J$1-'Underlying Mechanics'!$B$8&lt;0,0,'Underlying Mechanics'!$B$22*'Underlying Mechanics'!$B$15*INDEX('Underlying Mechanics'!$B$31:$B$51,J$1-'Underlying Mechanics'!$B$8+1)*'Underlying Mechanics'!$B$5))*(1-$A55))-IF(J$1=0,'Underlying Mechanics'!$B$23*(1-$B55),0)-IF(J$1&gt;0,'Underlying Mechanics'!$B$22*'Underlying Mechanics'!$B$17,0)-IF(J$1&gt;0,'Underlying Mechanics'!$B$12*'Underlying Mechanics'!$B$18,0)</x:f>
        <x:v>4380.000000000007</x:v>
      </x:c>
      <x:c r="K55" t="n">
        <x:f>((IF(K$1-'Underlying Mechanics'!$B$8&lt;0,0,'Underlying Mechanics'!$B$22*'Underlying Mechanics'!$B$15*INDEX('Underlying Mechanics'!$B$31:$B$51,K$1-'Underlying Mechanics'!$B$8+1)*'Underlying Mechanics'!$B$5))*(1-$A55))-IF(K$1=0,'Underlying Mechanics'!$B$23*(1-$B55),0)-IF(K$1&gt;0,'Underlying Mechanics'!$B$22*'Underlying Mechanics'!$B$17,0)-IF(K$1&gt;0,'Underlying Mechanics'!$B$12*'Underlying Mechanics'!$B$18,0)</x:f>
        <x:v>15900</x:v>
      </x:c>
      <x:c r="L55" t="n">
        <x:f>((IF(L$1-'Underlying Mechanics'!$B$8&lt;0,0,'Underlying Mechanics'!$B$22*'Underlying Mechanics'!$B$15*INDEX('Underlying Mechanics'!$B$31:$B$51,L$1-'Underlying Mechanics'!$B$8+1)*'Underlying Mechanics'!$B$5))*(1-$A55))-IF(L$1=0,'Underlying Mechanics'!$B$23*(1-$B55),0)-IF(L$1&gt;0,'Underlying Mechanics'!$B$22*'Underlying Mechanics'!$B$17,0)-IF(L$1&gt;0,'Underlying Mechanics'!$B$12*'Underlying Mechanics'!$B$18,0)</x:f>
        <x:v>29340</x:v>
      </x:c>
      <x:c r="M55" t="n">
        <x:f>((IF(M$1-'Underlying Mechanics'!$B$8&lt;0,0,'Underlying Mechanics'!$B$22*'Underlying Mechanics'!$B$15*INDEX('Underlying Mechanics'!$B$31:$B$51,M$1-'Underlying Mechanics'!$B$8+1)*'Underlying Mechanics'!$B$5))*(1-$A55))-IF(M$1=0,'Underlying Mechanics'!$B$23*(1-$B55),0)-IF(M$1&gt;0,'Underlying Mechanics'!$B$22*'Underlying Mechanics'!$B$17,0)-IF(M$1&gt;0,'Underlying Mechanics'!$B$12*'Underlying Mechanics'!$B$18,0)</x:f>
        <x:v>42780.000000000015</x:v>
      </x:c>
      <x:c r="N55" t="n">
        <x:f>((IF(N$1-'Underlying Mechanics'!$B$8&lt;0,0,'Underlying Mechanics'!$B$22*'Underlying Mechanics'!$B$15*INDEX('Underlying Mechanics'!$B$31:$B$51,N$1-'Underlying Mechanics'!$B$8+1)*'Underlying Mechanics'!$B$5))*(1-$A55))-IF(N$1=0,'Underlying Mechanics'!$B$23*(1-$B55),0)-IF(N$1&gt;0,'Underlying Mechanics'!$B$22*'Underlying Mechanics'!$B$17,0)-IF(N$1&gt;0,'Underlying Mechanics'!$B$12*'Underlying Mechanics'!$B$18,0)</x:f>
        <x:v>54300</x:v>
      </x:c>
      <x:c r="O55" t="n">
        <x:f>((IF(O$1-'Underlying Mechanics'!$B$8&lt;0,0,'Underlying Mechanics'!$B$22*'Underlying Mechanics'!$B$15*INDEX('Underlying Mechanics'!$B$31:$B$51,O$1-'Underlying Mechanics'!$B$8+1)*'Underlying Mechanics'!$B$5))*(1-$A55))-IF(O$1=0,'Underlying Mechanics'!$B$23*(1-$B55),0)-IF(O$1&gt;0,'Underlying Mechanics'!$B$22*'Underlying Mechanics'!$B$17,0)-IF(O$1&gt;0,'Underlying Mechanics'!$B$12*'Underlying Mechanics'!$B$18,0)</x:f>
        <x:v>63900</x:v>
      </x:c>
      <x:c r="P55" t="n">
        <x:f>((IF(P$1-'Underlying Mechanics'!$B$8&lt;0,0,'Underlying Mechanics'!$B$22*'Underlying Mechanics'!$B$15*INDEX('Underlying Mechanics'!$B$31:$B$51,P$1-'Underlying Mechanics'!$B$8+1)*'Underlying Mechanics'!$B$5))*(1-$A55))-IF(P$1=0,'Underlying Mechanics'!$B$23*(1-$B55),0)-IF(P$1&gt;0,'Underlying Mechanics'!$B$22*'Underlying Mechanics'!$B$17,0)-IF(P$1&gt;0,'Underlying Mechanics'!$B$12*'Underlying Mechanics'!$B$18,0)</x:f>
        <x:v>73500</x:v>
      </x:c>
      <x:c r="Q55" t="n">
        <x:f>((IF(Q$1-'Underlying Mechanics'!$B$8&lt;0,0,'Underlying Mechanics'!$B$22*'Underlying Mechanics'!$B$15*INDEX('Underlying Mechanics'!$B$31:$B$51,Q$1-'Underlying Mechanics'!$B$8+1)*'Underlying Mechanics'!$B$5))*(1-$A55))-IF(Q$1=0,'Underlying Mechanics'!$B$23*(1-$B55),0)-IF(Q$1&gt;0,'Underlying Mechanics'!$B$22*'Underlying Mechanics'!$B$17,0)-IF(Q$1&gt;0,'Underlying Mechanics'!$B$12*'Underlying Mechanics'!$B$18,0)</x:f>
        <x:v>73500</x:v>
      </x:c>
      <x:c r="R55" t="n">
        <x:f>((IF(R$1-'Underlying Mechanics'!$B$8&lt;0,0,'Underlying Mechanics'!$B$22*'Underlying Mechanics'!$B$15*INDEX('Underlying Mechanics'!$B$31:$B$51,R$1-'Underlying Mechanics'!$B$8+1)*'Underlying Mechanics'!$B$5))*(1-$A55))-IF(R$1=0,'Underlying Mechanics'!$B$23*(1-$B55),0)-IF(R$1&gt;0,'Underlying Mechanics'!$B$22*'Underlying Mechanics'!$B$17,0)-IF(R$1&gt;0,'Underlying Mechanics'!$B$12*'Underlying Mechanics'!$B$18,0)</x:f>
        <x:v>73500</x:v>
      </x:c>
      <x:c r="S55" t="n">
        <x:f>((IF(S$1-'Underlying Mechanics'!$B$8&lt;0,0,'Underlying Mechanics'!$B$22*'Underlying Mechanics'!$B$15*INDEX('Underlying Mechanics'!$B$31:$B$51,S$1-'Underlying Mechanics'!$B$8+1)*'Underlying Mechanics'!$B$5))*(1-$A55))-IF(S$1=0,'Underlying Mechanics'!$B$23*(1-$B55),0)-IF(S$1&gt;0,'Underlying Mechanics'!$B$22*'Underlying Mechanics'!$B$17,0)-IF(S$1&gt;0,'Underlying Mechanics'!$B$12*'Underlying Mechanics'!$B$18,0)</x:f>
        <x:v>73500</x:v>
      </x:c>
      <x:c r="T55" t="n">
        <x:f>((IF(T$1-'Underlying Mechanics'!$B$8&lt;0,0,'Underlying Mechanics'!$B$22*'Underlying Mechanics'!$B$15*INDEX('Underlying Mechanics'!$B$31:$B$51,T$1-'Underlying Mechanics'!$B$8+1)*'Underlying Mechanics'!$B$5))*(1-$A55))-IF(T$1=0,'Underlying Mechanics'!$B$23*(1-$B55),0)-IF(T$1&gt;0,'Underlying Mechanics'!$B$22*'Underlying Mechanics'!$B$17,0)-IF(T$1&gt;0,'Underlying Mechanics'!$B$12*'Underlying Mechanics'!$B$18,0)</x:f>
        <x:v>73500</x:v>
      </x:c>
      <x:c r="U55" t="n">
        <x:f>((IF(U$1-'Underlying Mechanics'!$B$8&lt;0,0,'Underlying Mechanics'!$B$22*'Underlying Mechanics'!$B$15*INDEX('Underlying Mechanics'!$B$31:$B$51,U$1-'Underlying Mechanics'!$B$8+1)*'Underlying Mechanics'!$B$5))*(1-$A55))-IF(U$1=0,'Underlying Mechanics'!$B$23*(1-$B55),0)-IF(U$1&gt;0,'Underlying Mechanics'!$B$22*'Underlying Mechanics'!$B$17,0)-IF(U$1&gt;0,'Underlying Mechanics'!$B$12*'Underlying Mechanics'!$B$18,0)</x:f>
        <x:v>73500</x:v>
      </x:c>
      <x:c r="V55" t="n">
        <x:f>((IF(V$1-'Underlying Mechanics'!$B$8&lt;0,0,'Underlying Mechanics'!$B$22*'Underlying Mechanics'!$B$15*INDEX('Underlying Mechanics'!$B$31:$B$51,V$1-'Underlying Mechanics'!$B$8+1)*'Underlying Mechanics'!$B$5))*(1-$A55))-IF(V$1=0,'Underlying Mechanics'!$B$23*(1-$B55),0)-IF(V$1&gt;0,'Underlying Mechanics'!$B$22*'Underlying Mechanics'!$B$17,0)-IF(V$1&gt;0,'Underlying Mechanics'!$B$12*'Underlying Mechanics'!$B$18,0)</x:f>
        <x:v>73500</x:v>
      </x:c>
      <x:c r="W55" t="n">
        <x:f>((IF(W$1-'Underlying Mechanics'!$B$8&lt;0,0,'Underlying Mechanics'!$B$22*'Underlying Mechanics'!$B$15*INDEX('Underlying Mechanics'!$B$31:$B$51,W$1-'Underlying Mechanics'!$B$8+1)*'Underlying Mechanics'!$B$5))*(1-$A55))-IF(W$1=0,'Underlying Mechanics'!$B$23*(1-$B55),0)-IF(W$1&gt;0,'Underlying Mechanics'!$B$22*'Underlying Mechanics'!$B$17,0)-IF(W$1&gt;0,'Underlying Mechanics'!$B$12*'Underlying Mechanics'!$B$18,0)</x:f>
        <x:v>73500</x:v>
      </x:c>
      <x:c r="X55" t="n">
        <x:f>IFERROR(IRR(C55:W55),-1)</x:f>
        <x:v>0.13054646464908698</x:v>
      </x:c>
    </x:row>
    <x:row r="56">
      <x:c r="A56" t="n">
        <x:v>0.2</x:v>
      </x:c>
      <x:c r="B56" t="n">
        <x:v>0.6</x:v>
      </x:c>
      <x:c r="C56" t="n">
        <x:f>((IF(C$1-'Underlying Mechanics'!$B$8&lt;0,0,'Underlying Mechanics'!$B$22*'Underlying Mechanics'!$B$15*INDEX('Underlying Mechanics'!$B$31:$B$51,C$1-'Underlying Mechanics'!$B$8+1)*'Underlying Mechanics'!$B$5))*(1-$A56))-IF(C$1=0,'Underlying Mechanics'!$B$23*(1-$B56),0)-IF(C$1&gt;0,'Underlying Mechanics'!$B$22*'Underlying Mechanics'!$B$17,0)-IF(C$1&gt;0,'Underlying Mechanics'!$B$12*'Underlying Mechanics'!$B$18,0)</x:f>
        <x:v>-60000</x:v>
      </x:c>
      <x:c r="D56" t="n">
        <x:f>((IF(D$1-'Underlying Mechanics'!$B$8&lt;0,0,'Underlying Mechanics'!$B$22*'Underlying Mechanics'!$B$15*INDEX('Underlying Mechanics'!$B$31:$B$51,D$1-'Underlying Mechanics'!$B$8+1)*'Underlying Mechanics'!$B$5))*(1-$A56))-IF(D$1=0,'Underlying Mechanics'!$B$23*(1-$B56),0)-IF(D$1&gt;0,'Underlying Mechanics'!$B$22*'Underlying Mechanics'!$B$17,0)-IF(D$1&gt;0,'Underlying Mechanics'!$B$12*'Underlying Mechanics'!$B$18,0)</x:f>
        <x:v>-22500</x:v>
      </x:c>
      <x:c r="E56" t="n">
        <x:f>((IF(E$1-'Underlying Mechanics'!$B$8&lt;0,0,'Underlying Mechanics'!$B$22*'Underlying Mechanics'!$B$15*INDEX('Underlying Mechanics'!$B$31:$B$51,E$1-'Underlying Mechanics'!$B$8+1)*'Underlying Mechanics'!$B$5))*(1-$A56))-IF(E$1=0,'Underlying Mechanics'!$B$23*(1-$B56),0)-IF(E$1&gt;0,'Underlying Mechanics'!$B$22*'Underlying Mechanics'!$B$17,0)-IF(E$1&gt;0,'Underlying Mechanics'!$B$12*'Underlying Mechanics'!$B$18,0)</x:f>
        <x:v>-22500</x:v>
      </x:c>
      <x:c r="F56" t="n">
        <x:f>((IF(F$1-'Underlying Mechanics'!$B$8&lt;0,0,'Underlying Mechanics'!$B$22*'Underlying Mechanics'!$B$15*INDEX('Underlying Mechanics'!$B$31:$B$51,F$1-'Underlying Mechanics'!$B$8+1)*'Underlying Mechanics'!$B$5))*(1-$A56))-IF(F$1=0,'Underlying Mechanics'!$B$23*(1-$B56),0)-IF(F$1&gt;0,'Underlying Mechanics'!$B$22*'Underlying Mechanics'!$B$17,0)-IF(F$1&gt;0,'Underlying Mechanics'!$B$12*'Underlying Mechanics'!$B$18,0)</x:f>
        <x:v>-20580</x:v>
      </x:c>
      <x:c r="G56" t="n">
        <x:f>((IF(G$1-'Underlying Mechanics'!$B$8&lt;0,0,'Underlying Mechanics'!$B$22*'Underlying Mechanics'!$B$15*INDEX('Underlying Mechanics'!$B$31:$B$51,G$1-'Underlying Mechanics'!$B$8+1)*'Underlying Mechanics'!$B$5))*(1-$A56))-IF(G$1=0,'Underlying Mechanics'!$B$23*(1-$B56),0)-IF(G$1&gt;0,'Underlying Mechanics'!$B$22*'Underlying Mechanics'!$B$17,0)-IF(G$1&gt;0,'Underlying Mechanics'!$B$12*'Underlying Mechanics'!$B$18,0)</x:f>
        <x:v>-17700</x:v>
      </x:c>
      <x:c r="H56" t="n">
        <x:f>((IF(H$1-'Underlying Mechanics'!$B$8&lt;0,0,'Underlying Mechanics'!$B$22*'Underlying Mechanics'!$B$15*INDEX('Underlying Mechanics'!$B$31:$B$51,H$1-'Underlying Mechanics'!$B$8+1)*'Underlying Mechanics'!$B$5))*(1-$A56))-IF(H$1=0,'Underlying Mechanics'!$B$23*(1-$B56),0)-IF(H$1&gt;0,'Underlying Mechanics'!$B$22*'Underlying Mechanics'!$B$17,0)-IF(H$1&gt;0,'Underlying Mechanics'!$B$12*'Underlying Mechanics'!$B$18,0)</x:f>
        <x:v>-12900</x:v>
      </x:c>
      <x:c r="I56" t="n">
        <x:f>((IF(I$1-'Underlying Mechanics'!$B$8&lt;0,0,'Underlying Mechanics'!$B$22*'Underlying Mechanics'!$B$15*INDEX('Underlying Mechanics'!$B$31:$B$51,I$1-'Underlying Mechanics'!$B$8+1)*'Underlying Mechanics'!$B$5))*(1-$A56))-IF(I$1=0,'Underlying Mechanics'!$B$23*(1-$B56),0)-IF(I$1&gt;0,'Underlying Mechanics'!$B$22*'Underlying Mechanics'!$B$17,0)-IF(I$1&gt;0,'Underlying Mechanics'!$B$12*'Underlying Mechanics'!$B$18,0)</x:f>
        <x:v>-5220</x:v>
      </x:c>
      <x:c r="J56" t="n">
        <x:f>((IF(J$1-'Underlying Mechanics'!$B$8&lt;0,0,'Underlying Mechanics'!$B$22*'Underlying Mechanics'!$B$15*INDEX('Underlying Mechanics'!$B$31:$B$51,J$1-'Underlying Mechanics'!$B$8+1)*'Underlying Mechanics'!$B$5))*(1-$A56))-IF(J$1=0,'Underlying Mechanics'!$B$23*(1-$B56),0)-IF(J$1&gt;0,'Underlying Mechanics'!$B$22*'Underlying Mechanics'!$B$17,0)-IF(J$1&gt;0,'Underlying Mechanics'!$B$12*'Underlying Mechanics'!$B$18,0)</x:f>
        <x:v>4380.000000000007</x:v>
      </x:c>
      <x:c r="K56" t="n">
        <x:f>((IF(K$1-'Underlying Mechanics'!$B$8&lt;0,0,'Underlying Mechanics'!$B$22*'Underlying Mechanics'!$B$15*INDEX('Underlying Mechanics'!$B$31:$B$51,K$1-'Underlying Mechanics'!$B$8+1)*'Underlying Mechanics'!$B$5))*(1-$A56))-IF(K$1=0,'Underlying Mechanics'!$B$23*(1-$B56),0)-IF(K$1&gt;0,'Underlying Mechanics'!$B$22*'Underlying Mechanics'!$B$17,0)-IF(K$1&gt;0,'Underlying Mechanics'!$B$12*'Underlying Mechanics'!$B$18,0)</x:f>
        <x:v>15900</x:v>
      </x:c>
      <x:c r="L56" t="n">
        <x:f>((IF(L$1-'Underlying Mechanics'!$B$8&lt;0,0,'Underlying Mechanics'!$B$22*'Underlying Mechanics'!$B$15*INDEX('Underlying Mechanics'!$B$31:$B$51,L$1-'Underlying Mechanics'!$B$8+1)*'Underlying Mechanics'!$B$5))*(1-$A56))-IF(L$1=0,'Underlying Mechanics'!$B$23*(1-$B56),0)-IF(L$1&gt;0,'Underlying Mechanics'!$B$22*'Underlying Mechanics'!$B$17,0)-IF(L$1&gt;0,'Underlying Mechanics'!$B$12*'Underlying Mechanics'!$B$18,0)</x:f>
        <x:v>29340</x:v>
      </x:c>
      <x:c r="M56" t="n">
        <x:f>((IF(M$1-'Underlying Mechanics'!$B$8&lt;0,0,'Underlying Mechanics'!$B$22*'Underlying Mechanics'!$B$15*INDEX('Underlying Mechanics'!$B$31:$B$51,M$1-'Underlying Mechanics'!$B$8+1)*'Underlying Mechanics'!$B$5))*(1-$A56))-IF(M$1=0,'Underlying Mechanics'!$B$23*(1-$B56),0)-IF(M$1&gt;0,'Underlying Mechanics'!$B$22*'Underlying Mechanics'!$B$17,0)-IF(M$1&gt;0,'Underlying Mechanics'!$B$12*'Underlying Mechanics'!$B$18,0)</x:f>
        <x:v>42780.000000000015</x:v>
      </x:c>
      <x:c r="N56" t="n">
        <x:f>((IF(N$1-'Underlying Mechanics'!$B$8&lt;0,0,'Underlying Mechanics'!$B$22*'Underlying Mechanics'!$B$15*INDEX('Underlying Mechanics'!$B$31:$B$51,N$1-'Underlying Mechanics'!$B$8+1)*'Underlying Mechanics'!$B$5))*(1-$A56))-IF(N$1=0,'Underlying Mechanics'!$B$23*(1-$B56),0)-IF(N$1&gt;0,'Underlying Mechanics'!$B$22*'Underlying Mechanics'!$B$17,0)-IF(N$1&gt;0,'Underlying Mechanics'!$B$12*'Underlying Mechanics'!$B$18,0)</x:f>
        <x:v>54300</x:v>
      </x:c>
      <x:c r="O56" t="n">
        <x:f>((IF(O$1-'Underlying Mechanics'!$B$8&lt;0,0,'Underlying Mechanics'!$B$22*'Underlying Mechanics'!$B$15*INDEX('Underlying Mechanics'!$B$31:$B$51,O$1-'Underlying Mechanics'!$B$8+1)*'Underlying Mechanics'!$B$5))*(1-$A56))-IF(O$1=0,'Underlying Mechanics'!$B$23*(1-$B56),0)-IF(O$1&gt;0,'Underlying Mechanics'!$B$22*'Underlying Mechanics'!$B$17,0)-IF(O$1&gt;0,'Underlying Mechanics'!$B$12*'Underlying Mechanics'!$B$18,0)</x:f>
        <x:v>63900</x:v>
      </x:c>
      <x:c r="P56" t="n">
        <x:f>((IF(P$1-'Underlying Mechanics'!$B$8&lt;0,0,'Underlying Mechanics'!$B$22*'Underlying Mechanics'!$B$15*INDEX('Underlying Mechanics'!$B$31:$B$51,P$1-'Underlying Mechanics'!$B$8+1)*'Underlying Mechanics'!$B$5))*(1-$A56))-IF(P$1=0,'Underlying Mechanics'!$B$23*(1-$B56),0)-IF(P$1&gt;0,'Underlying Mechanics'!$B$22*'Underlying Mechanics'!$B$17,0)-IF(P$1&gt;0,'Underlying Mechanics'!$B$12*'Underlying Mechanics'!$B$18,0)</x:f>
        <x:v>73500</x:v>
      </x:c>
      <x:c r="Q56" t="n">
        <x:f>((IF(Q$1-'Underlying Mechanics'!$B$8&lt;0,0,'Underlying Mechanics'!$B$22*'Underlying Mechanics'!$B$15*INDEX('Underlying Mechanics'!$B$31:$B$51,Q$1-'Underlying Mechanics'!$B$8+1)*'Underlying Mechanics'!$B$5))*(1-$A56))-IF(Q$1=0,'Underlying Mechanics'!$B$23*(1-$B56),0)-IF(Q$1&gt;0,'Underlying Mechanics'!$B$22*'Underlying Mechanics'!$B$17,0)-IF(Q$1&gt;0,'Underlying Mechanics'!$B$12*'Underlying Mechanics'!$B$18,0)</x:f>
        <x:v>73500</x:v>
      </x:c>
      <x:c r="R56" t="n">
        <x:f>((IF(R$1-'Underlying Mechanics'!$B$8&lt;0,0,'Underlying Mechanics'!$B$22*'Underlying Mechanics'!$B$15*INDEX('Underlying Mechanics'!$B$31:$B$51,R$1-'Underlying Mechanics'!$B$8+1)*'Underlying Mechanics'!$B$5))*(1-$A56))-IF(R$1=0,'Underlying Mechanics'!$B$23*(1-$B56),0)-IF(R$1&gt;0,'Underlying Mechanics'!$B$22*'Underlying Mechanics'!$B$17,0)-IF(R$1&gt;0,'Underlying Mechanics'!$B$12*'Underlying Mechanics'!$B$18,0)</x:f>
        <x:v>73500</x:v>
      </x:c>
      <x:c r="S56" t="n">
        <x:f>((IF(S$1-'Underlying Mechanics'!$B$8&lt;0,0,'Underlying Mechanics'!$B$22*'Underlying Mechanics'!$B$15*INDEX('Underlying Mechanics'!$B$31:$B$51,S$1-'Underlying Mechanics'!$B$8+1)*'Underlying Mechanics'!$B$5))*(1-$A56))-IF(S$1=0,'Underlying Mechanics'!$B$23*(1-$B56),0)-IF(S$1&gt;0,'Underlying Mechanics'!$B$22*'Underlying Mechanics'!$B$17,0)-IF(S$1&gt;0,'Underlying Mechanics'!$B$12*'Underlying Mechanics'!$B$18,0)</x:f>
        <x:v>73500</x:v>
      </x:c>
      <x:c r="T56" t="n">
        <x:f>((IF(T$1-'Underlying Mechanics'!$B$8&lt;0,0,'Underlying Mechanics'!$B$22*'Underlying Mechanics'!$B$15*INDEX('Underlying Mechanics'!$B$31:$B$51,T$1-'Underlying Mechanics'!$B$8+1)*'Underlying Mechanics'!$B$5))*(1-$A56))-IF(T$1=0,'Underlying Mechanics'!$B$23*(1-$B56),0)-IF(T$1&gt;0,'Underlying Mechanics'!$B$22*'Underlying Mechanics'!$B$17,0)-IF(T$1&gt;0,'Underlying Mechanics'!$B$12*'Underlying Mechanics'!$B$18,0)</x:f>
        <x:v>73500</x:v>
      </x:c>
      <x:c r="U56" t="n">
        <x:f>((IF(U$1-'Underlying Mechanics'!$B$8&lt;0,0,'Underlying Mechanics'!$B$22*'Underlying Mechanics'!$B$15*INDEX('Underlying Mechanics'!$B$31:$B$51,U$1-'Underlying Mechanics'!$B$8+1)*'Underlying Mechanics'!$B$5))*(1-$A56))-IF(U$1=0,'Underlying Mechanics'!$B$23*(1-$B56),0)-IF(U$1&gt;0,'Underlying Mechanics'!$B$22*'Underlying Mechanics'!$B$17,0)-IF(U$1&gt;0,'Underlying Mechanics'!$B$12*'Underlying Mechanics'!$B$18,0)</x:f>
        <x:v>73500</x:v>
      </x:c>
      <x:c r="V56" t="n">
        <x:f>((IF(V$1-'Underlying Mechanics'!$B$8&lt;0,0,'Underlying Mechanics'!$B$22*'Underlying Mechanics'!$B$15*INDEX('Underlying Mechanics'!$B$31:$B$51,V$1-'Underlying Mechanics'!$B$8+1)*'Underlying Mechanics'!$B$5))*(1-$A56))-IF(V$1=0,'Underlying Mechanics'!$B$23*(1-$B56),0)-IF(V$1&gt;0,'Underlying Mechanics'!$B$22*'Underlying Mechanics'!$B$17,0)-IF(V$1&gt;0,'Underlying Mechanics'!$B$12*'Underlying Mechanics'!$B$18,0)</x:f>
        <x:v>73500</x:v>
      </x:c>
      <x:c r="W56" t="n">
        <x:f>((IF(W$1-'Underlying Mechanics'!$B$8&lt;0,0,'Underlying Mechanics'!$B$22*'Underlying Mechanics'!$B$15*INDEX('Underlying Mechanics'!$B$31:$B$51,W$1-'Underlying Mechanics'!$B$8+1)*'Underlying Mechanics'!$B$5))*(1-$A56))-IF(W$1=0,'Underlying Mechanics'!$B$23*(1-$B56),0)-IF(W$1&gt;0,'Underlying Mechanics'!$B$22*'Underlying Mechanics'!$B$17,0)-IF(W$1&gt;0,'Underlying Mechanics'!$B$12*'Underlying Mechanics'!$B$18,0)</x:f>
        <x:v>73500</x:v>
      </x:c>
      <x:c r="X56" t="n">
        <x:f>IFERROR(IRR(C56:W56),-1)</x:f>
        <x:v>0.13574339762889087</x:v>
      </x:c>
    </x:row>
    <x:row r="57">
      <x:c r="A57" t="n">
        <x:v>0.2</x:v>
      </x:c>
      <x:c r="B57" t="n">
        <x:v>0.65</x:v>
      </x:c>
      <x:c r="C57" t="n">
        <x:f>((IF(C$1-'Underlying Mechanics'!$B$8&lt;0,0,'Underlying Mechanics'!$B$22*'Underlying Mechanics'!$B$15*INDEX('Underlying Mechanics'!$B$31:$B$51,C$1-'Underlying Mechanics'!$B$8+1)*'Underlying Mechanics'!$B$5))*(1-$A57))-IF(C$1=0,'Underlying Mechanics'!$B$23*(1-$B57),0)-IF(C$1&gt;0,'Underlying Mechanics'!$B$22*'Underlying Mechanics'!$B$17,0)-IF(C$1&gt;0,'Underlying Mechanics'!$B$12*'Underlying Mechanics'!$B$18,0)</x:f>
        <x:v>-52500</x:v>
      </x:c>
      <x:c r="D57" t="n">
        <x:f>((IF(D$1-'Underlying Mechanics'!$B$8&lt;0,0,'Underlying Mechanics'!$B$22*'Underlying Mechanics'!$B$15*INDEX('Underlying Mechanics'!$B$31:$B$51,D$1-'Underlying Mechanics'!$B$8+1)*'Underlying Mechanics'!$B$5))*(1-$A57))-IF(D$1=0,'Underlying Mechanics'!$B$23*(1-$B57),0)-IF(D$1&gt;0,'Underlying Mechanics'!$B$22*'Underlying Mechanics'!$B$17,0)-IF(D$1&gt;0,'Underlying Mechanics'!$B$12*'Underlying Mechanics'!$B$18,0)</x:f>
        <x:v>-22500</x:v>
      </x:c>
      <x:c r="E57" t="n">
        <x:f>((IF(E$1-'Underlying Mechanics'!$B$8&lt;0,0,'Underlying Mechanics'!$B$22*'Underlying Mechanics'!$B$15*INDEX('Underlying Mechanics'!$B$31:$B$51,E$1-'Underlying Mechanics'!$B$8+1)*'Underlying Mechanics'!$B$5))*(1-$A57))-IF(E$1=0,'Underlying Mechanics'!$B$23*(1-$B57),0)-IF(E$1&gt;0,'Underlying Mechanics'!$B$22*'Underlying Mechanics'!$B$17,0)-IF(E$1&gt;0,'Underlying Mechanics'!$B$12*'Underlying Mechanics'!$B$18,0)</x:f>
        <x:v>-22500</x:v>
      </x:c>
      <x:c r="F57" t="n">
        <x:f>((IF(F$1-'Underlying Mechanics'!$B$8&lt;0,0,'Underlying Mechanics'!$B$22*'Underlying Mechanics'!$B$15*INDEX('Underlying Mechanics'!$B$31:$B$51,F$1-'Underlying Mechanics'!$B$8+1)*'Underlying Mechanics'!$B$5))*(1-$A57))-IF(F$1=0,'Underlying Mechanics'!$B$23*(1-$B57),0)-IF(F$1&gt;0,'Underlying Mechanics'!$B$22*'Underlying Mechanics'!$B$17,0)-IF(F$1&gt;0,'Underlying Mechanics'!$B$12*'Underlying Mechanics'!$B$18,0)</x:f>
        <x:v>-20580</x:v>
      </x:c>
      <x:c r="G57" t="n">
        <x:f>((IF(G$1-'Underlying Mechanics'!$B$8&lt;0,0,'Underlying Mechanics'!$B$22*'Underlying Mechanics'!$B$15*INDEX('Underlying Mechanics'!$B$31:$B$51,G$1-'Underlying Mechanics'!$B$8+1)*'Underlying Mechanics'!$B$5))*(1-$A57))-IF(G$1=0,'Underlying Mechanics'!$B$23*(1-$B57),0)-IF(G$1&gt;0,'Underlying Mechanics'!$B$22*'Underlying Mechanics'!$B$17,0)-IF(G$1&gt;0,'Underlying Mechanics'!$B$12*'Underlying Mechanics'!$B$18,0)</x:f>
        <x:v>-17700</x:v>
      </x:c>
      <x:c r="H57" t="n">
        <x:f>((IF(H$1-'Underlying Mechanics'!$B$8&lt;0,0,'Underlying Mechanics'!$B$22*'Underlying Mechanics'!$B$15*INDEX('Underlying Mechanics'!$B$31:$B$51,H$1-'Underlying Mechanics'!$B$8+1)*'Underlying Mechanics'!$B$5))*(1-$A57))-IF(H$1=0,'Underlying Mechanics'!$B$23*(1-$B57),0)-IF(H$1&gt;0,'Underlying Mechanics'!$B$22*'Underlying Mechanics'!$B$17,0)-IF(H$1&gt;0,'Underlying Mechanics'!$B$12*'Underlying Mechanics'!$B$18,0)</x:f>
        <x:v>-12900</x:v>
      </x:c>
      <x:c r="I57" t="n">
        <x:f>((IF(I$1-'Underlying Mechanics'!$B$8&lt;0,0,'Underlying Mechanics'!$B$22*'Underlying Mechanics'!$B$15*INDEX('Underlying Mechanics'!$B$31:$B$51,I$1-'Underlying Mechanics'!$B$8+1)*'Underlying Mechanics'!$B$5))*(1-$A57))-IF(I$1=0,'Underlying Mechanics'!$B$23*(1-$B57),0)-IF(I$1&gt;0,'Underlying Mechanics'!$B$22*'Underlying Mechanics'!$B$17,0)-IF(I$1&gt;0,'Underlying Mechanics'!$B$12*'Underlying Mechanics'!$B$18,0)</x:f>
        <x:v>-5220</x:v>
      </x:c>
      <x:c r="J57" t="n">
        <x:f>((IF(J$1-'Underlying Mechanics'!$B$8&lt;0,0,'Underlying Mechanics'!$B$22*'Underlying Mechanics'!$B$15*INDEX('Underlying Mechanics'!$B$31:$B$51,J$1-'Underlying Mechanics'!$B$8+1)*'Underlying Mechanics'!$B$5))*(1-$A57))-IF(J$1=0,'Underlying Mechanics'!$B$23*(1-$B57),0)-IF(J$1&gt;0,'Underlying Mechanics'!$B$22*'Underlying Mechanics'!$B$17,0)-IF(J$1&gt;0,'Underlying Mechanics'!$B$12*'Underlying Mechanics'!$B$18,0)</x:f>
        <x:v>4380.000000000007</x:v>
      </x:c>
      <x:c r="K57" t="n">
        <x:f>((IF(K$1-'Underlying Mechanics'!$B$8&lt;0,0,'Underlying Mechanics'!$B$22*'Underlying Mechanics'!$B$15*INDEX('Underlying Mechanics'!$B$31:$B$51,K$1-'Underlying Mechanics'!$B$8+1)*'Underlying Mechanics'!$B$5))*(1-$A57))-IF(K$1=0,'Underlying Mechanics'!$B$23*(1-$B57),0)-IF(K$1&gt;0,'Underlying Mechanics'!$B$22*'Underlying Mechanics'!$B$17,0)-IF(K$1&gt;0,'Underlying Mechanics'!$B$12*'Underlying Mechanics'!$B$18,0)</x:f>
        <x:v>15900</x:v>
      </x:c>
      <x:c r="L57" t="n">
        <x:f>((IF(L$1-'Underlying Mechanics'!$B$8&lt;0,0,'Underlying Mechanics'!$B$22*'Underlying Mechanics'!$B$15*INDEX('Underlying Mechanics'!$B$31:$B$51,L$1-'Underlying Mechanics'!$B$8+1)*'Underlying Mechanics'!$B$5))*(1-$A57))-IF(L$1=0,'Underlying Mechanics'!$B$23*(1-$B57),0)-IF(L$1&gt;0,'Underlying Mechanics'!$B$22*'Underlying Mechanics'!$B$17,0)-IF(L$1&gt;0,'Underlying Mechanics'!$B$12*'Underlying Mechanics'!$B$18,0)</x:f>
        <x:v>29340</x:v>
      </x:c>
      <x:c r="M57" t="n">
        <x:f>((IF(M$1-'Underlying Mechanics'!$B$8&lt;0,0,'Underlying Mechanics'!$B$22*'Underlying Mechanics'!$B$15*INDEX('Underlying Mechanics'!$B$31:$B$51,M$1-'Underlying Mechanics'!$B$8+1)*'Underlying Mechanics'!$B$5))*(1-$A57))-IF(M$1=0,'Underlying Mechanics'!$B$23*(1-$B57),0)-IF(M$1&gt;0,'Underlying Mechanics'!$B$22*'Underlying Mechanics'!$B$17,0)-IF(M$1&gt;0,'Underlying Mechanics'!$B$12*'Underlying Mechanics'!$B$18,0)</x:f>
        <x:v>42780.000000000015</x:v>
      </x:c>
      <x:c r="N57" t="n">
        <x:f>((IF(N$1-'Underlying Mechanics'!$B$8&lt;0,0,'Underlying Mechanics'!$B$22*'Underlying Mechanics'!$B$15*INDEX('Underlying Mechanics'!$B$31:$B$51,N$1-'Underlying Mechanics'!$B$8+1)*'Underlying Mechanics'!$B$5))*(1-$A57))-IF(N$1=0,'Underlying Mechanics'!$B$23*(1-$B57),0)-IF(N$1&gt;0,'Underlying Mechanics'!$B$22*'Underlying Mechanics'!$B$17,0)-IF(N$1&gt;0,'Underlying Mechanics'!$B$12*'Underlying Mechanics'!$B$18,0)</x:f>
        <x:v>54300</x:v>
      </x:c>
      <x:c r="O57" t="n">
        <x:f>((IF(O$1-'Underlying Mechanics'!$B$8&lt;0,0,'Underlying Mechanics'!$B$22*'Underlying Mechanics'!$B$15*INDEX('Underlying Mechanics'!$B$31:$B$51,O$1-'Underlying Mechanics'!$B$8+1)*'Underlying Mechanics'!$B$5))*(1-$A57))-IF(O$1=0,'Underlying Mechanics'!$B$23*(1-$B57),0)-IF(O$1&gt;0,'Underlying Mechanics'!$B$22*'Underlying Mechanics'!$B$17,0)-IF(O$1&gt;0,'Underlying Mechanics'!$B$12*'Underlying Mechanics'!$B$18,0)</x:f>
        <x:v>63900</x:v>
      </x:c>
      <x:c r="P57" t="n">
        <x:f>((IF(P$1-'Underlying Mechanics'!$B$8&lt;0,0,'Underlying Mechanics'!$B$22*'Underlying Mechanics'!$B$15*INDEX('Underlying Mechanics'!$B$31:$B$51,P$1-'Underlying Mechanics'!$B$8+1)*'Underlying Mechanics'!$B$5))*(1-$A57))-IF(P$1=0,'Underlying Mechanics'!$B$23*(1-$B57),0)-IF(P$1&gt;0,'Underlying Mechanics'!$B$22*'Underlying Mechanics'!$B$17,0)-IF(P$1&gt;0,'Underlying Mechanics'!$B$12*'Underlying Mechanics'!$B$18,0)</x:f>
        <x:v>73500</x:v>
      </x:c>
      <x:c r="Q57" t="n">
        <x:f>((IF(Q$1-'Underlying Mechanics'!$B$8&lt;0,0,'Underlying Mechanics'!$B$22*'Underlying Mechanics'!$B$15*INDEX('Underlying Mechanics'!$B$31:$B$51,Q$1-'Underlying Mechanics'!$B$8+1)*'Underlying Mechanics'!$B$5))*(1-$A57))-IF(Q$1=0,'Underlying Mechanics'!$B$23*(1-$B57),0)-IF(Q$1&gt;0,'Underlying Mechanics'!$B$22*'Underlying Mechanics'!$B$17,0)-IF(Q$1&gt;0,'Underlying Mechanics'!$B$12*'Underlying Mechanics'!$B$18,0)</x:f>
        <x:v>73500</x:v>
      </x:c>
      <x:c r="R57" t="n">
        <x:f>((IF(R$1-'Underlying Mechanics'!$B$8&lt;0,0,'Underlying Mechanics'!$B$22*'Underlying Mechanics'!$B$15*INDEX('Underlying Mechanics'!$B$31:$B$51,R$1-'Underlying Mechanics'!$B$8+1)*'Underlying Mechanics'!$B$5))*(1-$A57))-IF(R$1=0,'Underlying Mechanics'!$B$23*(1-$B57),0)-IF(R$1&gt;0,'Underlying Mechanics'!$B$22*'Underlying Mechanics'!$B$17,0)-IF(R$1&gt;0,'Underlying Mechanics'!$B$12*'Underlying Mechanics'!$B$18,0)</x:f>
        <x:v>73500</x:v>
      </x:c>
      <x:c r="S57" t="n">
        <x:f>((IF(S$1-'Underlying Mechanics'!$B$8&lt;0,0,'Underlying Mechanics'!$B$22*'Underlying Mechanics'!$B$15*INDEX('Underlying Mechanics'!$B$31:$B$51,S$1-'Underlying Mechanics'!$B$8+1)*'Underlying Mechanics'!$B$5))*(1-$A57))-IF(S$1=0,'Underlying Mechanics'!$B$23*(1-$B57),0)-IF(S$1&gt;0,'Underlying Mechanics'!$B$22*'Underlying Mechanics'!$B$17,0)-IF(S$1&gt;0,'Underlying Mechanics'!$B$12*'Underlying Mechanics'!$B$18,0)</x:f>
        <x:v>73500</x:v>
      </x:c>
      <x:c r="T57" t="n">
        <x:f>((IF(T$1-'Underlying Mechanics'!$B$8&lt;0,0,'Underlying Mechanics'!$B$22*'Underlying Mechanics'!$B$15*INDEX('Underlying Mechanics'!$B$31:$B$51,T$1-'Underlying Mechanics'!$B$8+1)*'Underlying Mechanics'!$B$5))*(1-$A57))-IF(T$1=0,'Underlying Mechanics'!$B$23*(1-$B57),0)-IF(T$1&gt;0,'Underlying Mechanics'!$B$22*'Underlying Mechanics'!$B$17,0)-IF(T$1&gt;0,'Underlying Mechanics'!$B$12*'Underlying Mechanics'!$B$18,0)</x:f>
        <x:v>73500</x:v>
      </x:c>
      <x:c r="U57" t="n">
        <x:f>((IF(U$1-'Underlying Mechanics'!$B$8&lt;0,0,'Underlying Mechanics'!$B$22*'Underlying Mechanics'!$B$15*INDEX('Underlying Mechanics'!$B$31:$B$51,U$1-'Underlying Mechanics'!$B$8+1)*'Underlying Mechanics'!$B$5))*(1-$A57))-IF(U$1=0,'Underlying Mechanics'!$B$23*(1-$B57),0)-IF(U$1&gt;0,'Underlying Mechanics'!$B$22*'Underlying Mechanics'!$B$17,0)-IF(U$1&gt;0,'Underlying Mechanics'!$B$12*'Underlying Mechanics'!$B$18,0)</x:f>
        <x:v>73500</x:v>
      </x:c>
      <x:c r="V57" t="n">
        <x:f>((IF(V$1-'Underlying Mechanics'!$B$8&lt;0,0,'Underlying Mechanics'!$B$22*'Underlying Mechanics'!$B$15*INDEX('Underlying Mechanics'!$B$31:$B$51,V$1-'Underlying Mechanics'!$B$8+1)*'Underlying Mechanics'!$B$5))*(1-$A57))-IF(V$1=0,'Underlying Mechanics'!$B$23*(1-$B57),0)-IF(V$1&gt;0,'Underlying Mechanics'!$B$22*'Underlying Mechanics'!$B$17,0)-IF(V$1&gt;0,'Underlying Mechanics'!$B$12*'Underlying Mechanics'!$B$18,0)</x:f>
        <x:v>73500</x:v>
      </x:c>
      <x:c r="W57" t="n">
        <x:f>((IF(W$1-'Underlying Mechanics'!$B$8&lt;0,0,'Underlying Mechanics'!$B$22*'Underlying Mechanics'!$B$15*INDEX('Underlying Mechanics'!$B$31:$B$51,W$1-'Underlying Mechanics'!$B$8+1)*'Underlying Mechanics'!$B$5))*(1-$A57))-IF(W$1=0,'Underlying Mechanics'!$B$23*(1-$B57),0)-IF(W$1&gt;0,'Underlying Mechanics'!$B$22*'Underlying Mechanics'!$B$17,0)-IF(W$1&gt;0,'Underlying Mechanics'!$B$12*'Underlying Mechanics'!$B$18,0)</x:f>
        <x:v>73500</x:v>
      </x:c>
      <x:c r="X57" t="n">
        <x:f>IFERROR(IRR(C57:W57),-1)</x:f>
        <x:v>0.14136765013161107</x:v>
      </x:c>
    </x:row>
    <x:row r="58">
      <x:c r="A58" t="n">
        <x:v>0.2</x:v>
      </x:c>
      <x:c r="B58" t="n">
        <x:v>0.7</x:v>
      </x:c>
      <x:c r="C58" t="n">
        <x:f>((IF(C$1-'Underlying Mechanics'!$B$8&lt;0,0,'Underlying Mechanics'!$B$22*'Underlying Mechanics'!$B$15*INDEX('Underlying Mechanics'!$B$31:$B$51,C$1-'Underlying Mechanics'!$B$8+1)*'Underlying Mechanics'!$B$5))*(1-$A58))-IF(C$1=0,'Underlying Mechanics'!$B$23*(1-$B58),0)-IF(C$1&gt;0,'Underlying Mechanics'!$B$22*'Underlying Mechanics'!$B$17,0)-IF(C$1&gt;0,'Underlying Mechanics'!$B$12*'Underlying Mechanics'!$B$18,0)</x:f>
        <x:v>-45000.00000000001</x:v>
      </x:c>
      <x:c r="D58" t="n">
        <x:f>((IF(D$1-'Underlying Mechanics'!$B$8&lt;0,0,'Underlying Mechanics'!$B$22*'Underlying Mechanics'!$B$15*INDEX('Underlying Mechanics'!$B$31:$B$51,D$1-'Underlying Mechanics'!$B$8+1)*'Underlying Mechanics'!$B$5))*(1-$A58))-IF(D$1=0,'Underlying Mechanics'!$B$23*(1-$B58),0)-IF(D$1&gt;0,'Underlying Mechanics'!$B$22*'Underlying Mechanics'!$B$17,0)-IF(D$1&gt;0,'Underlying Mechanics'!$B$12*'Underlying Mechanics'!$B$18,0)</x:f>
        <x:v>-22500</x:v>
      </x:c>
      <x:c r="E58" t="n">
        <x:f>((IF(E$1-'Underlying Mechanics'!$B$8&lt;0,0,'Underlying Mechanics'!$B$22*'Underlying Mechanics'!$B$15*INDEX('Underlying Mechanics'!$B$31:$B$51,E$1-'Underlying Mechanics'!$B$8+1)*'Underlying Mechanics'!$B$5))*(1-$A58))-IF(E$1=0,'Underlying Mechanics'!$B$23*(1-$B58),0)-IF(E$1&gt;0,'Underlying Mechanics'!$B$22*'Underlying Mechanics'!$B$17,0)-IF(E$1&gt;0,'Underlying Mechanics'!$B$12*'Underlying Mechanics'!$B$18,0)</x:f>
        <x:v>-22500</x:v>
      </x:c>
      <x:c r="F58" t="n">
        <x:f>((IF(F$1-'Underlying Mechanics'!$B$8&lt;0,0,'Underlying Mechanics'!$B$22*'Underlying Mechanics'!$B$15*INDEX('Underlying Mechanics'!$B$31:$B$51,F$1-'Underlying Mechanics'!$B$8+1)*'Underlying Mechanics'!$B$5))*(1-$A58))-IF(F$1=0,'Underlying Mechanics'!$B$23*(1-$B58),0)-IF(F$1&gt;0,'Underlying Mechanics'!$B$22*'Underlying Mechanics'!$B$17,0)-IF(F$1&gt;0,'Underlying Mechanics'!$B$12*'Underlying Mechanics'!$B$18,0)</x:f>
        <x:v>-20580</x:v>
      </x:c>
      <x:c r="G58" t="n">
        <x:f>((IF(G$1-'Underlying Mechanics'!$B$8&lt;0,0,'Underlying Mechanics'!$B$22*'Underlying Mechanics'!$B$15*INDEX('Underlying Mechanics'!$B$31:$B$51,G$1-'Underlying Mechanics'!$B$8+1)*'Underlying Mechanics'!$B$5))*(1-$A58))-IF(G$1=0,'Underlying Mechanics'!$B$23*(1-$B58),0)-IF(G$1&gt;0,'Underlying Mechanics'!$B$22*'Underlying Mechanics'!$B$17,0)-IF(G$1&gt;0,'Underlying Mechanics'!$B$12*'Underlying Mechanics'!$B$18,0)</x:f>
        <x:v>-17700</x:v>
      </x:c>
      <x:c r="H58" t="n">
        <x:f>((IF(H$1-'Underlying Mechanics'!$B$8&lt;0,0,'Underlying Mechanics'!$B$22*'Underlying Mechanics'!$B$15*INDEX('Underlying Mechanics'!$B$31:$B$51,H$1-'Underlying Mechanics'!$B$8+1)*'Underlying Mechanics'!$B$5))*(1-$A58))-IF(H$1=0,'Underlying Mechanics'!$B$23*(1-$B58),0)-IF(H$1&gt;0,'Underlying Mechanics'!$B$22*'Underlying Mechanics'!$B$17,0)-IF(H$1&gt;0,'Underlying Mechanics'!$B$12*'Underlying Mechanics'!$B$18,0)</x:f>
        <x:v>-12900</x:v>
      </x:c>
      <x:c r="I58" t="n">
        <x:f>((IF(I$1-'Underlying Mechanics'!$B$8&lt;0,0,'Underlying Mechanics'!$B$22*'Underlying Mechanics'!$B$15*INDEX('Underlying Mechanics'!$B$31:$B$51,I$1-'Underlying Mechanics'!$B$8+1)*'Underlying Mechanics'!$B$5))*(1-$A58))-IF(I$1=0,'Underlying Mechanics'!$B$23*(1-$B58),0)-IF(I$1&gt;0,'Underlying Mechanics'!$B$22*'Underlying Mechanics'!$B$17,0)-IF(I$1&gt;0,'Underlying Mechanics'!$B$12*'Underlying Mechanics'!$B$18,0)</x:f>
        <x:v>-5220</x:v>
      </x:c>
      <x:c r="J58" t="n">
        <x:f>((IF(J$1-'Underlying Mechanics'!$B$8&lt;0,0,'Underlying Mechanics'!$B$22*'Underlying Mechanics'!$B$15*INDEX('Underlying Mechanics'!$B$31:$B$51,J$1-'Underlying Mechanics'!$B$8+1)*'Underlying Mechanics'!$B$5))*(1-$A58))-IF(J$1=0,'Underlying Mechanics'!$B$23*(1-$B58),0)-IF(J$1&gt;0,'Underlying Mechanics'!$B$22*'Underlying Mechanics'!$B$17,0)-IF(J$1&gt;0,'Underlying Mechanics'!$B$12*'Underlying Mechanics'!$B$18,0)</x:f>
        <x:v>4380.000000000007</x:v>
      </x:c>
      <x:c r="K58" t="n">
        <x:f>((IF(K$1-'Underlying Mechanics'!$B$8&lt;0,0,'Underlying Mechanics'!$B$22*'Underlying Mechanics'!$B$15*INDEX('Underlying Mechanics'!$B$31:$B$51,K$1-'Underlying Mechanics'!$B$8+1)*'Underlying Mechanics'!$B$5))*(1-$A58))-IF(K$1=0,'Underlying Mechanics'!$B$23*(1-$B58),0)-IF(K$1&gt;0,'Underlying Mechanics'!$B$22*'Underlying Mechanics'!$B$17,0)-IF(K$1&gt;0,'Underlying Mechanics'!$B$12*'Underlying Mechanics'!$B$18,0)</x:f>
        <x:v>15900</x:v>
      </x:c>
      <x:c r="L58" t="n">
        <x:f>((IF(L$1-'Underlying Mechanics'!$B$8&lt;0,0,'Underlying Mechanics'!$B$22*'Underlying Mechanics'!$B$15*INDEX('Underlying Mechanics'!$B$31:$B$51,L$1-'Underlying Mechanics'!$B$8+1)*'Underlying Mechanics'!$B$5))*(1-$A58))-IF(L$1=0,'Underlying Mechanics'!$B$23*(1-$B58),0)-IF(L$1&gt;0,'Underlying Mechanics'!$B$22*'Underlying Mechanics'!$B$17,0)-IF(L$1&gt;0,'Underlying Mechanics'!$B$12*'Underlying Mechanics'!$B$18,0)</x:f>
        <x:v>29340</x:v>
      </x:c>
      <x:c r="M58" t="n">
        <x:f>((IF(M$1-'Underlying Mechanics'!$B$8&lt;0,0,'Underlying Mechanics'!$B$22*'Underlying Mechanics'!$B$15*INDEX('Underlying Mechanics'!$B$31:$B$51,M$1-'Underlying Mechanics'!$B$8+1)*'Underlying Mechanics'!$B$5))*(1-$A58))-IF(M$1=0,'Underlying Mechanics'!$B$23*(1-$B58),0)-IF(M$1&gt;0,'Underlying Mechanics'!$B$22*'Underlying Mechanics'!$B$17,0)-IF(M$1&gt;0,'Underlying Mechanics'!$B$12*'Underlying Mechanics'!$B$18,0)</x:f>
        <x:v>42780.000000000015</x:v>
      </x:c>
      <x:c r="N58" t="n">
        <x:f>((IF(N$1-'Underlying Mechanics'!$B$8&lt;0,0,'Underlying Mechanics'!$B$22*'Underlying Mechanics'!$B$15*INDEX('Underlying Mechanics'!$B$31:$B$51,N$1-'Underlying Mechanics'!$B$8+1)*'Underlying Mechanics'!$B$5))*(1-$A58))-IF(N$1=0,'Underlying Mechanics'!$B$23*(1-$B58),0)-IF(N$1&gt;0,'Underlying Mechanics'!$B$22*'Underlying Mechanics'!$B$17,0)-IF(N$1&gt;0,'Underlying Mechanics'!$B$12*'Underlying Mechanics'!$B$18,0)</x:f>
        <x:v>54300</x:v>
      </x:c>
      <x:c r="O58" t="n">
        <x:f>((IF(O$1-'Underlying Mechanics'!$B$8&lt;0,0,'Underlying Mechanics'!$B$22*'Underlying Mechanics'!$B$15*INDEX('Underlying Mechanics'!$B$31:$B$51,O$1-'Underlying Mechanics'!$B$8+1)*'Underlying Mechanics'!$B$5))*(1-$A58))-IF(O$1=0,'Underlying Mechanics'!$B$23*(1-$B58),0)-IF(O$1&gt;0,'Underlying Mechanics'!$B$22*'Underlying Mechanics'!$B$17,0)-IF(O$1&gt;0,'Underlying Mechanics'!$B$12*'Underlying Mechanics'!$B$18,0)</x:f>
        <x:v>63900</x:v>
      </x:c>
      <x:c r="P58" t="n">
        <x:f>((IF(P$1-'Underlying Mechanics'!$B$8&lt;0,0,'Underlying Mechanics'!$B$22*'Underlying Mechanics'!$B$15*INDEX('Underlying Mechanics'!$B$31:$B$51,P$1-'Underlying Mechanics'!$B$8+1)*'Underlying Mechanics'!$B$5))*(1-$A58))-IF(P$1=0,'Underlying Mechanics'!$B$23*(1-$B58),0)-IF(P$1&gt;0,'Underlying Mechanics'!$B$22*'Underlying Mechanics'!$B$17,0)-IF(P$1&gt;0,'Underlying Mechanics'!$B$12*'Underlying Mechanics'!$B$18,0)</x:f>
        <x:v>73500</x:v>
      </x:c>
      <x:c r="Q58" t="n">
        <x:f>((IF(Q$1-'Underlying Mechanics'!$B$8&lt;0,0,'Underlying Mechanics'!$B$22*'Underlying Mechanics'!$B$15*INDEX('Underlying Mechanics'!$B$31:$B$51,Q$1-'Underlying Mechanics'!$B$8+1)*'Underlying Mechanics'!$B$5))*(1-$A58))-IF(Q$1=0,'Underlying Mechanics'!$B$23*(1-$B58),0)-IF(Q$1&gt;0,'Underlying Mechanics'!$B$22*'Underlying Mechanics'!$B$17,0)-IF(Q$1&gt;0,'Underlying Mechanics'!$B$12*'Underlying Mechanics'!$B$18,0)</x:f>
        <x:v>73500</x:v>
      </x:c>
      <x:c r="R58" t="n">
        <x:f>((IF(R$1-'Underlying Mechanics'!$B$8&lt;0,0,'Underlying Mechanics'!$B$22*'Underlying Mechanics'!$B$15*INDEX('Underlying Mechanics'!$B$31:$B$51,R$1-'Underlying Mechanics'!$B$8+1)*'Underlying Mechanics'!$B$5))*(1-$A58))-IF(R$1=0,'Underlying Mechanics'!$B$23*(1-$B58),0)-IF(R$1&gt;0,'Underlying Mechanics'!$B$22*'Underlying Mechanics'!$B$17,0)-IF(R$1&gt;0,'Underlying Mechanics'!$B$12*'Underlying Mechanics'!$B$18,0)</x:f>
        <x:v>73500</x:v>
      </x:c>
      <x:c r="S58" t="n">
        <x:f>((IF(S$1-'Underlying Mechanics'!$B$8&lt;0,0,'Underlying Mechanics'!$B$22*'Underlying Mechanics'!$B$15*INDEX('Underlying Mechanics'!$B$31:$B$51,S$1-'Underlying Mechanics'!$B$8+1)*'Underlying Mechanics'!$B$5))*(1-$A58))-IF(S$1=0,'Underlying Mechanics'!$B$23*(1-$B58),0)-IF(S$1&gt;0,'Underlying Mechanics'!$B$22*'Underlying Mechanics'!$B$17,0)-IF(S$1&gt;0,'Underlying Mechanics'!$B$12*'Underlying Mechanics'!$B$18,0)</x:f>
        <x:v>73500</x:v>
      </x:c>
      <x:c r="T58" t="n">
        <x:f>((IF(T$1-'Underlying Mechanics'!$B$8&lt;0,0,'Underlying Mechanics'!$B$22*'Underlying Mechanics'!$B$15*INDEX('Underlying Mechanics'!$B$31:$B$51,T$1-'Underlying Mechanics'!$B$8+1)*'Underlying Mechanics'!$B$5))*(1-$A58))-IF(T$1=0,'Underlying Mechanics'!$B$23*(1-$B58),0)-IF(T$1&gt;0,'Underlying Mechanics'!$B$22*'Underlying Mechanics'!$B$17,0)-IF(T$1&gt;0,'Underlying Mechanics'!$B$12*'Underlying Mechanics'!$B$18,0)</x:f>
        <x:v>73500</x:v>
      </x:c>
      <x:c r="U58" t="n">
        <x:f>((IF(U$1-'Underlying Mechanics'!$B$8&lt;0,0,'Underlying Mechanics'!$B$22*'Underlying Mechanics'!$B$15*INDEX('Underlying Mechanics'!$B$31:$B$51,U$1-'Underlying Mechanics'!$B$8+1)*'Underlying Mechanics'!$B$5))*(1-$A58))-IF(U$1=0,'Underlying Mechanics'!$B$23*(1-$B58),0)-IF(U$1&gt;0,'Underlying Mechanics'!$B$22*'Underlying Mechanics'!$B$17,0)-IF(U$1&gt;0,'Underlying Mechanics'!$B$12*'Underlying Mechanics'!$B$18,0)</x:f>
        <x:v>73500</x:v>
      </x:c>
      <x:c r="V58" t="n">
        <x:f>((IF(V$1-'Underlying Mechanics'!$B$8&lt;0,0,'Underlying Mechanics'!$B$22*'Underlying Mechanics'!$B$15*INDEX('Underlying Mechanics'!$B$31:$B$51,V$1-'Underlying Mechanics'!$B$8+1)*'Underlying Mechanics'!$B$5))*(1-$A58))-IF(V$1=0,'Underlying Mechanics'!$B$23*(1-$B58),0)-IF(V$1&gt;0,'Underlying Mechanics'!$B$22*'Underlying Mechanics'!$B$17,0)-IF(V$1&gt;0,'Underlying Mechanics'!$B$12*'Underlying Mechanics'!$B$18,0)</x:f>
        <x:v>73500</x:v>
      </x:c>
      <x:c r="W58" t="n">
        <x:f>((IF(W$1-'Underlying Mechanics'!$B$8&lt;0,0,'Underlying Mechanics'!$B$22*'Underlying Mechanics'!$B$15*INDEX('Underlying Mechanics'!$B$31:$B$51,W$1-'Underlying Mechanics'!$B$8+1)*'Underlying Mechanics'!$B$5))*(1-$A58))-IF(W$1=0,'Underlying Mechanics'!$B$23*(1-$B58),0)-IF(W$1&gt;0,'Underlying Mechanics'!$B$22*'Underlying Mechanics'!$B$17,0)-IF(W$1&gt;0,'Underlying Mechanics'!$B$12*'Underlying Mechanics'!$B$18,0)</x:f>
        <x:v>73500</x:v>
      </x:c>
      <x:c r="X58" t="n">
        <x:f>IFERROR(IRR(C58:W58),-1)</x:f>
        <x:v>0.14749377313623263</x:v>
      </x:c>
    </x:row>
    <x:row r="59">
      <x:c r="A59" t="n">
        <x:v>0.2</x:v>
      </x:c>
      <x:c r="B59" t="n">
        <x:v>0.75</x:v>
      </x:c>
      <x:c r="C59" t="n">
        <x:f>((IF(C$1-'Underlying Mechanics'!$B$8&lt;0,0,'Underlying Mechanics'!$B$22*'Underlying Mechanics'!$B$15*INDEX('Underlying Mechanics'!$B$31:$B$51,C$1-'Underlying Mechanics'!$B$8+1)*'Underlying Mechanics'!$B$5))*(1-$A59))-IF(C$1=0,'Underlying Mechanics'!$B$23*(1-$B59),0)-IF(C$1&gt;0,'Underlying Mechanics'!$B$22*'Underlying Mechanics'!$B$17,0)-IF(C$1&gt;0,'Underlying Mechanics'!$B$12*'Underlying Mechanics'!$B$18,0)</x:f>
        <x:v>-37500</x:v>
      </x:c>
      <x:c r="D59" t="n">
        <x:f>((IF(D$1-'Underlying Mechanics'!$B$8&lt;0,0,'Underlying Mechanics'!$B$22*'Underlying Mechanics'!$B$15*INDEX('Underlying Mechanics'!$B$31:$B$51,D$1-'Underlying Mechanics'!$B$8+1)*'Underlying Mechanics'!$B$5))*(1-$A59))-IF(D$1=0,'Underlying Mechanics'!$B$23*(1-$B59),0)-IF(D$1&gt;0,'Underlying Mechanics'!$B$22*'Underlying Mechanics'!$B$17,0)-IF(D$1&gt;0,'Underlying Mechanics'!$B$12*'Underlying Mechanics'!$B$18,0)</x:f>
        <x:v>-22500</x:v>
      </x:c>
      <x:c r="E59" t="n">
        <x:f>((IF(E$1-'Underlying Mechanics'!$B$8&lt;0,0,'Underlying Mechanics'!$B$22*'Underlying Mechanics'!$B$15*INDEX('Underlying Mechanics'!$B$31:$B$51,E$1-'Underlying Mechanics'!$B$8+1)*'Underlying Mechanics'!$B$5))*(1-$A59))-IF(E$1=0,'Underlying Mechanics'!$B$23*(1-$B59),0)-IF(E$1&gt;0,'Underlying Mechanics'!$B$22*'Underlying Mechanics'!$B$17,0)-IF(E$1&gt;0,'Underlying Mechanics'!$B$12*'Underlying Mechanics'!$B$18,0)</x:f>
        <x:v>-22500</x:v>
      </x:c>
      <x:c r="F59" t="n">
        <x:f>((IF(F$1-'Underlying Mechanics'!$B$8&lt;0,0,'Underlying Mechanics'!$B$22*'Underlying Mechanics'!$B$15*INDEX('Underlying Mechanics'!$B$31:$B$51,F$1-'Underlying Mechanics'!$B$8+1)*'Underlying Mechanics'!$B$5))*(1-$A59))-IF(F$1=0,'Underlying Mechanics'!$B$23*(1-$B59),0)-IF(F$1&gt;0,'Underlying Mechanics'!$B$22*'Underlying Mechanics'!$B$17,0)-IF(F$1&gt;0,'Underlying Mechanics'!$B$12*'Underlying Mechanics'!$B$18,0)</x:f>
        <x:v>-20580</x:v>
      </x:c>
      <x:c r="G59" t="n">
        <x:f>((IF(G$1-'Underlying Mechanics'!$B$8&lt;0,0,'Underlying Mechanics'!$B$22*'Underlying Mechanics'!$B$15*INDEX('Underlying Mechanics'!$B$31:$B$51,G$1-'Underlying Mechanics'!$B$8+1)*'Underlying Mechanics'!$B$5))*(1-$A59))-IF(G$1=0,'Underlying Mechanics'!$B$23*(1-$B59),0)-IF(G$1&gt;0,'Underlying Mechanics'!$B$22*'Underlying Mechanics'!$B$17,0)-IF(G$1&gt;0,'Underlying Mechanics'!$B$12*'Underlying Mechanics'!$B$18,0)</x:f>
        <x:v>-17700</x:v>
      </x:c>
      <x:c r="H59" t="n">
        <x:f>((IF(H$1-'Underlying Mechanics'!$B$8&lt;0,0,'Underlying Mechanics'!$B$22*'Underlying Mechanics'!$B$15*INDEX('Underlying Mechanics'!$B$31:$B$51,H$1-'Underlying Mechanics'!$B$8+1)*'Underlying Mechanics'!$B$5))*(1-$A59))-IF(H$1=0,'Underlying Mechanics'!$B$23*(1-$B59),0)-IF(H$1&gt;0,'Underlying Mechanics'!$B$22*'Underlying Mechanics'!$B$17,0)-IF(H$1&gt;0,'Underlying Mechanics'!$B$12*'Underlying Mechanics'!$B$18,0)</x:f>
        <x:v>-12900</x:v>
      </x:c>
      <x:c r="I59" t="n">
        <x:f>((IF(I$1-'Underlying Mechanics'!$B$8&lt;0,0,'Underlying Mechanics'!$B$22*'Underlying Mechanics'!$B$15*INDEX('Underlying Mechanics'!$B$31:$B$51,I$1-'Underlying Mechanics'!$B$8+1)*'Underlying Mechanics'!$B$5))*(1-$A59))-IF(I$1=0,'Underlying Mechanics'!$B$23*(1-$B59),0)-IF(I$1&gt;0,'Underlying Mechanics'!$B$22*'Underlying Mechanics'!$B$17,0)-IF(I$1&gt;0,'Underlying Mechanics'!$B$12*'Underlying Mechanics'!$B$18,0)</x:f>
        <x:v>-5220</x:v>
      </x:c>
      <x:c r="J59" t="n">
        <x:f>((IF(J$1-'Underlying Mechanics'!$B$8&lt;0,0,'Underlying Mechanics'!$B$22*'Underlying Mechanics'!$B$15*INDEX('Underlying Mechanics'!$B$31:$B$51,J$1-'Underlying Mechanics'!$B$8+1)*'Underlying Mechanics'!$B$5))*(1-$A59))-IF(J$1=0,'Underlying Mechanics'!$B$23*(1-$B59),0)-IF(J$1&gt;0,'Underlying Mechanics'!$B$22*'Underlying Mechanics'!$B$17,0)-IF(J$1&gt;0,'Underlying Mechanics'!$B$12*'Underlying Mechanics'!$B$18,0)</x:f>
        <x:v>4380.000000000007</x:v>
      </x:c>
      <x:c r="K59" t="n">
        <x:f>((IF(K$1-'Underlying Mechanics'!$B$8&lt;0,0,'Underlying Mechanics'!$B$22*'Underlying Mechanics'!$B$15*INDEX('Underlying Mechanics'!$B$31:$B$51,K$1-'Underlying Mechanics'!$B$8+1)*'Underlying Mechanics'!$B$5))*(1-$A59))-IF(K$1=0,'Underlying Mechanics'!$B$23*(1-$B59),0)-IF(K$1&gt;0,'Underlying Mechanics'!$B$22*'Underlying Mechanics'!$B$17,0)-IF(K$1&gt;0,'Underlying Mechanics'!$B$12*'Underlying Mechanics'!$B$18,0)</x:f>
        <x:v>15900</x:v>
      </x:c>
      <x:c r="L59" t="n">
        <x:f>((IF(L$1-'Underlying Mechanics'!$B$8&lt;0,0,'Underlying Mechanics'!$B$22*'Underlying Mechanics'!$B$15*INDEX('Underlying Mechanics'!$B$31:$B$51,L$1-'Underlying Mechanics'!$B$8+1)*'Underlying Mechanics'!$B$5))*(1-$A59))-IF(L$1=0,'Underlying Mechanics'!$B$23*(1-$B59),0)-IF(L$1&gt;0,'Underlying Mechanics'!$B$22*'Underlying Mechanics'!$B$17,0)-IF(L$1&gt;0,'Underlying Mechanics'!$B$12*'Underlying Mechanics'!$B$18,0)</x:f>
        <x:v>29340</x:v>
      </x:c>
      <x:c r="M59" t="n">
        <x:f>((IF(M$1-'Underlying Mechanics'!$B$8&lt;0,0,'Underlying Mechanics'!$B$22*'Underlying Mechanics'!$B$15*INDEX('Underlying Mechanics'!$B$31:$B$51,M$1-'Underlying Mechanics'!$B$8+1)*'Underlying Mechanics'!$B$5))*(1-$A59))-IF(M$1=0,'Underlying Mechanics'!$B$23*(1-$B59),0)-IF(M$1&gt;0,'Underlying Mechanics'!$B$22*'Underlying Mechanics'!$B$17,0)-IF(M$1&gt;0,'Underlying Mechanics'!$B$12*'Underlying Mechanics'!$B$18,0)</x:f>
        <x:v>42780.000000000015</x:v>
      </x:c>
      <x:c r="N59" t="n">
        <x:f>((IF(N$1-'Underlying Mechanics'!$B$8&lt;0,0,'Underlying Mechanics'!$B$22*'Underlying Mechanics'!$B$15*INDEX('Underlying Mechanics'!$B$31:$B$51,N$1-'Underlying Mechanics'!$B$8+1)*'Underlying Mechanics'!$B$5))*(1-$A59))-IF(N$1=0,'Underlying Mechanics'!$B$23*(1-$B59),0)-IF(N$1&gt;0,'Underlying Mechanics'!$B$22*'Underlying Mechanics'!$B$17,0)-IF(N$1&gt;0,'Underlying Mechanics'!$B$12*'Underlying Mechanics'!$B$18,0)</x:f>
        <x:v>54300</x:v>
      </x:c>
      <x:c r="O59" t="n">
        <x:f>((IF(O$1-'Underlying Mechanics'!$B$8&lt;0,0,'Underlying Mechanics'!$B$22*'Underlying Mechanics'!$B$15*INDEX('Underlying Mechanics'!$B$31:$B$51,O$1-'Underlying Mechanics'!$B$8+1)*'Underlying Mechanics'!$B$5))*(1-$A59))-IF(O$1=0,'Underlying Mechanics'!$B$23*(1-$B59),0)-IF(O$1&gt;0,'Underlying Mechanics'!$B$22*'Underlying Mechanics'!$B$17,0)-IF(O$1&gt;0,'Underlying Mechanics'!$B$12*'Underlying Mechanics'!$B$18,0)</x:f>
        <x:v>63900</x:v>
      </x:c>
      <x:c r="P59" t="n">
        <x:f>((IF(P$1-'Underlying Mechanics'!$B$8&lt;0,0,'Underlying Mechanics'!$B$22*'Underlying Mechanics'!$B$15*INDEX('Underlying Mechanics'!$B$31:$B$51,P$1-'Underlying Mechanics'!$B$8+1)*'Underlying Mechanics'!$B$5))*(1-$A59))-IF(P$1=0,'Underlying Mechanics'!$B$23*(1-$B59),0)-IF(P$1&gt;0,'Underlying Mechanics'!$B$22*'Underlying Mechanics'!$B$17,0)-IF(P$1&gt;0,'Underlying Mechanics'!$B$12*'Underlying Mechanics'!$B$18,0)</x:f>
        <x:v>73500</x:v>
      </x:c>
      <x:c r="Q59" t="n">
        <x:f>((IF(Q$1-'Underlying Mechanics'!$B$8&lt;0,0,'Underlying Mechanics'!$B$22*'Underlying Mechanics'!$B$15*INDEX('Underlying Mechanics'!$B$31:$B$51,Q$1-'Underlying Mechanics'!$B$8+1)*'Underlying Mechanics'!$B$5))*(1-$A59))-IF(Q$1=0,'Underlying Mechanics'!$B$23*(1-$B59),0)-IF(Q$1&gt;0,'Underlying Mechanics'!$B$22*'Underlying Mechanics'!$B$17,0)-IF(Q$1&gt;0,'Underlying Mechanics'!$B$12*'Underlying Mechanics'!$B$18,0)</x:f>
        <x:v>73500</x:v>
      </x:c>
      <x:c r="R59" t="n">
        <x:f>((IF(R$1-'Underlying Mechanics'!$B$8&lt;0,0,'Underlying Mechanics'!$B$22*'Underlying Mechanics'!$B$15*INDEX('Underlying Mechanics'!$B$31:$B$51,R$1-'Underlying Mechanics'!$B$8+1)*'Underlying Mechanics'!$B$5))*(1-$A59))-IF(R$1=0,'Underlying Mechanics'!$B$23*(1-$B59),0)-IF(R$1&gt;0,'Underlying Mechanics'!$B$22*'Underlying Mechanics'!$B$17,0)-IF(R$1&gt;0,'Underlying Mechanics'!$B$12*'Underlying Mechanics'!$B$18,0)</x:f>
        <x:v>73500</x:v>
      </x:c>
      <x:c r="S59" t="n">
        <x:f>((IF(S$1-'Underlying Mechanics'!$B$8&lt;0,0,'Underlying Mechanics'!$B$22*'Underlying Mechanics'!$B$15*INDEX('Underlying Mechanics'!$B$31:$B$51,S$1-'Underlying Mechanics'!$B$8+1)*'Underlying Mechanics'!$B$5))*(1-$A59))-IF(S$1=0,'Underlying Mechanics'!$B$23*(1-$B59),0)-IF(S$1&gt;0,'Underlying Mechanics'!$B$22*'Underlying Mechanics'!$B$17,0)-IF(S$1&gt;0,'Underlying Mechanics'!$B$12*'Underlying Mechanics'!$B$18,0)</x:f>
        <x:v>73500</x:v>
      </x:c>
      <x:c r="T59" t="n">
        <x:f>((IF(T$1-'Underlying Mechanics'!$B$8&lt;0,0,'Underlying Mechanics'!$B$22*'Underlying Mechanics'!$B$15*INDEX('Underlying Mechanics'!$B$31:$B$51,T$1-'Underlying Mechanics'!$B$8+1)*'Underlying Mechanics'!$B$5))*(1-$A59))-IF(T$1=0,'Underlying Mechanics'!$B$23*(1-$B59),0)-IF(T$1&gt;0,'Underlying Mechanics'!$B$22*'Underlying Mechanics'!$B$17,0)-IF(T$1&gt;0,'Underlying Mechanics'!$B$12*'Underlying Mechanics'!$B$18,0)</x:f>
        <x:v>73500</x:v>
      </x:c>
      <x:c r="U59" t="n">
        <x:f>((IF(U$1-'Underlying Mechanics'!$B$8&lt;0,0,'Underlying Mechanics'!$B$22*'Underlying Mechanics'!$B$15*INDEX('Underlying Mechanics'!$B$31:$B$51,U$1-'Underlying Mechanics'!$B$8+1)*'Underlying Mechanics'!$B$5))*(1-$A59))-IF(U$1=0,'Underlying Mechanics'!$B$23*(1-$B59),0)-IF(U$1&gt;0,'Underlying Mechanics'!$B$22*'Underlying Mechanics'!$B$17,0)-IF(U$1&gt;0,'Underlying Mechanics'!$B$12*'Underlying Mechanics'!$B$18,0)</x:f>
        <x:v>73500</x:v>
      </x:c>
      <x:c r="V59" t="n">
        <x:f>((IF(V$1-'Underlying Mechanics'!$B$8&lt;0,0,'Underlying Mechanics'!$B$22*'Underlying Mechanics'!$B$15*INDEX('Underlying Mechanics'!$B$31:$B$51,V$1-'Underlying Mechanics'!$B$8+1)*'Underlying Mechanics'!$B$5))*(1-$A59))-IF(V$1=0,'Underlying Mechanics'!$B$23*(1-$B59),0)-IF(V$1&gt;0,'Underlying Mechanics'!$B$22*'Underlying Mechanics'!$B$17,0)-IF(V$1&gt;0,'Underlying Mechanics'!$B$12*'Underlying Mechanics'!$B$18,0)</x:f>
        <x:v>73500</x:v>
      </x:c>
      <x:c r="W59" t="n">
        <x:f>((IF(W$1-'Underlying Mechanics'!$B$8&lt;0,0,'Underlying Mechanics'!$B$22*'Underlying Mechanics'!$B$15*INDEX('Underlying Mechanics'!$B$31:$B$51,W$1-'Underlying Mechanics'!$B$8+1)*'Underlying Mechanics'!$B$5))*(1-$A59))-IF(W$1=0,'Underlying Mechanics'!$B$23*(1-$B59),0)-IF(W$1&gt;0,'Underlying Mechanics'!$B$22*'Underlying Mechanics'!$B$17,0)-IF(W$1&gt;0,'Underlying Mechanics'!$B$12*'Underlying Mechanics'!$B$18,0)</x:f>
        <x:v>73500</x:v>
      </x:c>
      <x:c r="X59" t="n">
        <x:f>IFERROR(IRR(C59:W59),-1)</x:f>
        <x:v>0.15421769751547282</x:v>
      </x:c>
    </x:row>
    <x:row r="60">
      <x:c r="A60" t="n">
        <x:v>0.2</x:v>
      </x:c>
      <x:c r="B60" t="n">
        <x:v>0.8</x:v>
      </x:c>
      <x:c r="C60" t="n">
        <x:f>((IF(C$1-'Underlying Mechanics'!$B$8&lt;0,0,'Underlying Mechanics'!$B$22*'Underlying Mechanics'!$B$15*INDEX('Underlying Mechanics'!$B$31:$B$51,C$1-'Underlying Mechanics'!$B$8+1)*'Underlying Mechanics'!$B$5))*(1-$A60))-IF(C$1=0,'Underlying Mechanics'!$B$23*(1-$B60),0)-IF(C$1&gt;0,'Underlying Mechanics'!$B$22*'Underlying Mechanics'!$B$17,0)-IF(C$1&gt;0,'Underlying Mechanics'!$B$12*'Underlying Mechanics'!$B$18,0)</x:f>
        <x:v>-29999.999999999993</x:v>
      </x:c>
      <x:c r="D60" t="n">
        <x:f>((IF(D$1-'Underlying Mechanics'!$B$8&lt;0,0,'Underlying Mechanics'!$B$22*'Underlying Mechanics'!$B$15*INDEX('Underlying Mechanics'!$B$31:$B$51,D$1-'Underlying Mechanics'!$B$8+1)*'Underlying Mechanics'!$B$5))*(1-$A60))-IF(D$1=0,'Underlying Mechanics'!$B$23*(1-$B60),0)-IF(D$1&gt;0,'Underlying Mechanics'!$B$22*'Underlying Mechanics'!$B$17,0)-IF(D$1&gt;0,'Underlying Mechanics'!$B$12*'Underlying Mechanics'!$B$18,0)</x:f>
        <x:v>-22500</x:v>
      </x:c>
      <x:c r="E60" t="n">
        <x:f>((IF(E$1-'Underlying Mechanics'!$B$8&lt;0,0,'Underlying Mechanics'!$B$22*'Underlying Mechanics'!$B$15*INDEX('Underlying Mechanics'!$B$31:$B$51,E$1-'Underlying Mechanics'!$B$8+1)*'Underlying Mechanics'!$B$5))*(1-$A60))-IF(E$1=0,'Underlying Mechanics'!$B$23*(1-$B60),0)-IF(E$1&gt;0,'Underlying Mechanics'!$B$22*'Underlying Mechanics'!$B$17,0)-IF(E$1&gt;0,'Underlying Mechanics'!$B$12*'Underlying Mechanics'!$B$18,0)</x:f>
        <x:v>-22500</x:v>
      </x:c>
      <x:c r="F60" t="n">
        <x:f>((IF(F$1-'Underlying Mechanics'!$B$8&lt;0,0,'Underlying Mechanics'!$B$22*'Underlying Mechanics'!$B$15*INDEX('Underlying Mechanics'!$B$31:$B$51,F$1-'Underlying Mechanics'!$B$8+1)*'Underlying Mechanics'!$B$5))*(1-$A60))-IF(F$1=0,'Underlying Mechanics'!$B$23*(1-$B60),0)-IF(F$1&gt;0,'Underlying Mechanics'!$B$22*'Underlying Mechanics'!$B$17,0)-IF(F$1&gt;0,'Underlying Mechanics'!$B$12*'Underlying Mechanics'!$B$18,0)</x:f>
        <x:v>-20580</x:v>
      </x:c>
      <x:c r="G60" t="n">
        <x:f>((IF(G$1-'Underlying Mechanics'!$B$8&lt;0,0,'Underlying Mechanics'!$B$22*'Underlying Mechanics'!$B$15*INDEX('Underlying Mechanics'!$B$31:$B$51,G$1-'Underlying Mechanics'!$B$8+1)*'Underlying Mechanics'!$B$5))*(1-$A60))-IF(G$1=0,'Underlying Mechanics'!$B$23*(1-$B60),0)-IF(G$1&gt;0,'Underlying Mechanics'!$B$22*'Underlying Mechanics'!$B$17,0)-IF(G$1&gt;0,'Underlying Mechanics'!$B$12*'Underlying Mechanics'!$B$18,0)</x:f>
        <x:v>-17700</x:v>
      </x:c>
      <x:c r="H60" t="n">
        <x:f>((IF(H$1-'Underlying Mechanics'!$B$8&lt;0,0,'Underlying Mechanics'!$B$22*'Underlying Mechanics'!$B$15*INDEX('Underlying Mechanics'!$B$31:$B$51,H$1-'Underlying Mechanics'!$B$8+1)*'Underlying Mechanics'!$B$5))*(1-$A60))-IF(H$1=0,'Underlying Mechanics'!$B$23*(1-$B60),0)-IF(H$1&gt;0,'Underlying Mechanics'!$B$22*'Underlying Mechanics'!$B$17,0)-IF(H$1&gt;0,'Underlying Mechanics'!$B$12*'Underlying Mechanics'!$B$18,0)</x:f>
        <x:v>-12900</x:v>
      </x:c>
      <x:c r="I60" t="n">
        <x:f>((IF(I$1-'Underlying Mechanics'!$B$8&lt;0,0,'Underlying Mechanics'!$B$22*'Underlying Mechanics'!$B$15*INDEX('Underlying Mechanics'!$B$31:$B$51,I$1-'Underlying Mechanics'!$B$8+1)*'Underlying Mechanics'!$B$5))*(1-$A60))-IF(I$1=0,'Underlying Mechanics'!$B$23*(1-$B60),0)-IF(I$1&gt;0,'Underlying Mechanics'!$B$22*'Underlying Mechanics'!$B$17,0)-IF(I$1&gt;0,'Underlying Mechanics'!$B$12*'Underlying Mechanics'!$B$18,0)</x:f>
        <x:v>-5220</x:v>
      </x:c>
      <x:c r="J60" t="n">
        <x:f>((IF(J$1-'Underlying Mechanics'!$B$8&lt;0,0,'Underlying Mechanics'!$B$22*'Underlying Mechanics'!$B$15*INDEX('Underlying Mechanics'!$B$31:$B$51,J$1-'Underlying Mechanics'!$B$8+1)*'Underlying Mechanics'!$B$5))*(1-$A60))-IF(J$1=0,'Underlying Mechanics'!$B$23*(1-$B60),0)-IF(J$1&gt;0,'Underlying Mechanics'!$B$22*'Underlying Mechanics'!$B$17,0)-IF(J$1&gt;0,'Underlying Mechanics'!$B$12*'Underlying Mechanics'!$B$18,0)</x:f>
        <x:v>4380.000000000007</x:v>
      </x:c>
      <x:c r="K60" t="n">
        <x:f>((IF(K$1-'Underlying Mechanics'!$B$8&lt;0,0,'Underlying Mechanics'!$B$22*'Underlying Mechanics'!$B$15*INDEX('Underlying Mechanics'!$B$31:$B$51,K$1-'Underlying Mechanics'!$B$8+1)*'Underlying Mechanics'!$B$5))*(1-$A60))-IF(K$1=0,'Underlying Mechanics'!$B$23*(1-$B60),0)-IF(K$1&gt;0,'Underlying Mechanics'!$B$22*'Underlying Mechanics'!$B$17,0)-IF(K$1&gt;0,'Underlying Mechanics'!$B$12*'Underlying Mechanics'!$B$18,0)</x:f>
        <x:v>15900</x:v>
      </x:c>
      <x:c r="L60" t="n">
        <x:f>((IF(L$1-'Underlying Mechanics'!$B$8&lt;0,0,'Underlying Mechanics'!$B$22*'Underlying Mechanics'!$B$15*INDEX('Underlying Mechanics'!$B$31:$B$51,L$1-'Underlying Mechanics'!$B$8+1)*'Underlying Mechanics'!$B$5))*(1-$A60))-IF(L$1=0,'Underlying Mechanics'!$B$23*(1-$B60),0)-IF(L$1&gt;0,'Underlying Mechanics'!$B$22*'Underlying Mechanics'!$B$17,0)-IF(L$1&gt;0,'Underlying Mechanics'!$B$12*'Underlying Mechanics'!$B$18,0)</x:f>
        <x:v>29340</x:v>
      </x:c>
      <x:c r="M60" t="n">
        <x:f>((IF(M$1-'Underlying Mechanics'!$B$8&lt;0,0,'Underlying Mechanics'!$B$22*'Underlying Mechanics'!$B$15*INDEX('Underlying Mechanics'!$B$31:$B$51,M$1-'Underlying Mechanics'!$B$8+1)*'Underlying Mechanics'!$B$5))*(1-$A60))-IF(M$1=0,'Underlying Mechanics'!$B$23*(1-$B60),0)-IF(M$1&gt;0,'Underlying Mechanics'!$B$22*'Underlying Mechanics'!$B$17,0)-IF(M$1&gt;0,'Underlying Mechanics'!$B$12*'Underlying Mechanics'!$B$18,0)</x:f>
        <x:v>42780.000000000015</x:v>
      </x:c>
      <x:c r="N60" t="n">
        <x:f>((IF(N$1-'Underlying Mechanics'!$B$8&lt;0,0,'Underlying Mechanics'!$B$22*'Underlying Mechanics'!$B$15*INDEX('Underlying Mechanics'!$B$31:$B$51,N$1-'Underlying Mechanics'!$B$8+1)*'Underlying Mechanics'!$B$5))*(1-$A60))-IF(N$1=0,'Underlying Mechanics'!$B$23*(1-$B60),0)-IF(N$1&gt;0,'Underlying Mechanics'!$B$22*'Underlying Mechanics'!$B$17,0)-IF(N$1&gt;0,'Underlying Mechanics'!$B$12*'Underlying Mechanics'!$B$18,0)</x:f>
        <x:v>54300</x:v>
      </x:c>
      <x:c r="O60" t="n">
        <x:f>((IF(O$1-'Underlying Mechanics'!$B$8&lt;0,0,'Underlying Mechanics'!$B$22*'Underlying Mechanics'!$B$15*INDEX('Underlying Mechanics'!$B$31:$B$51,O$1-'Underlying Mechanics'!$B$8+1)*'Underlying Mechanics'!$B$5))*(1-$A60))-IF(O$1=0,'Underlying Mechanics'!$B$23*(1-$B60),0)-IF(O$1&gt;0,'Underlying Mechanics'!$B$22*'Underlying Mechanics'!$B$17,0)-IF(O$1&gt;0,'Underlying Mechanics'!$B$12*'Underlying Mechanics'!$B$18,0)</x:f>
        <x:v>63900</x:v>
      </x:c>
      <x:c r="P60" t="n">
        <x:f>((IF(P$1-'Underlying Mechanics'!$B$8&lt;0,0,'Underlying Mechanics'!$B$22*'Underlying Mechanics'!$B$15*INDEX('Underlying Mechanics'!$B$31:$B$51,P$1-'Underlying Mechanics'!$B$8+1)*'Underlying Mechanics'!$B$5))*(1-$A60))-IF(P$1=0,'Underlying Mechanics'!$B$23*(1-$B60),0)-IF(P$1&gt;0,'Underlying Mechanics'!$B$22*'Underlying Mechanics'!$B$17,0)-IF(P$1&gt;0,'Underlying Mechanics'!$B$12*'Underlying Mechanics'!$B$18,0)</x:f>
        <x:v>73500</x:v>
      </x:c>
      <x:c r="Q60" t="n">
        <x:f>((IF(Q$1-'Underlying Mechanics'!$B$8&lt;0,0,'Underlying Mechanics'!$B$22*'Underlying Mechanics'!$B$15*INDEX('Underlying Mechanics'!$B$31:$B$51,Q$1-'Underlying Mechanics'!$B$8+1)*'Underlying Mechanics'!$B$5))*(1-$A60))-IF(Q$1=0,'Underlying Mechanics'!$B$23*(1-$B60),0)-IF(Q$1&gt;0,'Underlying Mechanics'!$B$22*'Underlying Mechanics'!$B$17,0)-IF(Q$1&gt;0,'Underlying Mechanics'!$B$12*'Underlying Mechanics'!$B$18,0)</x:f>
        <x:v>73500</x:v>
      </x:c>
      <x:c r="R60" t="n">
        <x:f>((IF(R$1-'Underlying Mechanics'!$B$8&lt;0,0,'Underlying Mechanics'!$B$22*'Underlying Mechanics'!$B$15*INDEX('Underlying Mechanics'!$B$31:$B$51,R$1-'Underlying Mechanics'!$B$8+1)*'Underlying Mechanics'!$B$5))*(1-$A60))-IF(R$1=0,'Underlying Mechanics'!$B$23*(1-$B60),0)-IF(R$1&gt;0,'Underlying Mechanics'!$B$22*'Underlying Mechanics'!$B$17,0)-IF(R$1&gt;0,'Underlying Mechanics'!$B$12*'Underlying Mechanics'!$B$18,0)</x:f>
        <x:v>73500</x:v>
      </x:c>
      <x:c r="S60" t="n">
        <x:f>((IF(S$1-'Underlying Mechanics'!$B$8&lt;0,0,'Underlying Mechanics'!$B$22*'Underlying Mechanics'!$B$15*INDEX('Underlying Mechanics'!$B$31:$B$51,S$1-'Underlying Mechanics'!$B$8+1)*'Underlying Mechanics'!$B$5))*(1-$A60))-IF(S$1=0,'Underlying Mechanics'!$B$23*(1-$B60),0)-IF(S$1&gt;0,'Underlying Mechanics'!$B$22*'Underlying Mechanics'!$B$17,0)-IF(S$1&gt;0,'Underlying Mechanics'!$B$12*'Underlying Mechanics'!$B$18,0)</x:f>
        <x:v>73500</x:v>
      </x:c>
      <x:c r="T60" t="n">
        <x:f>((IF(T$1-'Underlying Mechanics'!$B$8&lt;0,0,'Underlying Mechanics'!$B$22*'Underlying Mechanics'!$B$15*INDEX('Underlying Mechanics'!$B$31:$B$51,T$1-'Underlying Mechanics'!$B$8+1)*'Underlying Mechanics'!$B$5))*(1-$A60))-IF(T$1=0,'Underlying Mechanics'!$B$23*(1-$B60),0)-IF(T$1&gt;0,'Underlying Mechanics'!$B$22*'Underlying Mechanics'!$B$17,0)-IF(T$1&gt;0,'Underlying Mechanics'!$B$12*'Underlying Mechanics'!$B$18,0)</x:f>
        <x:v>73500</x:v>
      </x:c>
      <x:c r="U60" t="n">
        <x:f>((IF(U$1-'Underlying Mechanics'!$B$8&lt;0,0,'Underlying Mechanics'!$B$22*'Underlying Mechanics'!$B$15*INDEX('Underlying Mechanics'!$B$31:$B$51,U$1-'Underlying Mechanics'!$B$8+1)*'Underlying Mechanics'!$B$5))*(1-$A60))-IF(U$1=0,'Underlying Mechanics'!$B$23*(1-$B60),0)-IF(U$1&gt;0,'Underlying Mechanics'!$B$22*'Underlying Mechanics'!$B$17,0)-IF(U$1&gt;0,'Underlying Mechanics'!$B$12*'Underlying Mechanics'!$B$18,0)</x:f>
        <x:v>73500</x:v>
      </x:c>
      <x:c r="V60" t="n">
        <x:f>((IF(V$1-'Underlying Mechanics'!$B$8&lt;0,0,'Underlying Mechanics'!$B$22*'Underlying Mechanics'!$B$15*INDEX('Underlying Mechanics'!$B$31:$B$51,V$1-'Underlying Mechanics'!$B$8+1)*'Underlying Mechanics'!$B$5))*(1-$A60))-IF(V$1=0,'Underlying Mechanics'!$B$23*(1-$B60),0)-IF(V$1&gt;0,'Underlying Mechanics'!$B$22*'Underlying Mechanics'!$B$17,0)-IF(V$1&gt;0,'Underlying Mechanics'!$B$12*'Underlying Mechanics'!$B$18,0)</x:f>
        <x:v>73500</x:v>
      </x:c>
      <x:c r="W60" t="n">
        <x:f>((IF(W$1-'Underlying Mechanics'!$B$8&lt;0,0,'Underlying Mechanics'!$B$22*'Underlying Mechanics'!$B$15*INDEX('Underlying Mechanics'!$B$31:$B$51,W$1-'Underlying Mechanics'!$B$8+1)*'Underlying Mechanics'!$B$5))*(1-$A60))-IF(W$1=0,'Underlying Mechanics'!$B$23*(1-$B60),0)-IF(W$1&gt;0,'Underlying Mechanics'!$B$22*'Underlying Mechanics'!$B$17,0)-IF(W$1&gt;0,'Underlying Mechanics'!$B$12*'Underlying Mechanics'!$B$18,0)</x:f>
        <x:v>73500</x:v>
      </x:c>
      <x:c r="X60" t="n">
        <x:f>IFERROR(IRR(C60:W60),-1)</x:f>
        <x:v>0.1616658267069473</x:v>
      </x:c>
    </x:row>
    <x:row r="61">
      <x:c r="A61" t="n">
        <x:v>0.2</x:v>
      </x:c>
      <x:c r="B61" t="n">
        <x:v>0.85</x:v>
      </x:c>
      <x:c r="C61" t="n">
        <x:f>((IF(C$1-'Underlying Mechanics'!$B$8&lt;0,0,'Underlying Mechanics'!$B$22*'Underlying Mechanics'!$B$15*INDEX('Underlying Mechanics'!$B$31:$B$51,C$1-'Underlying Mechanics'!$B$8+1)*'Underlying Mechanics'!$B$5))*(1-$A61))-IF(C$1=0,'Underlying Mechanics'!$B$23*(1-$B61),0)-IF(C$1&gt;0,'Underlying Mechanics'!$B$22*'Underlying Mechanics'!$B$17,0)-IF(C$1&gt;0,'Underlying Mechanics'!$B$12*'Underlying Mechanics'!$B$18,0)</x:f>
        <x:v>-22500.000000000004</x:v>
      </x:c>
      <x:c r="D61" t="n">
        <x:f>((IF(D$1-'Underlying Mechanics'!$B$8&lt;0,0,'Underlying Mechanics'!$B$22*'Underlying Mechanics'!$B$15*INDEX('Underlying Mechanics'!$B$31:$B$51,D$1-'Underlying Mechanics'!$B$8+1)*'Underlying Mechanics'!$B$5))*(1-$A61))-IF(D$1=0,'Underlying Mechanics'!$B$23*(1-$B61),0)-IF(D$1&gt;0,'Underlying Mechanics'!$B$22*'Underlying Mechanics'!$B$17,0)-IF(D$1&gt;0,'Underlying Mechanics'!$B$12*'Underlying Mechanics'!$B$18,0)</x:f>
        <x:v>-22500</x:v>
      </x:c>
      <x:c r="E61" t="n">
        <x:f>((IF(E$1-'Underlying Mechanics'!$B$8&lt;0,0,'Underlying Mechanics'!$B$22*'Underlying Mechanics'!$B$15*INDEX('Underlying Mechanics'!$B$31:$B$51,E$1-'Underlying Mechanics'!$B$8+1)*'Underlying Mechanics'!$B$5))*(1-$A61))-IF(E$1=0,'Underlying Mechanics'!$B$23*(1-$B61),0)-IF(E$1&gt;0,'Underlying Mechanics'!$B$22*'Underlying Mechanics'!$B$17,0)-IF(E$1&gt;0,'Underlying Mechanics'!$B$12*'Underlying Mechanics'!$B$18,0)</x:f>
        <x:v>-22500</x:v>
      </x:c>
      <x:c r="F61" t="n">
        <x:f>((IF(F$1-'Underlying Mechanics'!$B$8&lt;0,0,'Underlying Mechanics'!$B$22*'Underlying Mechanics'!$B$15*INDEX('Underlying Mechanics'!$B$31:$B$51,F$1-'Underlying Mechanics'!$B$8+1)*'Underlying Mechanics'!$B$5))*(1-$A61))-IF(F$1=0,'Underlying Mechanics'!$B$23*(1-$B61),0)-IF(F$1&gt;0,'Underlying Mechanics'!$B$22*'Underlying Mechanics'!$B$17,0)-IF(F$1&gt;0,'Underlying Mechanics'!$B$12*'Underlying Mechanics'!$B$18,0)</x:f>
        <x:v>-20580</x:v>
      </x:c>
      <x:c r="G61" t="n">
        <x:f>((IF(G$1-'Underlying Mechanics'!$B$8&lt;0,0,'Underlying Mechanics'!$B$22*'Underlying Mechanics'!$B$15*INDEX('Underlying Mechanics'!$B$31:$B$51,G$1-'Underlying Mechanics'!$B$8+1)*'Underlying Mechanics'!$B$5))*(1-$A61))-IF(G$1=0,'Underlying Mechanics'!$B$23*(1-$B61),0)-IF(G$1&gt;0,'Underlying Mechanics'!$B$22*'Underlying Mechanics'!$B$17,0)-IF(G$1&gt;0,'Underlying Mechanics'!$B$12*'Underlying Mechanics'!$B$18,0)</x:f>
        <x:v>-17700</x:v>
      </x:c>
      <x:c r="H61" t="n">
        <x:f>((IF(H$1-'Underlying Mechanics'!$B$8&lt;0,0,'Underlying Mechanics'!$B$22*'Underlying Mechanics'!$B$15*INDEX('Underlying Mechanics'!$B$31:$B$51,H$1-'Underlying Mechanics'!$B$8+1)*'Underlying Mechanics'!$B$5))*(1-$A61))-IF(H$1=0,'Underlying Mechanics'!$B$23*(1-$B61),0)-IF(H$1&gt;0,'Underlying Mechanics'!$B$22*'Underlying Mechanics'!$B$17,0)-IF(H$1&gt;0,'Underlying Mechanics'!$B$12*'Underlying Mechanics'!$B$18,0)</x:f>
        <x:v>-12900</x:v>
      </x:c>
      <x:c r="I61" t="n">
        <x:f>((IF(I$1-'Underlying Mechanics'!$B$8&lt;0,0,'Underlying Mechanics'!$B$22*'Underlying Mechanics'!$B$15*INDEX('Underlying Mechanics'!$B$31:$B$51,I$1-'Underlying Mechanics'!$B$8+1)*'Underlying Mechanics'!$B$5))*(1-$A61))-IF(I$1=0,'Underlying Mechanics'!$B$23*(1-$B61),0)-IF(I$1&gt;0,'Underlying Mechanics'!$B$22*'Underlying Mechanics'!$B$17,0)-IF(I$1&gt;0,'Underlying Mechanics'!$B$12*'Underlying Mechanics'!$B$18,0)</x:f>
        <x:v>-5220</x:v>
      </x:c>
      <x:c r="J61" t="n">
        <x:f>((IF(J$1-'Underlying Mechanics'!$B$8&lt;0,0,'Underlying Mechanics'!$B$22*'Underlying Mechanics'!$B$15*INDEX('Underlying Mechanics'!$B$31:$B$51,J$1-'Underlying Mechanics'!$B$8+1)*'Underlying Mechanics'!$B$5))*(1-$A61))-IF(J$1=0,'Underlying Mechanics'!$B$23*(1-$B61),0)-IF(J$1&gt;0,'Underlying Mechanics'!$B$22*'Underlying Mechanics'!$B$17,0)-IF(J$1&gt;0,'Underlying Mechanics'!$B$12*'Underlying Mechanics'!$B$18,0)</x:f>
        <x:v>4380.000000000007</x:v>
      </x:c>
      <x:c r="K61" t="n">
        <x:f>((IF(K$1-'Underlying Mechanics'!$B$8&lt;0,0,'Underlying Mechanics'!$B$22*'Underlying Mechanics'!$B$15*INDEX('Underlying Mechanics'!$B$31:$B$51,K$1-'Underlying Mechanics'!$B$8+1)*'Underlying Mechanics'!$B$5))*(1-$A61))-IF(K$1=0,'Underlying Mechanics'!$B$23*(1-$B61),0)-IF(K$1&gt;0,'Underlying Mechanics'!$B$22*'Underlying Mechanics'!$B$17,0)-IF(K$1&gt;0,'Underlying Mechanics'!$B$12*'Underlying Mechanics'!$B$18,0)</x:f>
        <x:v>15900</x:v>
      </x:c>
      <x:c r="L61" t="n">
        <x:f>((IF(L$1-'Underlying Mechanics'!$B$8&lt;0,0,'Underlying Mechanics'!$B$22*'Underlying Mechanics'!$B$15*INDEX('Underlying Mechanics'!$B$31:$B$51,L$1-'Underlying Mechanics'!$B$8+1)*'Underlying Mechanics'!$B$5))*(1-$A61))-IF(L$1=0,'Underlying Mechanics'!$B$23*(1-$B61),0)-IF(L$1&gt;0,'Underlying Mechanics'!$B$22*'Underlying Mechanics'!$B$17,0)-IF(L$1&gt;0,'Underlying Mechanics'!$B$12*'Underlying Mechanics'!$B$18,0)</x:f>
        <x:v>29340</x:v>
      </x:c>
      <x:c r="M61" t="n">
        <x:f>((IF(M$1-'Underlying Mechanics'!$B$8&lt;0,0,'Underlying Mechanics'!$B$22*'Underlying Mechanics'!$B$15*INDEX('Underlying Mechanics'!$B$31:$B$51,M$1-'Underlying Mechanics'!$B$8+1)*'Underlying Mechanics'!$B$5))*(1-$A61))-IF(M$1=0,'Underlying Mechanics'!$B$23*(1-$B61),0)-IF(M$1&gt;0,'Underlying Mechanics'!$B$22*'Underlying Mechanics'!$B$17,0)-IF(M$1&gt;0,'Underlying Mechanics'!$B$12*'Underlying Mechanics'!$B$18,0)</x:f>
        <x:v>42780.000000000015</x:v>
      </x:c>
      <x:c r="N61" t="n">
        <x:f>((IF(N$1-'Underlying Mechanics'!$B$8&lt;0,0,'Underlying Mechanics'!$B$22*'Underlying Mechanics'!$B$15*INDEX('Underlying Mechanics'!$B$31:$B$51,N$1-'Underlying Mechanics'!$B$8+1)*'Underlying Mechanics'!$B$5))*(1-$A61))-IF(N$1=0,'Underlying Mechanics'!$B$23*(1-$B61),0)-IF(N$1&gt;0,'Underlying Mechanics'!$B$22*'Underlying Mechanics'!$B$17,0)-IF(N$1&gt;0,'Underlying Mechanics'!$B$12*'Underlying Mechanics'!$B$18,0)</x:f>
        <x:v>54300</x:v>
      </x:c>
      <x:c r="O61" t="n">
        <x:f>((IF(O$1-'Underlying Mechanics'!$B$8&lt;0,0,'Underlying Mechanics'!$B$22*'Underlying Mechanics'!$B$15*INDEX('Underlying Mechanics'!$B$31:$B$51,O$1-'Underlying Mechanics'!$B$8+1)*'Underlying Mechanics'!$B$5))*(1-$A61))-IF(O$1=0,'Underlying Mechanics'!$B$23*(1-$B61),0)-IF(O$1&gt;0,'Underlying Mechanics'!$B$22*'Underlying Mechanics'!$B$17,0)-IF(O$1&gt;0,'Underlying Mechanics'!$B$12*'Underlying Mechanics'!$B$18,0)</x:f>
        <x:v>63900</x:v>
      </x:c>
      <x:c r="P61" t="n">
        <x:f>((IF(P$1-'Underlying Mechanics'!$B$8&lt;0,0,'Underlying Mechanics'!$B$22*'Underlying Mechanics'!$B$15*INDEX('Underlying Mechanics'!$B$31:$B$51,P$1-'Underlying Mechanics'!$B$8+1)*'Underlying Mechanics'!$B$5))*(1-$A61))-IF(P$1=0,'Underlying Mechanics'!$B$23*(1-$B61),0)-IF(P$1&gt;0,'Underlying Mechanics'!$B$22*'Underlying Mechanics'!$B$17,0)-IF(P$1&gt;0,'Underlying Mechanics'!$B$12*'Underlying Mechanics'!$B$18,0)</x:f>
        <x:v>73500</x:v>
      </x:c>
      <x:c r="Q61" t="n">
        <x:f>((IF(Q$1-'Underlying Mechanics'!$B$8&lt;0,0,'Underlying Mechanics'!$B$22*'Underlying Mechanics'!$B$15*INDEX('Underlying Mechanics'!$B$31:$B$51,Q$1-'Underlying Mechanics'!$B$8+1)*'Underlying Mechanics'!$B$5))*(1-$A61))-IF(Q$1=0,'Underlying Mechanics'!$B$23*(1-$B61),0)-IF(Q$1&gt;0,'Underlying Mechanics'!$B$22*'Underlying Mechanics'!$B$17,0)-IF(Q$1&gt;0,'Underlying Mechanics'!$B$12*'Underlying Mechanics'!$B$18,0)</x:f>
        <x:v>73500</x:v>
      </x:c>
      <x:c r="R61" t="n">
        <x:f>((IF(R$1-'Underlying Mechanics'!$B$8&lt;0,0,'Underlying Mechanics'!$B$22*'Underlying Mechanics'!$B$15*INDEX('Underlying Mechanics'!$B$31:$B$51,R$1-'Underlying Mechanics'!$B$8+1)*'Underlying Mechanics'!$B$5))*(1-$A61))-IF(R$1=0,'Underlying Mechanics'!$B$23*(1-$B61),0)-IF(R$1&gt;0,'Underlying Mechanics'!$B$22*'Underlying Mechanics'!$B$17,0)-IF(R$1&gt;0,'Underlying Mechanics'!$B$12*'Underlying Mechanics'!$B$18,0)</x:f>
        <x:v>73500</x:v>
      </x:c>
      <x:c r="S61" t="n">
        <x:f>((IF(S$1-'Underlying Mechanics'!$B$8&lt;0,0,'Underlying Mechanics'!$B$22*'Underlying Mechanics'!$B$15*INDEX('Underlying Mechanics'!$B$31:$B$51,S$1-'Underlying Mechanics'!$B$8+1)*'Underlying Mechanics'!$B$5))*(1-$A61))-IF(S$1=0,'Underlying Mechanics'!$B$23*(1-$B61),0)-IF(S$1&gt;0,'Underlying Mechanics'!$B$22*'Underlying Mechanics'!$B$17,0)-IF(S$1&gt;0,'Underlying Mechanics'!$B$12*'Underlying Mechanics'!$B$18,0)</x:f>
        <x:v>73500</x:v>
      </x:c>
      <x:c r="T61" t="n">
        <x:f>((IF(T$1-'Underlying Mechanics'!$B$8&lt;0,0,'Underlying Mechanics'!$B$22*'Underlying Mechanics'!$B$15*INDEX('Underlying Mechanics'!$B$31:$B$51,T$1-'Underlying Mechanics'!$B$8+1)*'Underlying Mechanics'!$B$5))*(1-$A61))-IF(T$1=0,'Underlying Mechanics'!$B$23*(1-$B61),0)-IF(T$1&gt;0,'Underlying Mechanics'!$B$22*'Underlying Mechanics'!$B$17,0)-IF(T$1&gt;0,'Underlying Mechanics'!$B$12*'Underlying Mechanics'!$B$18,0)</x:f>
        <x:v>73500</x:v>
      </x:c>
      <x:c r="U61" t="n">
        <x:f>((IF(U$1-'Underlying Mechanics'!$B$8&lt;0,0,'Underlying Mechanics'!$B$22*'Underlying Mechanics'!$B$15*INDEX('Underlying Mechanics'!$B$31:$B$51,U$1-'Underlying Mechanics'!$B$8+1)*'Underlying Mechanics'!$B$5))*(1-$A61))-IF(U$1=0,'Underlying Mechanics'!$B$23*(1-$B61),0)-IF(U$1&gt;0,'Underlying Mechanics'!$B$22*'Underlying Mechanics'!$B$17,0)-IF(U$1&gt;0,'Underlying Mechanics'!$B$12*'Underlying Mechanics'!$B$18,0)</x:f>
        <x:v>73500</x:v>
      </x:c>
      <x:c r="V61" t="n">
        <x:f>((IF(V$1-'Underlying Mechanics'!$B$8&lt;0,0,'Underlying Mechanics'!$B$22*'Underlying Mechanics'!$B$15*INDEX('Underlying Mechanics'!$B$31:$B$51,V$1-'Underlying Mechanics'!$B$8+1)*'Underlying Mechanics'!$B$5))*(1-$A61))-IF(V$1=0,'Underlying Mechanics'!$B$23*(1-$B61),0)-IF(V$1&gt;0,'Underlying Mechanics'!$B$22*'Underlying Mechanics'!$B$17,0)-IF(V$1&gt;0,'Underlying Mechanics'!$B$12*'Underlying Mechanics'!$B$18,0)</x:f>
        <x:v>73500</x:v>
      </x:c>
      <x:c r="W61" t="n">
        <x:f>((IF(W$1-'Underlying Mechanics'!$B$8&lt;0,0,'Underlying Mechanics'!$B$22*'Underlying Mechanics'!$B$15*INDEX('Underlying Mechanics'!$B$31:$B$51,W$1-'Underlying Mechanics'!$B$8+1)*'Underlying Mechanics'!$B$5))*(1-$A61))-IF(W$1=0,'Underlying Mechanics'!$B$23*(1-$B61),0)-IF(W$1&gt;0,'Underlying Mechanics'!$B$22*'Underlying Mechanics'!$B$17,0)-IF(W$1&gt;0,'Underlying Mechanics'!$B$12*'Underlying Mechanics'!$B$18,0)</x:f>
        <x:v>73500</x:v>
      </x:c>
      <x:c r="X61" t="n">
        <x:f>IFERROR(IRR(C61:W61),-1)</x:f>
        <x:v>0.1700095813622109</x:v>
      </x:c>
    </x:row>
    <x:row r="62">
      <x:c r="A62" t="n">
        <x:v>0.2</x:v>
      </x:c>
      <x:c r="B62" t="n">
        <x:v>0.9</x:v>
      </x:c>
      <x:c r="C62" t="n">
        <x:f>((IF(C$1-'Underlying Mechanics'!$B$8&lt;0,0,'Underlying Mechanics'!$B$22*'Underlying Mechanics'!$B$15*INDEX('Underlying Mechanics'!$B$31:$B$51,C$1-'Underlying Mechanics'!$B$8+1)*'Underlying Mechanics'!$B$5))*(1-$A62))-IF(C$1=0,'Underlying Mechanics'!$B$23*(1-$B62),0)-IF(C$1&gt;0,'Underlying Mechanics'!$B$22*'Underlying Mechanics'!$B$17,0)-IF(C$1&gt;0,'Underlying Mechanics'!$B$12*'Underlying Mechanics'!$B$18,0)</x:f>
        <x:v>-14999.999999999996</x:v>
      </x:c>
      <x:c r="D62" t="n">
        <x:f>((IF(D$1-'Underlying Mechanics'!$B$8&lt;0,0,'Underlying Mechanics'!$B$22*'Underlying Mechanics'!$B$15*INDEX('Underlying Mechanics'!$B$31:$B$51,D$1-'Underlying Mechanics'!$B$8+1)*'Underlying Mechanics'!$B$5))*(1-$A62))-IF(D$1=0,'Underlying Mechanics'!$B$23*(1-$B62),0)-IF(D$1&gt;0,'Underlying Mechanics'!$B$22*'Underlying Mechanics'!$B$17,0)-IF(D$1&gt;0,'Underlying Mechanics'!$B$12*'Underlying Mechanics'!$B$18,0)</x:f>
        <x:v>-22500</x:v>
      </x:c>
      <x:c r="E62" t="n">
        <x:f>((IF(E$1-'Underlying Mechanics'!$B$8&lt;0,0,'Underlying Mechanics'!$B$22*'Underlying Mechanics'!$B$15*INDEX('Underlying Mechanics'!$B$31:$B$51,E$1-'Underlying Mechanics'!$B$8+1)*'Underlying Mechanics'!$B$5))*(1-$A62))-IF(E$1=0,'Underlying Mechanics'!$B$23*(1-$B62),0)-IF(E$1&gt;0,'Underlying Mechanics'!$B$22*'Underlying Mechanics'!$B$17,0)-IF(E$1&gt;0,'Underlying Mechanics'!$B$12*'Underlying Mechanics'!$B$18,0)</x:f>
        <x:v>-22500</x:v>
      </x:c>
      <x:c r="F62" t="n">
        <x:f>((IF(F$1-'Underlying Mechanics'!$B$8&lt;0,0,'Underlying Mechanics'!$B$22*'Underlying Mechanics'!$B$15*INDEX('Underlying Mechanics'!$B$31:$B$51,F$1-'Underlying Mechanics'!$B$8+1)*'Underlying Mechanics'!$B$5))*(1-$A62))-IF(F$1=0,'Underlying Mechanics'!$B$23*(1-$B62),0)-IF(F$1&gt;0,'Underlying Mechanics'!$B$22*'Underlying Mechanics'!$B$17,0)-IF(F$1&gt;0,'Underlying Mechanics'!$B$12*'Underlying Mechanics'!$B$18,0)</x:f>
        <x:v>-20580</x:v>
      </x:c>
      <x:c r="G62" t="n">
        <x:f>((IF(G$1-'Underlying Mechanics'!$B$8&lt;0,0,'Underlying Mechanics'!$B$22*'Underlying Mechanics'!$B$15*INDEX('Underlying Mechanics'!$B$31:$B$51,G$1-'Underlying Mechanics'!$B$8+1)*'Underlying Mechanics'!$B$5))*(1-$A62))-IF(G$1=0,'Underlying Mechanics'!$B$23*(1-$B62),0)-IF(G$1&gt;0,'Underlying Mechanics'!$B$22*'Underlying Mechanics'!$B$17,0)-IF(G$1&gt;0,'Underlying Mechanics'!$B$12*'Underlying Mechanics'!$B$18,0)</x:f>
        <x:v>-17700</x:v>
      </x:c>
      <x:c r="H62" t="n">
        <x:f>((IF(H$1-'Underlying Mechanics'!$B$8&lt;0,0,'Underlying Mechanics'!$B$22*'Underlying Mechanics'!$B$15*INDEX('Underlying Mechanics'!$B$31:$B$51,H$1-'Underlying Mechanics'!$B$8+1)*'Underlying Mechanics'!$B$5))*(1-$A62))-IF(H$1=0,'Underlying Mechanics'!$B$23*(1-$B62),0)-IF(H$1&gt;0,'Underlying Mechanics'!$B$22*'Underlying Mechanics'!$B$17,0)-IF(H$1&gt;0,'Underlying Mechanics'!$B$12*'Underlying Mechanics'!$B$18,0)</x:f>
        <x:v>-12900</x:v>
      </x:c>
      <x:c r="I62" t="n">
        <x:f>((IF(I$1-'Underlying Mechanics'!$B$8&lt;0,0,'Underlying Mechanics'!$B$22*'Underlying Mechanics'!$B$15*INDEX('Underlying Mechanics'!$B$31:$B$51,I$1-'Underlying Mechanics'!$B$8+1)*'Underlying Mechanics'!$B$5))*(1-$A62))-IF(I$1=0,'Underlying Mechanics'!$B$23*(1-$B62),0)-IF(I$1&gt;0,'Underlying Mechanics'!$B$22*'Underlying Mechanics'!$B$17,0)-IF(I$1&gt;0,'Underlying Mechanics'!$B$12*'Underlying Mechanics'!$B$18,0)</x:f>
        <x:v>-5220</x:v>
      </x:c>
      <x:c r="J62" t="n">
        <x:f>((IF(J$1-'Underlying Mechanics'!$B$8&lt;0,0,'Underlying Mechanics'!$B$22*'Underlying Mechanics'!$B$15*INDEX('Underlying Mechanics'!$B$31:$B$51,J$1-'Underlying Mechanics'!$B$8+1)*'Underlying Mechanics'!$B$5))*(1-$A62))-IF(J$1=0,'Underlying Mechanics'!$B$23*(1-$B62),0)-IF(J$1&gt;0,'Underlying Mechanics'!$B$22*'Underlying Mechanics'!$B$17,0)-IF(J$1&gt;0,'Underlying Mechanics'!$B$12*'Underlying Mechanics'!$B$18,0)</x:f>
        <x:v>4380.000000000007</x:v>
      </x:c>
      <x:c r="K62" t="n">
        <x:f>((IF(K$1-'Underlying Mechanics'!$B$8&lt;0,0,'Underlying Mechanics'!$B$22*'Underlying Mechanics'!$B$15*INDEX('Underlying Mechanics'!$B$31:$B$51,K$1-'Underlying Mechanics'!$B$8+1)*'Underlying Mechanics'!$B$5))*(1-$A62))-IF(K$1=0,'Underlying Mechanics'!$B$23*(1-$B62),0)-IF(K$1&gt;0,'Underlying Mechanics'!$B$22*'Underlying Mechanics'!$B$17,0)-IF(K$1&gt;0,'Underlying Mechanics'!$B$12*'Underlying Mechanics'!$B$18,0)</x:f>
        <x:v>15900</x:v>
      </x:c>
      <x:c r="L62" t="n">
        <x:f>((IF(L$1-'Underlying Mechanics'!$B$8&lt;0,0,'Underlying Mechanics'!$B$22*'Underlying Mechanics'!$B$15*INDEX('Underlying Mechanics'!$B$31:$B$51,L$1-'Underlying Mechanics'!$B$8+1)*'Underlying Mechanics'!$B$5))*(1-$A62))-IF(L$1=0,'Underlying Mechanics'!$B$23*(1-$B62),0)-IF(L$1&gt;0,'Underlying Mechanics'!$B$22*'Underlying Mechanics'!$B$17,0)-IF(L$1&gt;0,'Underlying Mechanics'!$B$12*'Underlying Mechanics'!$B$18,0)</x:f>
        <x:v>29340</x:v>
      </x:c>
      <x:c r="M62" t="n">
        <x:f>((IF(M$1-'Underlying Mechanics'!$B$8&lt;0,0,'Underlying Mechanics'!$B$22*'Underlying Mechanics'!$B$15*INDEX('Underlying Mechanics'!$B$31:$B$51,M$1-'Underlying Mechanics'!$B$8+1)*'Underlying Mechanics'!$B$5))*(1-$A62))-IF(M$1=0,'Underlying Mechanics'!$B$23*(1-$B62),0)-IF(M$1&gt;0,'Underlying Mechanics'!$B$22*'Underlying Mechanics'!$B$17,0)-IF(M$1&gt;0,'Underlying Mechanics'!$B$12*'Underlying Mechanics'!$B$18,0)</x:f>
        <x:v>42780.000000000015</x:v>
      </x:c>
      <x:c r="N62" t="n">
        <x:f>((IF(N$1-'Underlying Mechanics'!$B$8&lt;0,0,'Underlying Mechanics'!$B$22*'Underlying Mechanics'!$B$15*INDEX('Underlying Mechanics'!$B$31:$B$51,N$1-'Underlying Mechanics'!$B$8+1)*'Underlying Mechanics'!$B$5))*(1-$A62))-IF(N$1=0,'Underlying Mechanics'!$B$23*(1-$B62),0)-IF(N$1&gt;0,'Underlying Mechanics'!$B$22*'Underlying Mechanics'!$B$17,0)-IF(N$1&gt;0,'Underlying Mechanics'!$B$12*'Underlying Mechanics'!$B$18,0)</x:f>
        <x:v>54300</x:v>
      </x:c>
      <x:c r="O62" t="n">
        <x:f>((IF(O$1-'Underlying Mechanics'!$B$8&lt;0,0,'Underlying Mechanics'!$B$22*'Underlying Mechanics'!$B$15*INDEX('Underlying Mechanics'!$B$31:$B$51,O$1-'Underlying Mechanics'!$B$8+1)*'Underlying Mechanics'!$B$5))*(1-$A62))-IF(O$1=0,'Underlying Mechanics'!$B$23*(1-$B62),0)-IF(O$1&gt;0,'Underlying Mechanics'!$B$22*'Underlying Mechanics'!$B$17,0)-IF(O$1&gt;0,'Underlying Mechanics'!$B$12*'Underlying Mechanics'!$B$18,0)</x:f>
        <x:v>63900</x:v>
      </x:c>
      <x:c r="P62" t="n">
        <x:f>((IF(P$1-'Underlying Mechanics'!$B$8&lt;0,0,'Underlying Mechanics'!$B$22*'Underlying Mechanics'!$B$15*INDEX('Underlying Mechanics'!$B$31:$B$51,P$1-'Underlying Mechanics'!$B$8+1)*'Underlying Mechanics'!$B$5))*(1-$A62))-IF(P$1=0,'Underlying Mechanics'!$B$23*(1-$B62),0)-IF(P$1&gt;0,'Underlying Mechanics'!$B$22*'Underlying Mechanics'!$B$17,0)-IF(P$1&gt;0,'Underlying Mechanics'!$B$12*'Underlying Mechanics'!$B$18,0)</x:f>
        <x:v>73500</x:v>
      </x:c>
      <x:c r="Q62" t="n">
        <x:f>((IF(Q$1-'Underlying Mechanics'!$B$8&lt;0,0,'Underlying Mechanics'!$B$22*'Underlying Mechanics'!$B$15*INDEX('Underlying Mechanics'!$B$31:$B$51,Q$1-'Underlying Mechanics'!$B$8+1)*'Underlying Mechanics'!$B$5))*(1-$A62))-IF(Q$1=0,'Underlying Mechanics'!$B$23*(1-$B62),0)-IF(Q$1&gt;0,'Underlying Mechanics'!$B$22*'Underlying Mechanics'!$B$17,0)-IF(Q$1&gt;0,'Underlying Mechanics'!$B$12*'Underlying Mechanics'!$B$18,0)</x:f>
        <x:v>73500</x:v>
      </x:c>
      <x:c r="R62" t="n">
        <x:f>((IF(R$1-'Underlying Mechanics'!$B$8&lt;0,0,'Underlying Mechanics'!$B$22*'Underlying Mechanics'!$B$15*INDEX('Underlying Mechanics'!$B$31:$B$51,R$1-'Underlying Mechanics'!$B$8+1)*'Underlying Mechanics'!$B$5))*(1-$A62))-IF(R$1=0,'Underlying Mechanics'!$B$23*(1-$B62),0)-IF(R$1&gt;0,'Underlying Mechanics'!$B$22*'Underlying Mechanics'!$B$17,0)-IF(R$1&gt;0,'Underlying Mechanics'!$B$12*'Underlying Mechanics'!$B$18,0)</x:f>
        <x:v>73500</x:v>
      </x:c>
      <x:c r="S62" t="n">
        <x:f>((IF(S$1-'Underlying Mechanics'!$B$8&lt;0,0,'Underlying Mechanics'!$B$22*'Underlying Mechanics'!$B$15*INDEX('Underlying Mechanics'!$B$31:$B$51,S$1-'Underlying Mechanics'!$B$8+1)*'Underlying Mechanics'!$B$5))*(1-$A62))-IF(S$1=0,'Underlying Mechanics'!$B$23*(1-$B62),0)-IF(S$1&gt;0,'Underlying Mechanics'!$B$22*'Underlying Mechanics'!$B$17,0)-IF(S$1&gt;0,'Underlying Mechanics'!$B$12*'Underlying Mechanics'!$B$18,0)</x:f>
        <x:v>73500</x:v>
      </x:c>
      <x:c r="T62" t="n">
        <x:f>((IF(T$1-'Underlying Mechanics'!$B$8&lt;0,0,'Underlying Mechanics'!$B$22*'Underlying Mechanics'!$B$15*INDEX('Underlying Mechanics'!$B$31:$B$51,T$1-'Underlying Mechanics'!$B$8+1)*'Underlying Mechanics'!$B$5))*(1-$A62))-IF(T$1=0,'Underlying Mechanics'!$B$23*(1-$B62),0)-IF(T$1&gt;0,'Underlying Mechanics'!$B$22*'Underlying Mechanics'!$B$17,0)-IF(T$1&gt;0,'Underlying Mechanics'!$B$12*'Underlying Mechanics'!$B$18,0)</x:f>
        <x:v>73500</x:v>
      </x:c>
      <x:c r="U62" t="n">
        <x:f>((IF(U$1-'Underlying Mechanics'!$B$8&lt;0,0,'Underlying Mechanics'!$B$22*'Underlying Mechanics'!$B$15*INDEX('Underlying Mechanics'!$B$31:$B$51,U$1-'Underlying Mechanics'!$B$8+1)*'Underlying Mechanics'!$B$5))*(1-$A62))-IF(U$1=0,'Underlying Mechanics'!$B$23*(1-$B62),0)-IF(U$1&gt;0,'Underlying Mechanics'!$B$22*'Underlying Mechanics'!$B$17,0)-IF(U$1&gt;0,'Underlying Mechanics'!$B$12*'Underlying Mechanics'!$B$18,0)</x:f>
        <x:v>73500</x:v>
      </x:c>
      <x:c r="V62" t="n">
        <x:f>((IF(V$1-'Underlying Mechanics'!$B$8&lt;0,0,'Underlying Mechanics'!$B$22*'Underlying Mechanics'!$B$15*INDEX('Underlying Mechanics'!$B$31:$B$51,V$1-'Underlying Mechanics'!$B$8+1)*'Underlying Mechanics'!$B$5))*(1-$A62))-IF(V$1=0,'Underlying Mechanics'!$B$23*(1-$B62),0)-IF(V$1&gt;0,'Underlying Mechanics'!$B$22*'Underlying Mechanics'!$B$17,0)-IF(V$1&gt;0,'Underlying Mechanics'!$B$12*'Underlying Mechanics'!$B$18,0)</x:f>
        <x:v>73500</x:v>
      </x:c>
      <x:c r="W62" t="n">
        <x:f>((IF(W$1-'Underlying Mechanics'!$B$8&lt;0,0,'Underlying Mechanics'!$B$22*'Underlying Mechanics'!$B$15*INDEX('Underlying Mechanics'!$B$31:$B$51,W$1-'Underlying Mechanics'!$B$8+1)*'Underlying Mechanics'!$B$5))*(1-$A62))-IF(W$1=0,'Underlying Mechanics'!$B$23*(1-$B62),0)-IF(W$1&gt;0,'Underlying Mechanics'!$B$22*'Underlying Mechanics'!$B$17,0)-IF(W$1&gt;0,'Underlying Mechanics'!$B$12*'Underlying Mechanics'!$B$18,0)</x:f>
        <x:v>73500</x:v>
      </x:c>
      <x:c r="X62" t="n">
        <x:f>IFERROR(IRR(C62:W62),-1)</x:f>
        <x:v>0.17948989315544006</x:v>
      </x:c>
    </x:row>
    <x:row r="63">
      <x:c r="A63" t="n">
        <x:v>0.2</x:v>
      </x:c>
      <x:c r="B63" t="n">
        <x:v>0.95</x:v>
      </x:c>
      <x:c r="C63" t="n">
        <x:f>((IF(C$1-'Underlying Mechanics'!$B$8&lt;0,0,'Underlying Mechanics'!$B$22*'Underlying Mechanics'!$B$15*INDEX('Underlying Mechanics'!$B$31:$B$51,C$1-'Underlying Mechanics'!$B$8+1)*'Underlying Mechanics'!$B$5))*(1-$A63))-IF(C$1=0,'Underlying Mechanics'!$B$23*(1-$B63),0)-IF(C$1&gt;0,'Underlying Mechanics'!$B$22*'Underlying Mechanics'!$B$17,0)-IF(C$1&gt;0,'Underlying Mechanics'!$B$12*'Underlying Mechanics'!$B$18,0)</x:f>
        <x:v>-7500.000000000006</x:v>
      </x:c>
      <x:c r="D63" t="n">
        <x:f>((IF(D$1-'Underlying Mechanics'!$B$8&lt;0,0,'Underlying Mechanics'!$B$22*'Underlying Mechanics'!$B$15*INDEX('Underlying Mechanics'!$B$31:$B$51,D$1-'Underlying Mechanics'!$B$8+1)*'Underlying Mechanics'!$B$5))*(1-$A63))-IF(D$1=0,'Underlying Mechanics'!$B$23*(1-$B63),0)-IF(D$1&gt;0,'Underlying Mechanics'!$B$22*'Underlying Mechanics'!$B$17,0)-IF(D$1&gt;0,'Underlying Mechanics'!$B$12*'Underlying Mechanics'!$B$18,0)</x:f>
        <x:v>-22500</x:v>
      </x:c>
      <x:c r="E63" t="n">
        <x:f>((IF(E$1-'Underlying Mechanics'!$B$8&lt;0,0,'Underlying Mechanics'!$B$22*'Underlying Mechanics'!$B$15*INDEX('Underlying Mechanics'!$B$31:$B$51,E$1-'Underlying Mechanics'!$B$8+1)*'Underlying Mechanics'!$B$5))*(1-$A63))-IF(E$1=0,'Underlying Mechanics'!$B$23*(1-$B63),0)-IF(E$1&gt;0,'Underlying Mechanics'!$B$22*'Underlying Mechanics'!$B$17,0)-IF(E$1&gt;0,'Underlying Mechanics'!$B$12*'Underlying Mechanics'!$B$18,0)</x:f>
        <x:v>-22500</x:v>
      </x:c>
      <x:c r="F63" t="n">
        <x:f>((IF(F$1-'Underlying Mechanics'!$B$8&lt;0,0,'Underlying Mechanics'!$B$22*'Underlying Mechanics'!$B$15*INDEX('Underlying Mechanics'!$B$31:$B$51,F$1-'Underlying Mechanics'!$B$8+1)*'Underlying Mechanics'!$B$5))*(1-$A63))-IF(F$1=0,'Underlying Mechanics'!$B$23*(1-$B63),0)-IF(F$1&gt;0,'Underlying Mechanics'!$B$22*'Underlying Mechanics'!$B$17,0)-IF(F$1&gt;0,'Underlying Mechanics'!$B$12*'Underlying Mechanics'!$B$18,0)</x:f>
        <x:v>-20580</x:v>
      </x:c>
      <x:c r="G63" t="n">
        <x:f>((IF(G$1-'Underlying Mechanics'!$B$8&lt;0,0,'Underlying Mechanics'!$B$22*'Underlying Mechanics'!$B$15*INDEX('Underlying Mechanics'!$B$31:$B$51,G$1-'Underlying Mechanics'!$B$8+1)*'Underlying Mechanics'!$B$5))*(1-$A63))-IF(G$1=0,'Underlying Mechanics'!$B$23*(1-$B63),0)-IF(G$1&gt;0,'Underlying Mechanics'!$B$22*'Underlying Mechanics'!$B$17,0)-IF(G$1&gt;0,'Underlying Mechanics'!$B$12*'Underlying Mechanics'!$B$18,0)</x:f>
        <x:v>-17700</x:v>
      </x:c>
      <x:c r="H63" t="n">
        <x:f>((IF(H$1-'Underlying Mechanics'!$B$8&lt;0,0,'Underlying Mechanics'!$B$22*'Underlying Mechanics'!$B$15*INDEX('Underlying Mechanics'!$B$31:$B$51,H$1-'Underlying Mechanics'!$B$8+1)*'Underlying Mechanics'!$B$5))*(1-$A63))-IF(H$1=0,'Underlying Mechanics'!$B$23*(1-$B63),0)-IF(H$1&gt;0,'Underlying Mechanics'!$B$22*'Underlying Mechanics'!$B$17,0)-IF(H$1&gt;0,'Underlying Mechanics'!$B$12*'Underlying Mechanics'!$B$18,0)</x:f>
        <x:v>-12900</x:v>
      </x:c>
      <x:c r="I63" t="n">
        <x:f>((IF(I$1-'Underlying Mechanics'!$B$8&lt;0,0,'Underlying Mechanics'!$B$22*'Underlying Mechanics'!$B$15*INDEX('Underlying Mechanics'!$B$31:$B$51,I$1-'Underlying Mechanics'!$B$8+1)*'Underlying Mechanics'!$B$5))*(1-$A63))-IF(I$1=0,'Underlying Mechanics'!$B$23*(1-$B63),0)-IF(I$1&gt;0,'Underlying Mechanics'!$B$22*'Underlying Mechanics'!$B$17,0)-IF(I$1&gt;0,'Underlying Mechanics'!$B$12*'Underlying Mechanics'!$B$18,0)</x:f>
        <x:v>-5220</x:v>
      </x:c>
      <x:c r="J63" t="n">
        <x:f>((IF(J$1-'Underlying Mechanics'!$B$8&lt;0,0,'Underlying Mechanics'!$B$22*'Underlying Mechanics'!$B$15*INDEX('Underlying Mechanics'!$B$31:$B$51,J$1-'Underlying Mechanics'!$B$8+1)*'Underlying Mechanics'!$B$5))*(1-$A63))-IF(J$1=0,'Underlying Mechanics'!$B$23*(1-$B63),0)-IF(J$1&gt;0,'Underlying Mechanics'!$B$22*'Underlying Mechanics'!$B$17,0)-IF(J$1&gt;0,'Underlying Mechanics'!$B$12*'Underlying Mechanics'!$B$18,0)</x:f>
        <x:v>4380.000000000007</x:v>
      </x:c>
      <x:c r="K63" t="n">
        <x:f>((IF(K$1-'Underlying Mechanics'!$B$8&lt;0,0,'Underlying Mechanics'!$B$22*'Underlying Mechanics'!$B$15*INDEX('Underlying Mechanics'!$B$31:$B$51,K$1-'Underlying Mechanics'!$B$8+1)*'Underlying Mechanics'!$B$5))*(1-$A63))-IF(K$1=0,'Underlying Mechanics'!$B$23*(1-$B63),0)-IF(K$1&gt;0,'Underlying Mechanics'!$B$22*'Underlying Mechanics'!$B$17,0)-IF(K$1&gt;0,'Underlying Mechanics'!$B$12*'Underlying Mechanics'!$B$18,0)</x:f>
        <x:v>15900</x:v>
      </x:c>
      <x:c r="L63" t="n">
        <x:f>((IF(L$1-'Underlying Mechanics'!$B$8&lt;0,0,'Underlying Mechanics'!$B$22*'Underlying Mechanics'!$B$15*INDEX('Underlying Mechanics'!$B$31:$B$51,L$1-'Underlying Mechanics'!$B$8+1)*'Underlying Mechanics'!$B$5))*(1-$A63))-IF(L$1=0,'Underlying Mechanics'!$B$23*(1-$B63),0)-IF(L$1&gt;0,'Underlying Mechanics'!$B$22*'Underlying Mechanics'!$B$17,0)-IF(L$1&gt;0,'Underlying Mechanics'!$B$12*'Underlying Mechanics'!$B$18,0)</x:f>
        <x:v>29340</x:v>
      </x:c>
      <x:c r="M63" t="n">
        <x:f>((IF(M$1-'Underlying Mechanics'!$B$8&lt;0,0,'Underlying Mechanics'!$B$22*'Underlying Mechanics'!$B$15*INDEX('Underlying Mechanics'!$B$31:$B$51,M$1-'Underlying Mechanics'!$B$8+1)*'Underlying Mechanics'!$B$5))*(1-$A63))-IF(M$1=0,'Underlying Mechanics'!$B$23*(1-$B63),0)-IF(M$1&gt;0,'Underlying Mechanics'!$B$22*'Underlying Mechanics'!$B$17,0)-IF(M$1&gt;0,'Underlying Mechanics'!$B$12*'Underlying Mechanics'!$B$18,0)</x:f>
        <x:v>42780.000000000015</x:v>
      </x:c>
      <x:c r="N63" t="n">
        <x:f>((IF(N$1-'Underlying Mechanics'!$B$8&lt;0,0,'Underlying Mechanics'!$B$22*'Underlying Mechanics'!$B$15*INDEX('Underlying Mechanics'!$B$31:$B$51,N$1-'Underlying Mechanics'!$B$8+1)*'Underlying Mechanics'!$B$5))*(1-$A63))-IF(N$1=0,'Underlying Mechanics'!$B$23*(1-$B63),0)-IF(N$1&gt;0,'Underlying Mechanics'!$B$22*'Underlying Mechanics'!$B$17,0)-IF(N$1&gt;0,'Underlying Mechanics'!$B$12*'Underlying Mechanics'!$B$18,0)</x:f>
        <x:v>54300</x:v>
      </x:c>
      <x:c r="O63" t="n">
        <x:f>((IF(O$1-'Underlying Mechanics'!$B$8&lt;0,0,'Underlying Mechanics'!$B$22*'Underlying Mechanics'!$B$15*INDEX('Underlying Mechanics'!$B$31:$B$51,O$1-'Underlying Mechanics'!$B$8+1)*'Underlying Mechanics'!$B$5))*(1-$A63))-IF(O$1=0,'Underlying Mechanics'!$B$23*(1-$B63),0)-IF(O$1&gt;0,'Underlying Mechanics'!$B$22*'Underlying Mechanics'!$B$17,0)-IF(O$1&gt;0,'Underlying Mechanics'!$B$12*'Underlying Mechanics'!$B$18,0)</x:f>
        <x:v>63900</x:v>
      </x:c>
      <x:c r="P63" t="n">
        <x:f>((IF(P$1-'Underlying Mechanics'!$B$8&lt;0,0,'Underlying Mechanics'!$B$22*'Underlying Mechanics'!$B$15*INDEX('Underlying Mechanics'!$B$31:$B$51,P$1-'Underlying Mechanics'!$B$8+1)*'Underlying Mechanics'!$B$5))*(1-$A63))-IF(P$1=0,'Underlying Mechanics'!$B$23*(1-$B63),0)-IF(P$1&gt;0,'Underlying Mechanics'!$B$22*'Underlying Mechanics'!$B$17,0)-IF(P$1&gt;0,'Underlying Mechanics'!$B$12*'Underlying Mechanics'!$B$18,0)</x:f>
        <x:v>73500</x:v>
      </x:c>
      <x:c r="Q63" t="n">
        <x:f>((IF(Q$1-'Underlying Mechanics'!$B$8&lt;0,0,'Underlying Mechanics'!$B$22*'Underlying Mechanics'!$B$15*INDEX('Underlying Mechanics'!$B$31:$B$51,Q$1-'Underlying Mechanics'!$B$8+1)*'Underlying Mechanics'!$B$5))*(1-$A63))-IF(Q$1=0,'Underlying Mechanics'!$B$23*(1-$B63),0)-IF(Q$1&gt;0,'Underlying Mechanics'!$B$22*'Underlying Mechanics'!$B$17,0)-IF(Q$1&gt;0,'Underlying Mechanics'!$B$12*'Underlying Mechanics'!$B$18,0)</x:f>
        <x:v>73500</x:v>
      </x:c>
      <x:c r="R63" t="n">
        <x:f>((IF(R$1-'Underlying Mechanics'!$B$8&lt;0,0,'Underlying Mechanics'!$B$22*'Underlying Mechanics'!$B$15*INDEX('Underlying Mechanics'!$B$31:$B$51,R$1-'Underlying Mechanics'!$B$8+1)*'Underlying Mechanics'!$B$5))*(1-$A63))-IF(R$1=0,'Underlying Mechanics'!$B$23*(1-$B63),0)-IF(R$1&gt;0,'Underlying Mechanics'!$B$22*'Underlying Mechanics'!$B$17,0)-IF(R$1&gt;0,'Underlying Mechanics'!$B$12*'Underlying Mechanics'!$B$18,0)</x:f>
        <x:v>73500</x:v>
      </x:c>
      <x:c r="S63" t="n">
        <x:f>((IF(S$1-'Underlying Mechanics'!$B$8&lt;0,0,'Underlying Mechanics'!$B$22*'Underlying Mechanics'!$B$15*INDEX('Underlying Mechanics'!$B$31:$B$51,S$1-'Underlying Mechanics'!$B$8+1)*'Underlying Mechanics'!$B$5))*(1-$A63))-IF(S$1=0,'Underlying Mechanics'!$B$23*(1-$B63),0)-IF(S$1&gt;0,'Underlying Mechanics'!$B$22*'Underlying Mechanics'!$B$17,0)-IF(S$1&gt;0,'Underlying Mechanics'!$B$12*'Underlying Mechanics'!$B$18,0)</x:f>
        <x:v>73500</x:v>
      </x:c>
      <x:c r="T63" t="n">
        <x:f>((IF(T$1-'Underlying Mechanics'!$B$8&lt;0,0,'Underlying Mechanics'!$B$22*'Underlying Mechanics'!$B$15*INDEX('Underlying Mechanics'!$B$31:$B$51,T$1-'Underlying Mechanics'!$B$8+1)*'Underlying Mechanics'!$B$5))*(1-$A63))-IF(T$1=0,'Underlying Mechanics'!$B$23*(1-$B63),0)-IF(T$1&gt;0,'Underlying Mechanics'!$B$22*'Underlying Mechanics'!$B$17,0)-IF(T$1&gt;0,'Underlying Mechanics'!$B$12*'Underlying Mechanics'!$B$18,0)</x:f>
        <x:v>73500</x:v>
      </x:c>
      <x:c r="U63" t="n">
        <x:f>((IF(U$1-'Underlying Mechanics'!$B$8&lt;0,0,'Underlying Mechanics'!$B$22*'Underlying Mechanics'!$B$15*INDEX('Underlying Mechanics'!$B$31:$B$51,U$1-'Underlying Mechanics'!$B$8+1)*'Underlying Mechanics'!$B$5))*(1-$A63))-IF(U$1=0,'Underlying Mechanics'!$B$23*(1-$B63),0)-IF(U$1&gt;0,'Underlying Mechanics'!$B$22*'Underlying Mechanics'!$B$17,0)-IF(U$1&gt;0,'Underlying Mechanics'!$B$12*'Underlying Mechanics'!$B$18,0)</x:f>
        <x:v>73500</x:v>
      </x:c>
      <x:c r="V63" t="n">
        <x:f>((IF(V$1-'Underlying Mechanics'!$B$8&lt;0,0,'Underlying Mechanics'!$B$22*'Underlying Mechanics'!$B$15*INDEX('Underlying Mechanics'!$B$31:$B$51,V$1-'Underlying Mechanics'!$B$8+1)*'Underlying Mechanics'!$B$5))*(1-$A63))-IF(V$1=0,'Underlying Mechanics'!$B$23*(1-$B63),0)-IF(V$1&gt;0,'Underlying Mechanics'!$B$22*'Underlying Mechanics'!$B$17,0)-IF(V$1&gt;0,'Underlying Mechanics'!$B$12*'Underlying Mechanics'!$B$18,0)</x:f>
        <x:v>73500</x:v>
      </x:c>
      <x:c r="W63" t="n">
        <x:f>((IF(W$1-'Underlying Mechanics'!$B$8&lt;0,0,'Underlying Mechanics'!$B$22*'Underlying Mechanics'!$B$15*INDEX('Underlying Mechanics'!$B$31:$B$51,W$1-'Underlying Mechanics'!$B$8+1)*'Underlying Mechanics'!$B$5))*(1-$A63))-IF(W$1=0,'Underlying Mechanics'!$B$23*(1-$B63),0)-IF(W$1&gt;0,'Underlying Mechanics'!$B$22*'Underlying Mechanics'!$B$17,0)-IF(W$1&gt;0,'Underlying Mechanics'!$B$12*'Underlying Mechanics'!$B$18,0)</x:f>
        <x:v>73500</x:v>
      </x:c>
      <x:c r="X63" t="n">
        <x:f>IFERROR(IRR(C63:W63),-1)</x:f>
        <x:v>0.1904612153629145</x:v>
      </x:c>
    </x:row>
    <x:row r="64">
      <x:c r="A64" t="n">
        <x:v>0.2</x:v>
      </x:c>
      <x:c r="B64" t="n">
        <x:v>1</x:v>
      </x:c>
      <x:c r="C64" t="n">
        <x:f>((IF(C$1-'Underlying Mechanics'!$B$8&lt;0,0,'Underlying Mechanics'!$B$22*'Underlying Mechanics'!$B$15*INDEX('Underlying Mechanics'!$B$31:$B$51,C$1-'Underlying Mechanics'!$B$8+1)*'Underlying Mechanics'!$B$5))*(1-$A64))-IF(C$1=0,'Underlying Mechanics'!$B$23*(1-$B64),0)-IF(C$1&gt;0,'Underlying Mechanics'!$B$22*'Underlying Mechanics'!$B$17,0)-IF(C$1&gt;0,'Underlying Mechanics'!$B$12*'Underlying Mechanics'!$B$18,0)</x:f>
        <x:v>0</x:v>
      </x:c>
      <x:c r="D64" t="n">
        <x:f>((IF(D$1-'Underlying Mechanics'!$B$8&lt;0,0,'Underlying Mechanics'!$B$22*'Underlying Mechanics'!$B$15*INDEX('Underlying Mechanics'!$B$31:$B$51,D$1-'Underlying Mechanics'!$B$8+1)*'Underlying Mechanics'!$B$5))*(1-$A64))-IF(D$1=0,'Underlying Mechanics'!$B$23*(1-$B64),0)-IF(D$1&gt;0,'Underlying Mechanics'!$B$22*'Underlying Mechanics'!$B$17,0)-IF(D$1&gt;0,'Underlying Mechanics'!$B$12*'Underlying Mechanics'!$B$18,0)</x:f>
        <x:v>-22500</x:v>
      </x:c>
      <x:c r="E64" t="n">
        <x:f>((IF(E$1-'Underlying Mechanics'!$B$8&lt;0,0,'Underlying Mechanics'!$B$22*'Underlying Mechanics'!$B$15*INDEX('Underlying Mechanics'!$B$31:$B$51,E$1-'Underlying Mechanics'!$B$8+1)*'Underlying Mechanics'!$B$5))*(1-$A64))-IF(E$1=0,'Underlying Mechanics'!$B$23*(1-$B64),0)-IF(E$1&gt;0,'Underlying Mechanics'!$B$22*'Underlying Mechanics'!$B$17,0)-IF(E$1&gt;0,'Underlying Mechanics'!$B$12*'Underlying Mechanics'!$B$18,0)</x:f>
        <x:v>-22500</x:v>
      </x:c>
      <x:c r="F64" t="n">
        <x:f>((IF(F$1-'Underlying Mechanics'!$B$8&lt;0,0,'Underlying Mechanics'!$B$22*'Underlying Mechanics'!$B$15*INDEX('Underlying Mechanics'!$B$31:$B$51,F$1-'Underlying Mechanics'!$B$8+1)*'Underlying Mechanics'!$B$5))*(1-$A64))-IF(F$1=0,'Underlying Mechanics'!$B$23*(1-$B64),0)-IF(F$1&gt;0,'Underlying Mechanics'!$B$22*'Underlying Mechanics'!$B$17,0)-IF(F$1&gt;0,'Underlying Mechanics'!$B$12*'Underlying Mechanics'!$B$18,0)</x:f>
        <x:v>-20580</x:v>
      </x:c>
      <x:c r="G64" t="n">
        <x:f>((IF(G$1-'Underlying Mechanics'!$B$8&lt;0,0,'Underlying Mechanics'!$B$22*'Underlying Mechanics'!$B$15*INDEX('Underlying Mechanics'!$B$31:$B$51,G$1-'Underlying Mechanics'!$B$8+1)*'Underlying Mechanics'!$B$5))*(1-$A64))-IF(G$1=0,'Underlying Mechanics'!$B$23*(1-$B64),0)-IF(G$1&gt;0,'Underlying Mechanics'!$B$22*'Underlying Mechanics'!$B$17,0)-IF(G$1&gt;0,'Underlying Mechanics'!$B$12*'Underlying Mechanics'!$B$18,0)</x:f>
        <x:v>-17700</x:v>
      </x:c>
      <x:c r="H64" t="n">
        <x:f>((IF(H$1-'Underlying Mechanics'!$B$8&lt;0,0,'Underlying Mechanics'!$B$22*'Underlying Mechanics'!$B$15*INDEX('Underlying Mechanics'!$B$31:$B$51,H$1-'Underlying Mechanics'!$B$8+1)*'Underlying Mechanics'!$B$5))*(1-$A64))-IF(H$1=0,'Underlying Mechanics'!$B$23*(1-$B64),0)-IF(H$1&gt;0,'Underlying Mechanics'!$B$22*'Underlying Mechanics'!$B$17,0)-IF(H$1&gt;0,'Underlying Mechanics'!$B$12*'Underlying Mechanics'!$B$18,0)</x:f>
        <x:v>-12900</x:v>
      </x:c>
      <x:c r="I64" t="n">
        <x:f>((IF(I$1-'Underlying Mechanics'!$B$8&lt;0,0,'Underlying Mechanics'!$B$22*'Underlying Mechanics'!$B$15*INDEX('Underlying Mechanics'!$B$31:$B$51,I$1-'Underlying Mechanics'!$B$8+1)*'Underlying Mechanics'!$B$5))*(1-$A64))-IF(I$1=0,'Underlying Mechanics'!$B$23*(1-$B64),0)-IF(I$1&gt;0,'Underlying Mechanics'!$B$22*'Underlying Mechanics'!$B$17,0)-IF(I$1&gt;0,'Underlying Mechanics'!$B$12*'Underlying Mechanics'!$B$18,0)</x:f>
        <x:v>-5220</x:v>
      </x:c>
      <x:c r="J64" t="n">
        <x:f>((IF(J$1-'Underlying Mechanics'!$B$8&lt;0,0,'Underlying Mechanics'!$B$22*'Underlying Mechanics'!$B$15*INDEX('Underlying Mechanics'!$B$31:$B$51,J$1-'Underlying Mechanics'!$B$8+1)*'Underlying Mechanics'!$B$5))*(1-$A64))-IF(J$1=0,'Underlying Mechanics'!$B$23*(1-$B64),0)-IF(J$1&gt;0,'Underlying Mechanics'!$B$22*'Underlying Mechanics'!$B$17,0)-IF(J$1&gt;0,'Underlying Mechanics'!$B$12*'Underlying Mechanics'!$B$18,0)</x:f>
        <x:v>4380.000000000007</x:v>
      </x:c>
      <x:c r="K64" t="n">
        <x:f>((IF(K$1-'Underlying Mechanics'!$B$8&lt;0,0,'Underlying Mechanics'!$B$22*'Underlying Mechanics'!$B$15*INDEX('Underlying Mechanics'!$B$31:$B$51,K$1-'Underlying Mechanics'!$B$8+1)*'Underlying Mechanics'!$B$5))*(1-$A64))-IF(K$1=0,'Underlying Mechanics'!$B$23*(1-$B64),0)-IF(K$1&gt;0,'Underlying Mechanics'!$B$22*'Underlying Mechanics'!$B$17,0)-IF(K$1&gt;0,'Underlying Mechanics'!$B$12*'Underlying Mechanics'!$B$18,0)</x:f>
        <x:v>15900</x:v>
      </x:c>
      <x:c r="L64" t="n">
        <x:f>((IF(L$1-'Underlying Mechanics'!$B$8&lt;0,0,'Underlying Mechanics'!$B$22*'Underlying Mechanics'!$B$15*INDEX('Underlying Mechanics'!$B$31:$B$51,L$1-'Underlying Mechanics'!$B$8+1)*'Underlying Mechanics'!$B$5))*(1-$A64))-IF(L$1=0,'Underlying Mechanics'!$B$23*(1-$B64),0)-IF(L$1&gt;0,'Underlying Mechanics'!$B$22*'Underlying Mechanics'!$B$17,0)-IF(L$1&gt;0,'Underlying Mechanics'!$B$12*'Underlying Mechanics'!$B$18,0)</x:f>
        <x:v>29340</x:v>
      </x:c>
      <x:c r="M64" t="n">
        <x:f>((IF(M$1-'Underlying Mechanics'!$B$8&lt;0,0,'Underlying Mechanics'!$B$22*'Underlying Mechanics'!$B$15*INDEX('Underlying Mechanics'!$B$31:$B$51,M$1-'Underlying Mechanics'!$B$8+1)*'Underlying Mechanics'!$B$5))*(1-$A64))-IF(M$1=0,'Underlying Mechanics'!$B$23*(1-$B64),0)-IF(M$1&gt;0,'Underlying Mechanics'!$B$22*'Underlying Mechanics'!$B$17,0)-IF(M$1&gt;0,'Underlying Mechanics'!$B$12*'Underlying Mechanics'!$B$18,0)</x:f>
        <x:v>42780.000000000015</x:v>
      </x:c>
      <x:c r="N64" t="n">
        <x:f>((IF(N$1-'Underlying Mechanics'!$B$8&lt;0,0,'Underlying Mechanics'!$B$22*'Underlying Mechanics'!$B$15*INDEX('Underlying Mechanics'!$B$31:$B$51,N$1-'Underlying Mechanics'!$B$8+1)*'Underlying Mechanics'!$B$5))*(1-$A64))-IF(N$1=0,'Underlying Mechanics'!$B$23*(1-$B64),0)-IF(N$1&gt;0,'Underlying Mechanics'!$B$22*'Underlying Mechanics'!$B$17,0)-IF(N$1&gt;0,'Underlying Mechanics'!$B$12*'Underlying Mechanics'!$B$18,0)</x:f>
        <x:v>54300</x:v>
      </x:c>
      <x:c r="O64" t="n">
        <x:f>((IF(O$1-'Underlying Mechanics'!$B$8&lt;0,0,'Underlying Mechanics'!$B$22*'Underlying Mechanics'!$B$15*INDEX('Underlying Mechanics'!$B$31:$B$51,O$1-'Underlying Mechanics'!$B$8+1)*'Underlying Mechanics'!$B$5))*(1-$A64))-IF(O$1=0,'Underlying Mechanics'!$B$23*(1-$B64),0)-IF(O$1&gt;0,'Underlying Mechanics'!$B$22*'Underlying Mechanics'!$B$17,0)-IF(O$1&gt;0,'Underlying Mechanics'!$B$12*'Underlying Mechanics'!$B$18,0)</x:f>
        <x:v>63900</x:v>
      </x:c>
      <x:c r="P64" t="n">
        <x:f>((IF(P$1-'Underlying Mechanics'!$B$8&lt;0,0,'Underlying Mechanics'!$B$22*'Underlying Mechanics'!$B$15*INDEX('Underlying Mechanics'!$B$31:$B$51,P$1-'Underlying Mechanics'!$B$8+1)*'Underlying Mechanics'!$B$5))*(1-$A64))-IF(P$1=0,'Underlying Mechanics'!$B$23*(1-$B64),0)-IF(P$1&gt;0,'Underlying Mechanics'!$B$22*'Underlying Mechanics'!$B$17,0)-IF(P$1&gt;0,'Underlying Mechanics'!$B$12*'Underlying Mechanics'!$B$18,0)</x:f>
        <x:v>73500</x:v>
      </x:c>
      <x:c r="Q64" t="n">
        <x:f>((IF(Q$1-'Underlying Mechanics'!$B$8&lt;0,0,'Underlying Mechanics'!$B$22*'Underlying Mechanics'!$B$15*INDEX('Underlying Mechanics'!$B$31:$B$51,Q$1-'Underlying Mechanics'!$B$8+1)*'Underlying Mechanics'!$B$5))*(1-$A64))-IF(Q$1=0,'Underlying Mechanics'!$B$23*(1-$B64),0)-IF(Q$1&gt;0,'Underlying Mechanics'!$B$22*'Underlying Mechanics'!$B$17,0)-IF(Q$1&gt;0,'Underlying Mechanics'!$B$12*'Underlying Mechanics'!$B$18,0)</x:f>
        <x:v>73500</x:v>
      </x:c>
      <x:c r="R64" t="n">
        <x:f>((IF(R$1-'Underlying Mechanics'!$B$8&lt;0,0,'Underlying Mechanics'!$B$22*'Underlying Mechanics'!$B$15*INDEX('Underlying Mechanics'!$B$31:$B$51,R$1-'Underlying Mechanics'!$B$8+1)*'Underlying Mechanics'!$B$5))*(1-$A64))-IF(R$1=0,'Underlying Mechanics'!$B$23*(1-$B64),0)-IF(R$1&gt;0,'Underlying Mechanics'!$B$22*'Underlying Mechanics'!$B$17,0)-IF(R$1&gt;0,'Underlying Mechanics'!$B$12*'Underlying Mechanics'!$B$18,0)</x:f>
        <x:v>73500</x:v>
      </x:c>
      <x:c r="S64" t="n">
        <x:f>((IF(S$1-'Underlying Mechanics'!$B$8&lt;0,0,'Underlying Mechanics'!$B$22*'Underlying Mechanics'!$B$15*INDEX('Underlying Mechanics'!$B$31:$B$51,S$1-'Underlying Mechanics'!$B$8+1)*'Underlying Mechanics'!$B$5))*(1-$A64))-IF(S$1=0,'Underlying Mechanics'!$B$23*(1-$B64),0)-IF(S$1&gt;0,'Underlying Mechanics'!$B$22*'Underlying Mechanics'!$B$17,0)-IF(S$1&gt;0,'Underlying Mechanics'!$B$12*'Underlying Mechanics'!$B$18,0)</x:f>
        <x:v>73500</x:v>
      </x:c>
      <x:c r="T64" t="n">
        <x:f>((IF(T$1-'Underlying Mechanics'!$B$8&lt;0,0,'Underlying Mechanics'!$B$22*'Underlying Mechanics'!$B$15*INDEX('Underlying Mechanics'!$B$31:$B$51,T$1-'Underlying Mechanics'!$B$8+1)*'Underlying Mechanics'!$B$5))*(1-$A64))-IF(T$1=0,'Underlying Mechanics'!$B$23*(1-$B64),0)-IF(T$1&gt;0,'Underlying Mechanics'!$B$22*'Underlying Mechanics'!$B$17,0)-IF(T$1&gt;0,'Underlying Mechanics'!$B$12*'Underlying Mechanics'!$B$18,0)</x:f>
        <x:v>73500</x:v>
      </x:c>
      <x:c r="U64" t="n">
        <x:f>((IF(U$1-'Underlying Mechanics'!$B$8&lt;0,0,'Underlying Mechanics'!$B$22*'Underlying Mechanics'!$B$15*INDEX('Underlying Mechanics'!$B$31:$B$51,U$1-'Underlying Mechanics'!$B$8+1)*'Underlying Mechanics'!$B$5))*(1-$A64))-IF(U$1=0,'Underlying Mechanics'!$B$23*(1-$B64),0)-IF(U$1&gt;0,'Underlying Mechanics'!$B$22*'Underlying Mechanics'!$B$17,0)-IF(U$1&gt;0,'Underlying Mechanics'!$B$12*'Underlying Mechanics'!$B$18,0)</x:f>
        <x:v>73500</x:v>
      </x:c>
      <x:c r="V64" t="n">
        <x:f>((IF(V$1-'Underlying Mechanics'!$B$8&lt;0,0,'Underlying Mechanics'!$B$22*'Underlying Mechanics'!$B$15*INDEX('Underlying Mechanics'!$B$31:$B$51,V$1-'Underlying Mechanics'!$B$8+1)*'Underlying Mechanics'!$B$5))*(1-$A64))-IF(V$1=0,'Underlying Mechanics'!$B$23*(1-$B64),0)-IF(V$1&gt;0,'Underlying Mechanics'!$B$22*'Underlying Mechanics'!$B$17,0)-IF(V$1&gt;0,'Underlying Mechanics'!$B$12*'Underlying Mechanics'!$B$18,0)</x:f>
        <x:v>73500</x:v>
      </x:c>
      <x:c r="W64" t="n">
        <x:f>((IF(W$1-'Underlying Mechanics'!$B$8&lt;0,0,'Underlying Mechanics'!$B$22*'Underlying Mechanics'!$B$15*INDEX('Underlying Mechanics'!$B$31:$B$51,W$1-'Underlying Mechanics'!$B$8+1)*'Underlying Mechanics'!$B$5))*(1-$A64))-IF(W$1=0,'Underlying Mechanics'!$B$23*(1-$B64),0)-IF(W$1&gt;0,'Underlying Mechanics'!$B$22*'Underlying Mechanics'!$B$17,0)-IF(W$1&gt;0,'Underlying Mechanics'!$B$12*'Underlying Mechanics'!$B$18,0)</x:f>
        <x:v>73500</x:v>
      </x:c>
      <x:c r="X64" t="n">
        <x:f>IFERROR(IRR(C64:W64),-1)</x:f>
        <x:v>0.20347757745134887</x:v>
      </x:c>
    </x:row>
    <x:row r="65">
      <x:c r="A65" t="n">
        <x:v>0.3</x:v>
      </x:c>
      <x:c r="B65" t="n">
        <x:v>0</x:v>
      </x:c>
      <x:c r="C65" t="n">
        <x:f>((IF(C$1-'Underlying Mechanics'!$B$8&lt;0,0,'Underlying Mechanics'!$B$22*'Underlying Mechanics'!$B$15*INDEX('Underlying Mechanics'!$B$31:$B$51,C$1-'Underlying Mechanics'!$B$8+1)*'Underlying Mechanics'!$B$5))*(1-$A65))-IF(C$1=0,'Underlying Mechanics'!$B$23*(1-$B65),0)-IF(C$1&gt;0,'Underlying Mechanics'!$B$22*'Underlying Mechanics'!$B$17,0)-IF(C$1&gt;0,'Underlying Mechanics'!$B$12*'Underlying Mechanics'!$B$18,0)</x:f>
        <x:v>-150000</x:v>
      </x:c>
      <x:c r="D65" t="n">
        <x:f>((IF(D$1-'Underlying Mechanics'!$B$8&lt;0,0,'Underlying Mechanics'!$B$22*'Underlying Mechanics'!$B$15*INDEX('Underlying Mechanics'!$B$31:$B$51,D$1-'Underlying Mechanics'!$B$8+1)*'Underlying Mechanics'!$B$5))*(1-$A65))-IF(D$1=0,'Underlying Mechanics'!$B$23*(1-$B65),0)-IF(D$1&gt;0,'Underlying Mechanics'!$B$22*'Underlying Mechanics'!$B$17,0)-IF(D$1&gt;0,'Underlying Mechanics'!$B$12*'Underlying Mechanics'!$B$18,0)</x:f>
        <x:v>-22500</x:v>
      </x:c>
      <x:c r="E65" t="n">
        <x:f>((IF(E$1-'Underlying Mechanics'!$B$8&lt;0,0,'Underlying Mechanics'!$B$22*'Underlying Mechanics'!$B$15*INDEX('Underlying Mechanics'!$B$31:$B$51,E$1-'Underlying Mechanics'!$B$8+1)*'Underlying Mechanics'!$B$5))*(1-$A65))-IF(E$1=0,'Underlying Mechanics'!$B$23*(1-$B65),0)-IF(E$1&gt;0,'Underlying Mechanics'!$B$22*'Underlying Mechanics'!$B$17,0)-IF(E$1&gt;0,'Underlying Mechanics'!$B$12*'Underlying Mechanics'!$B$18,0)</x:f>
        <x:v>-22500</x:v>
      </x:c>
      <x:c r="F65" t="n">
        <x:f>((IF(F$1-'Underlying Mechanics'!$B$8&lt;0,0,'Underlying Mechanics'!$B$22*'Underlying Mechanics'!$B$15*INDEX('Underlying Mechanics'!$B$31:$B$51,F$1-'Underlying Mechanics'!$B$8+1)*'Underlying Mechanics'!$B$5))*(1-$A65))-IF(F$1=0,'Underlying Mechanics'!$B$23*(1-$B65),0)-IF(F$1&gt;0,'Underlying Mechanics'!$B$22*'Underlying Mechanics'!$B$17,0)-IF(F$1&gt;0,'Underlying Mechanics'!$B$12*'Underlying Mechanics'!$B$18,0)</x:f>
        <x:v>-20820</x:v>
      </x:c>
      <x:c r="G65" t="n">
        <x:f>((IF(G$1-'Underlying Mechanics'!$B$8&lt;0,0,'Underlying Mechanics'!$B$22*'Underlying Mechanics'!$B$15*INDEX('Underlying Mechanics'!$B$31:$B$51,G$1-'Underlying Mechanics'!$B$8+1)*'Underlying Mechanics'!$B$5))*(1-$A65))-IF(G$1=0,'Underlying Mechanics'!$B$23*(1-$B65),0)-IF(G$1&gt;0,'Underlying Mechanics'!$B$22*'Underlying Mechanics'!$B$17,0)-IF(G$1&gt;0,'Underlying Mechanics'!$B$12*'Underlying Mechanics'!$B$18,0)</x:f>
        <x:v>-18300</x:v>
      </x:c>
      <x:c r="H65" t="n">
        <x:f>((IF(H$1-'Underlying Mechanics'!$B$8&lt;0,0,'Underlying Mechanics'!$B$22*'Underlying Mechanics'!$B$15*INDEX('Underlying Mechanics'!$B$31:$B$51,H$1-'Underlying Mechanics'!$B$8+1)*'Underlying Mechanics'!$B$5))*(1-$A65))-IF(H$1=0,'Underlying Mechanics'!$B$23*(1-$B65),0)-IF(H$1&gt;0,'Underlying Mechanics'!$B$22*'Underlying Mechanics'!$B$17,0)-IF(H$1&gt;0,'Underlying Mechanics'!$B$12*'Underlying Mechanics'!$B$18,0)</x:f>
        <x:v>-14100</x:v>
      </x:c>
      <x:c r="I65" t="n">
        <x:f>((IF(I$1-'Underlying Mechanics'!$B$8&lt;0,0,'Underlying Mechanics'!$B$22*'Underlying Mechanics'!$B$15*INDEX('Underlying Mechanics'!$B$31:$B$51,I$1-'Underlying Mechanics'!$B$8+1)*'Underlying Mechanics'!$B$5))*(1-$A65))-IF(I$1=0,'Underlying Mechanics'!$B$23*(1-$B65),0)-IF(I$1&gt;0,'Underlying Mechanics'!$B$22*'Underlying Mechanics'!$B$17,0)-IF(I$1&gt;0,'Underlying Mechanics'!$B$12*'Underlying Mechanics'!$B$18,0)</x:f>
        <x:v>-7380.000000000002</x:v>
      </x:c>
      <x:c r="J65" t="n">
        <x:f>((IF(J$1-'Underlying Mechanics'!$B$8&lt;0,0,'Underlying Mechanics'!$B$22*'Underlying Mechanics'!$B$15*INDEX('Underlying Mechanics'!$B$31:$B$51,J$1-'Underlying Mechanics'!$B$8+1)*'Underlying Mechanics'!$B$5))*(1-$A65))-IF(J$1=0,'Underlying Mechanics'!$B$23*(1-$B65),0)-IF(J$1&gt;0,'Underlying Mechanics'!$B$22*'Underlying Mechanics'!$B$17,0)-IF(J$1&gt;0,'Underlying Mechanics'!$B$12*'Underlying Mechanics'!$B$18,0)</x:f>
        <x:v>1020.0000000000036</x:v>
      </x:c>
      <x:c r="K65" t="n">
        <x:f>((IF(K$1-'Underlying Mechanics'!$B$8&lt;0,0,'Underlying Mechanics'!$B$22*'Underlying Mechanics'!$B$15*INDEX('Underlying Mechanics'!$B$31:$B$51,K$1-'Underlying Mechanics'!$B$8+1)*'Underlying Mechanics'!$B$5))*(1-$A65))-IF(K$1=0,'Underlying Mechanics'!$B$23*(1-$B65),0)-IF(K$1&gt;0,'Underlying Mechanics'!$B$22*'Underlying Mechanics'!$B$17,0)-IF(K$1&gt;0,'Underlying Mechanics'!$B$12*'Underlying Mechanics'!$B$18,0)</x:f>
        <x:v>11100</x:v>
      </x:c>
      <x:c r="L65" t="n">
        <x:f>((IF(L$1-'Underlying Mechanics'!$B$8&lt;0,0,'Underlying Mechanics'!$B$22*'Underlying Mechanics'!$B$15*INDEX('Underlying Mechanics'!$B$31:$B$51,L$1-'Underlying Mechanics'!$B$8+1)*'Underlying Mechanics'!$B$5))*(1-$A65))-IF(L$1=0,'Underlying Mechanics'!$B$23*(1-$B65),0)-IF(L$1&gt;0,'Underlying Mechanics'!$B$22*'Underlying Mechanics'!$B$17,0)-IF(L$1&gt;0,'Underlying Mechanics'!$B$12*'Underlying Mechanics'!$B$18,0)</x:f>
        <x:v>22860</x:v>
      </x:c>
      <x:c r="M65" t="n">
        <x:f>((IF(M$1-'Underlying Mechanics'!$B$8&lt;0,0,'Underlying Mechanics'!$B$22*'Underlying Mechanics'!$B$15*INDEX('Underlying Mechanics'!$B$31:$B$51,M$1-'Underlying Mechanics'!$B$8+1)*'Underlying Mechanics'!$B$5))*(1-$A65))-IF(M$1=0,'Underlying Mechanics'!$B$23*(1-$B65),0)-IF(M$1&gt;0,'Underlying Mechanics'!$B$22*'Underlying Mechanics'!$B$17,0)-IF(M$1&gt;0,'Underlying Mechanics'!$B$12*'Underlying Mechanics'!$B$18,0)</x:f>
        <x:v>34620.00000000001</x:v>
      </x:c>
      <x:c r="N65" t="n">
        <x:f>((IF(N$1-'Underlying Mechanics'!$B$8&lt;0,0,'Underlying Mechanics'!$B$22*'Underlying Mechanics'!$B$15*INDEX('Underlying Mechanics'!$B$31:$B$51,N$1-'Underlying Mechanics'!$B$8+1)*'Underlying Mechanics'!$B$5))*(1-$A65))-IF(N$1=0,'Underlying Mechanics'!$B$23*(1-$B65),0)-IF(N$1&gt;0,'Underlying Mechanics'!$B$22*'Underlying Mechanics'!$B$17,0)-IF(N$1&gt;0,'Underlying Mechanics'!$B$12*'Underlying Mechanics'!$B$18,0)</x:f>
        <x:v>44700</x:v>
      </x:c>
      <x:c r="O65" t="n">
        <x:f>((IF(O$1-'Underlying Mechanics'!$B$8&lt;0,0,'Underlying Mechanics'!$B$22*'Underlying Mechanics'!$B$15*INDEX('Underlying Mechanics'!$B$31:$B$51,O$1-'Underlying Mechanics'!$B$8+1)*'Underlying Mechanics'!$B$5))*(1-$A65))-IF(O$1=0,'Underlying Mechanics'!$B$23*(1-$B65),0)-IF(O$1&gt;0,'Underlying Mechanics'!$B$22*'Underlying Mechanics'!$B$17,0)-IF(O$1&gt;0,'Underlying Mechanics'!$B$12*'Underlying Mechanics'!$B$18,0)</x:f>
        <x:v>53100</x:v>
      </x:c>
      <x:c r="P65" t="n">
        <x:f>((IF(P$1-'Underlying Mechanics'!$B$8&lt;0,0,'Underlying Mechanics'!$B$22*'Underlying Mechanics'!$B$15*INDEX('Underlying Mechanics'!$B$31:$B$51,P$1-'Underlying Mechanics'!$B$8+1)*'Underlying Mechanics'!$B$5))*(1-$A65))-IF(P$1=0,'Underlying Mechanics'!$B$23*(1-$B65),0)-IF(P$1&gt;0,'Underlying Mechanics'!$B$22*'Underlying Mechanics'!$B$17,0)-IF(P$1&gt;0,'Underlying Mechanics'!$B$12*'Underlying Mechanics'!$B$18,0)</x:f>
        <x:v>61500</x:v>
      </x:c>
      <x:c r="Q65" t="n">
        <x:f>((IF(Q$1-'Underlying Mechanics'!$B$8&lt;0,0,'Underlying Mechanics'!$B$22*'Underlying Mechanics'!$B$15*INDEX('Underlying Mechanics'!$B$31:$B$51,Q$1-'Underlying Mechanics'!$B$8+1)*'Underlying Mechanics'!$B$5))*(1-$A65))-IF(Q$1=0,'Underlying Mechanics'!$B$23*(1-$B65),0)-IF(Q$1&gt;0,'Underlying Mechanics'!$B$22*'Underlying Mechanics'!$B$17,0)-IF(Q$1&gt;0,'Underlying Mechanics'!$B$12*'Underlying Mechanics'!$B$18,0)</x:f>
        <x:v>61500</x:v>
      </x:c>
      <x:c r="R65" t="n">
        <x:f>((IF(R$1-'Underlying Mechanics'!$B$8&lt;0,0,'Underlying Mechanics'!$B$22*'Underlying Mechanics'!$B$15*INDEX('Underlying Mechanics'!$B$31:$B$51,R$1-'Underlying Mechanics'!$B$8+1)*'Underlying Mechanics'!$B$5))*(1-$A65))-IF(R$1=0,'Underlying Mechanics'!$B$23*(1-$B65),0)-IF(R$1&gt;0,'Underlying Mechanics'!$B$22*'Underlying Mechanics'!$B$17,0)-IF(R$1&gt;0,'Underlying Mechanics'!$B$12*'Underlying Mechanics'!$B$18,0)</x:f>
        <x:v>61500</x:v>
      </x:c>
      <x:c r="S65" t="n">
        <x:f>((IF(S$1-'Underlying Mechanics'!$B$8&lt;0,0,'Underlying Mechanics'!$B$22*'Underlying Mechanics'!$B$15*INDEX('Underlying Mechanics'!$B$31:$B$51,S$1-'Underlying Mechanics'!$B$8+1)*'Underlying Mechanics'!$B$5))*(1-$A65))-IF(S$1=0,'Underlying Mechanics'!$B$23*(1-$B65),0)-IF(S$1&gt;0,'Underlying Mechanics'!$B$22*'Underlying Mechanics'!$B$17,0)-IF(S$1&gt;0,'Underlying Mechanics'!$B$12*'Underlying Mechanics'!$B$18,0)</x:f>
        <x:v>61500</x:v>
      </x:c>
      <x:c r="T65" t="n">
        <x:f>((IF(T$1-'Underlying Mechanics'!$B$8&lt;0,0,'Underlying Mechanics'!$B$22*'Underlying Mechanics'!$B$15*INDEX('Underlying Mechanics'!$B$31:$B$51,T$1-'Underlying Mechanics'!$B$8+1)*'Underlying Mechanics'!$B$5))*(1-$A65))-IF(T$1=0,'Underlying Mechanics'!$B$23*(1-$B65),0)-IF(T$1&gt;0,'Underlying Mechanics'!$B$22*'Underlying Mechanics'!$B$17,0)-IF(T$1&gt;0,'Underlying Mechanics'!$B$12*'Underlying Mechanics'!$B$18,0)</x:f>
        <x:v>61500</x:v>
      </x:c>
      <x:c r="U65" t="n">
        <x:f>((IF(U$1-'Underlying Mechanics'!$B$8&lt;0,0,'Underlying Mechanics'!$B$22*'Underlying Mechanics'!$B$15*INDEX('Underlying Mechanics'!$B$31:$B$51,U$1-'Underlying Mechanics'!$B$8+1)*'Underlying Mechanics'!$B$5))*(1-$A65))-IF(U$1=0,'Underlying Mechanics'!$B$23*(1-$B65),0)-IF(U$1&gt;0,'Underlying Mechanics'!$B$22*'Underlying Mechanics'!$B$17,0)-IF(U$1&gt;0,'Underlying Mechanics'!$B$12*'Underlying Mechanics'!$B$18,0)</x:f>
        <x:v>61500</x:v>
      </x:c>
      <x:c r="V65" t="n">
        <x:f>((IF(V$1-'Underlying Mechanics'!$B$8&lt;0,0,'Underlying Mechanics'!$B$22*'Underlying Mechanics'!$B$15*INDEX('Underlying Mechanics'!$B$31:$B$51,V$1-'Underlying Mechanics'!$B$8+1)*'Underlying Mechanics'!$B$5))*(1-$A65))-IF(V$1=0,'Underlying Mechanics'!$B$23*(1-$B65),0)-IF(V$1&gt;0,'Underlying Mechanics'!$B$22*'Underlying Mechanics'!$B$17,0)-IF(V$1&gt;0,'Underlying Mechanics'!$B$12*'Underlying Mechanics'!$B$18,0)</x:f>
        <x:v>61500</x:v>
      </x:c>
      <x:c r="W65" t="n">
        <x:f>((IF(W$1-'Underlying Mechanics'!$B$8&lt;0,0,'Underlying Mechanics'!$B$22*'Underlying Mechanics'!$B$15*INDEX('Underlying Mechanics'!$B$31:$B$51,W$1-'Underlying Mechanics'!$B$8+1)*'Underlying Mechanics'!$B$5))*(1-$A65))-IF(W$1=0,'Underlying Mechanics'!$B$23*(1-$B65),0)-IF(W$1&gt;0,'Underlying Mechanics'!$B$22*'Underlying Mechanics'!$B$17,0)-IF(W$1&gt;0,'Underlying Mechanics'!$B$12*'Underlying Mechanics'!$B$18,0)</x:f>
        <x:v>61500</x:v>
      </x:c>
      <x:c r="X65" t="n">
        <x:f>IFERROR(IRR(C65:W65),-1)</x:f>
        <x:v>0.07282807176353144</x:v>
      </x:c>
    </x:row>
    <x:row r="66">
      <x:c r="A66" t="n">
        <x:v>0.3</x:v>
      </x:c>
      <x:c r="B66" t="n">
        <x:v>0.05</x:v>
      </x:c>
      <x:c r="C66" t="n">
        <x:f>((IF(C$1-'Underlying Mechanics'!$B$8&lt;0,0,'Underlying Mechanics'!$B$22*'Underlying Mechanics'!$B$15*INDEX('Underlying Mechanics'!$B$31:$B$51,C$1-'Underlying Mechanics'!$B$8+1)*'Underlying Mechanics'!$B$5))*(1-$A66))-IF(C$1=0,'Underlying Mechanics'!$B$23*(1-$B66),0)-IF(C$1&gt;0,'Underlying Mechanics'!$B$22*'Underlying Mechanics'!$B$17,0)-IF(C$1&gt;0,'Underlying Mechanics'!$B$12*'Underlying Mechanics'!$B$18,0)</x:f>
        <x:v>-142500</x:v>
      </x:c>
      <x:c r="D66" t="n">
        <x:f>((IF(D$1-'Underlying Mechanics'!$B$8&lt;0,0,'Underlying Mechanics'!$B$22*'Underlying Mechanics'!$B$15*INDEX('Underlying Mechanics'!$B$31:$B$51,D$1-'Underlying Mechanics'!$B$8+1)*'Underlying Mechanics'!$B$5))*(1-$A66))-IF(D$1=0,'Underlying Mechanics'!$B$23*(1-$B66),0)-IF(D$1&gt;0,'Underlying Mechanics'!$B$22*'Underlying Mechanics'!$B$17,0)-IF(D$1&gt;0,'Underlying Mechanics'!$B$12*'Underlying Mechanics'!$B$18,0)</x:f>
        <x:v>-22500</x:v>
      </x:c>
      <x:c r="E66" t="n">
        <x:f>((IF(E$1-'Underlying Mechanics'!$B$8&lt;0,0,'Underlying Mechanics'!$B$22*'Underlying Mechanics'!$B$15*INDEX('Underlying Mechanics'!$B$31:$B$51,E$1-'Underlying Mechanics'!$B$8+1)*'Underlying Mechanics'!$B$5))*(1-$A66))-IF(E$1=0,'Underlying Mechanics'!$B$23*(1-$B66),0)-IF(E$1&gt;0,'Underlying Mechanics'!$B$22*'Underlying Mechanics'!$B$17,0)-IF(E$1&gt;0,'Underlying Mechanics'!$B$12*'Underlying Mechanics'!$B$18,0)</x:f>
        <x:v>-22500</x:v>
      </x:c>
      <x:c r="F66" t="n">
        <x:f>((IF(F$1-'Underlying Mechanics'!$B$8&lt;0,0,'Underlying Mechanics'!$B$22*'Underlying Mechanics'!$B$15*INDEX('Underlying Mechanics'!$B$31:$B$51,F$1-'Underlying Mechanics'!$B$8+1)*'Underlying Mechanics'!$B$5))*(1-$A66))-IF(F$1=0,'Underlying Mechanics'!$B$23*(1-$B66),0)-IF(F$1&gt;0,'Underlying Mechanics'!$B$22*'Underlying Mechanics'!$B$17,0)-IF(F$1&gt;0,'Underlying Mechanics'!$B$12*'Underlying Mechanics'!$B$18,0)</x:f>
        <x:v>-20820</x:v>
      </x:c>
      <x:c r="G66" t="n">
        <x:f>((IF(G$1-'Underlying Mechanics'!$B$8&lt;0,0,'Underlying Mechanics'!$B$22*'Underlying Mechanics'!$B$15*INDEX('Underlying Mechanics'!$B$31:$B$51,G$1-'Underlying Mechanics'!$B$8+1)*'Underlying Mechanics'!$B$5))*(1-$A66))-IF(G$1=0,'Underlying Mechanics'!$B$23*(1-$B66),0)-IF(G$1&gt;0,'Underlying Mechanics'!$B$22*'Underlying Mechanics'!$B$17,0)-IF(G$1&gt;0,'Underlying Mechanics'!$B$12*'Underlying Mechanics'!$B$18,0)</x:f>
        <x:v>-18300</x:v>
      </x:c>
      <x:c r="H66" t="n">
        <x:f>((IF(H$1-'Underlying Mechanics'!$B$8&lt;0,0,'Underlying Mechanics'!$B$22*'Underlying Mechanics'!$B$15*INDEX('Underlying Mechanics'!$B$31:$B$51,H$1-'Underlying Mechanics'!$B$8+1)*'Underlying Mechanics'!$B$5))*(1-$A66))-IF(H$1=0,'Underlying Mechanics'!$B$23*(1-$B66),0)-IF(H$1&gt;0,'Underlying Mechanics'!$B$22*'Underlying Mechanics'!$B$17,0)-IF(H$1&gt;0,'Underlying Mechanics'!$B$12*'Underlying Mechanics'!$B$18,0)</x:f>
        <x:v>-14100</x:v>
      </x:c>
      <x:c r="I66" t="n">
        <x:f>((IF(I$1-'Underlying Mechanics'!$B$8&lt;0,0,'Underlying Mechanics'!$B$22*'Underlying Mechanics'!$B$15*INDEX('Underlying Mechanics'!$B$31:$B$51,I$1-'Underlying Mechanics'!$B$8+1)*'Underlying Mechanics'!$B$5))*(1-$A66))-IF(I$1=0,'Underlying Mechanics'!$B$23*(1-$B66),0)-IF(I$1&gt;0,'Underlying Mechanics'!$B$22*'Underlying Mechanics'!$B$17,0)-IF(I$1&gt;0,'Underlying Mechanics'!$B$12*'Underlying Mechanics'!$B$18,0)</x:f>
        <x:v>-7380.000000000002</x:v>
      </x:c>
      <x:c r="J66" t="n">
        <x:f>((IF(J$1-'Underlying Mechanics'!$B$8&lt;0,0,'Underlying Mechanics'!$B$22*'Underlying Mechanics'!$B$15*INDEX('Underlying Mechanics'!$B$31:$B$51,J$1-'Underlying Mechanics'!$B$8+1)*'Underlying Mechanics'!$B$5))*(1-$A66))-IF(J$1=0,'Underlying Mechanics'!$B$23*(1-$B66),0)-IF(J$1&gt;0,'Underlying Mechanics'!$B$22*'Underlying Mechanics'!$B$17,0)-IF(J$1&gt;0,'Underlying Mechanics'!$B$12*'Underlying Mechanics'!$B$18,0)</x:f>
        <x:v>1020.0000000000036</x:v>
      </x:c>
      <x:c r="K66" t="n">
        <x:f>((IF(K$1-'Underlying Mechanics'!$B$8&lt;0,0,'Underlying Mechanics'!$B$22*'Underlying Mechanics'!$B$15*INDEX('Underlying Mechanics'!$B$31:$B$51,K$1-'Underlying Mechanics'!$B$8+1)*'Underlying Mechanics'!$B$5))*(1-$A66))-IF(K$1=0,'Underlying Mechanics'!$B$23*(1-$B66),0)-IF(K$1&gt;0,'Underlying Mechanics'!$B$22*'Underlying Mechanics'!$B$17,0)-IF(K$1&gt;0,'Underlying Mechanics'!$B$12*'Underlying Mechanics'!$B$18,0)</x:f>
        <x:v>11100</x:v>
      </x:c>
      <x:c r="L66" t="n">
        <x:f>((IF(L$1-'Underlying Mechanics'!$B$8&lt;0,0,'Underlying Mechanics'!$B$22*'Underlying Mechanics'!$B$15*INDEX('Underlying Mechanics'!$B$31:$B$51,L$1-'Underlying Mechanics'!$B$8+1)*'Underlying Mechanics'!$B$5))*(1-$A66))-IF(L$1=0,'Underlying Mechanics'!$B$23*(1-$B66),0)-IF(L$1&gt;0,'Underlying Mechanics'!$B$22*'Underlying Mechanics'!$B$17,0)-IF(L$1&gt;0,'Underlying Mechanics'!$B$12*'Underlying Mechanics'!$B$18,0)</x:f>
        <x:v>22860</x:v>
      </x:c>
      <x:c r="M66" t="n">
        <x:f>((IF(M$1-'Underlying Mechanics'!$B$8&lt;0,0,'Underlying Mechanics'!$B$22*'Underlying Mechanics'!$B$15*INDEX('Underlying Mechanics'!$B$31:$B$51,M$1-'Underlying Mechanics'!$B$8+1)*'Underlying Mechanics'!$B$5))*(1-$A66))-IF(M$1=0,'Underlying Mechanics'!$B$23*(1-$B66),0)-IF(M$1&gt;0,'Underlying Mechanics'!$B$22*'Underlying Mechanics'!$B$17,0)-IF(M$1&gt;0,'Underlying Mechanics'!$B$12*'Underlying Mechanics'!$B$18,0)</x:f>
        <x:v>34620.00000000001</x:v>
      </x:c>
      <x:c r="N66" t="n">
        <x:f>((IF(N$1-'Underlying Mechanics'!$B$8&lt;0,0,'Underlying Mechanics'!$B$22*'Underlying Mechanics'!$B$15*INDEX('Underlying Mechanics'!$B$31:$B$51,N$1-'Underlying Mechanics'!$B$8+1)*'Underlying Mechanics'!$B$5))*(1-$A66))-IF(N$1=0,'Underlying Mechanics'!$B$23*(1-$B66),0)-IF(N$1&gt;0,'Underlying Mechanics'!$B$22*'Underlying Mechanics'!$B$17,0)-IF(N$1&gt;0,'Underlying Mechanics'!$B$12*'Underlying Mechanics'!$B$18,0)</x:f>
        <x:v>44700</x:v>
      </x:c>
      <x:c r="O66" t="n">
        <x:f>((IF(O$1-'Underlying Mechanics'!$B$8&lt;0,0,'Underlying Mechanics'!$B$22*'Underlying Mechanics'!$B$15*INDEX('Underlying Mechanics'!$B$31:$B$51,O$1-'Underlying Mechanics'!$B$8+1)*'Underlying Mechanics'!$B$5))*(1-$A66))-IF(O$1=0,'Underlying Mechanics'!$B$23*(1-$B66),0)-IF(O$1&gt;0,'Underlying Mechanics'!$B$22*'Underlying Mechanics'!$B$17,0)-IF(O$1&gt;0,'Underlying Mechanics'!$B$12*'Underlying Mechanics'!$B$18,0)</x:f>
        <x:v>53100</x:v>
      </x:c>
      <x:c r="P66" t="n">
        <x:f>((IF(P$1-'Underlying Mechanics'!$B$8&lt;0,0,'Underlying Mechanics'!$B$22*'Underlying Mechanics'!$B$15*INDEX('Underlying Mechanics'!$B$31:$B$51,P$1-'Underlying Mechanics'!$B$8+1)*'Underlying Mechanics'!$B$5))*(1-$A66))-IF(P$1=0,'Underlying Mechanics'!$B$23*(1-$B66),0)-IF(P$1&gt;0,'Underlying Mechanics'!$B$22*'Underlying Mechanics'!$B$17,0)-IF(P$1&gt;0,'Underlying Mechanics'!$B$12*'Underlying Mechanics'!$B$18,0)</x:f>
        <x:v>61500</x:v>
      </x:c>
      <x:c r="Q66" t="n">
        <x:f>((IF(Q$1-'Underlying Mechanics'!$B$8&lt;0,0,'Underlying Mechanics'!$B$22*'Underlying Mechanics'!$B$15*INDEX('Underlying Mechanics'!$B$31:$B$51,Q$1-'Underlying Mechanics'!$B$8+1)*'Underlying Mechanics'!$B$5))*(1-$A66))-IF(Q$1=0,'Underlying Mechanics'!$B$23*(1-$B66),0)-IF(Q$1&gt;0,'Underlying Mechanics'!$B$22*'Underlying Mechanics'!$B$17,0)-IF(Q$1&gt;0,'Underlying Mechanics'!$B$12*'Underlying Mechanics'!$B$18,0)</x:f>
        <x:v>61500</x:v>
      </x:c>
      <x:c r="R66" t="n">
        <x:f>((IF(R$1-'Underlying Mechanics'!$B$8&lt;0,0,'Underlying Mechanics'!$B$22*'Underlying Mechanics'!$B$15*INDEX('Underlying Mechanics'!$B$31:$B$51,R$1-'Underlying Mechanics'!$B$8+1)*'Underlying Mechanics'!$B$5))*(1-$A66))-IF(R$1=0,'Underlying Mechanics'!$B$23*(1-$B66),0)-IF(R$1&gt;0,'Underlying Mechanics'!$B$22*'Underlying Mechanics'!$B$17,0)-IF(R$1&gt;0,'Underlying Mechanics'!$B$12*'Underlying Mechanics'!$B$18,0)</x:f>
        <x:v>61500</x:v>
      </x:c>
      <x:c r="S66" t="n">
        <x:f>((IF(S$1-'Underlying Mechanics'!$B$8&lt;0,0,'Underlying Mechanics'!$B$22*'Underlying Mechanics'!$B$15*INDEX('Underlying Mechanics'!$B$31:$B$51,S$1-'Underlying Mechanics'!$B$8+1)*'Underlying Mechanics'!$B$5))*(1-$A66))-IF(S$1=0,'Underlying Mechanics'!$B$23*(1-$B66),0)-IF(S$1&gt;0,'Underlying Mechanics'!$B$22*'Underlying Mechanics'!$B$17,0)-IF(S$1&gt;0,'Underlying Mechanics'!$B$12*'Underlying Mechanics'!$B$18,0)</x:f>
        <x:v>61500</x:v>
      </x:c>
      <x:c r="T66" t="n">
        <x:f>((IF(T$1-'Underlying Mechanics'!$B$8&lt;0,0,'Underlying Mechanics'!$B$22*'Underlying Mechanics'!$B$15*INDEX('Underlying Mechanics'!$B$31:$B$51,T$1-'Underlying Mechanics'!$B$8+1)*'Underlying Mechanics'!$B$5))*(1-$A66))-IF(T$1=0,'Underlying Mechanics'!$B$23*(1-$B66),0)-IF(T$1&gt;0,'Underlying Mechanics'!$B$22*'Underlying Mechanics'!$B$17,0)-IF(T$1&gt;0,'Underlying Mechanics'!$B$12*'Underlying Mechanics'!$B$18,0)</x:f>
        <x:v>61500</x:v>
      </x:c>
      <x:c r="U66" t="n">
        <x:f>((IF(U$1-'Underlying Mechanics'!$B$8&lt;0,0,'Underlying Mechanics'!$B$22*'Underlying Mechanics'!$B$15*INDEX('Underlying Mechanics'!$B$31:$B$51,U$1-'Underlying Mechanics'!$B$8+1)*'Underlying Mechanics'!$B$5))*(1-$A66))-IF(U$1=0,'Underlying Mechanics'!$B$23*(1-$B66),0)-IF(U$1&gt;0,'Underlying Mechanics'!$B$22*'Underlying Mechanics'!$B$17,0)-IF(U$1&gt;0,'Underlying Mechanics'!$B$12*'Underlying Mechanics'!$B$18,0)</x:f>
        <x:v>61500</x:v>
      </x:c>
      <x:c r="V66" t="n">
        <x:f>((IF(V$1-'Underlying Mechanics'!$B$8&lt;0,0,'Underlying Mechanics'!$B$22*'Underlying Mechanics'!$B$15*INDEX('Underlying Mechanics'!$B$31:$B$51,V$1-'Underlying Mechanics'!$B$8+1)*'Underlying Mechanics'!$B$5))*(1-$A66))-IF(V$1=0,'Underlying Mechanics'!$B$23*(1-$B66),0)-IF(V$1&gt;0,'Underlying Mechanics'!$B$22*'Underlying Mechanics'!$B$17,0)-IF(V$1&gt;0,'Underlying Mechanics'!$B$12*'Underlying Mechanics'!$B$18,0)</x:f>
        <x:v>61500</x:v>
      </x:c>
      <x:c r="W66" t="n">
        <x:f>((IF(W$1-'Underlying Mechanics'!$B$8&lt;0,0,'Underlying Mechanics'!$B$22*'Underlying Mechanics'!$B$15*INDEX('Underlying Mechanics'!$B$31:$B$51,W$1-'Underlying Mechanics'!$B$8+1)*'Underlying Mechanics'!$B$5))*(1-$A66))-IF(W$1=0,'Underlying Mechanics'!$B$23*(1-$B66),0)-IF(W$1&gt;0,'Underlying Mechanics'!$B$22*'Underlying Mechanics'!$B$17,0)-IF(W$1&gt;0,'Underlying Mechanics'!$B$12*'Underlying Mechanics'!$B$18,0)</x:f>
        <x:v>61500</x:v>
      </x:c>
      <x:c r="X66" t="n">
        <x:f>IFERROR(IRR(C66:W66),-1)</x:f>
        <x:v>0.07546685462021026</x:v>
      </x:c>
    </x:row>
    <x:row r="67">
      <x:c r="A67" t="n">
        <x:v>0.3</x:v>
      </x:c>
      <x:c r="B67" t="n">
        <x:v>0.1</x:v>
      </x:c>
      <x:c r="C67" t="n">
        <x:f>((IF(C$1-'Underlying Mechanics'!$B$8&lt;0,0,'Underlying Mechanics'!$B$22*'Underlying Mechanics'!$B$15*INDEX('Underlying Mechanics'!$B$31:$B$51,C$1-'Underlying Mechanics'!$B$8+1)*'Underlying Mechanics'!$B$5))*(1-$A67))-IF(C$1=0,'Underlying Mechanics'!$B$23*(1-$B67),0)-IF(C$1&gt;0,'Underlying Mechanics'!$B$22*'Underlying Mechanics'!$B$17,0)-IF(C$1&gt;0,'Underlying Mechanics'!$B$12*'Underlying Mechanics'!$B$18,0)</x:f>
        <x:v>-135000</x:v>
      </x:c>
      <x:c r="D67" t="n">
        <x:f>((IF(D$1-'Underlying Mechanics'!$B$8&lt;0,0,'Underlying Mechanics'!$B$22*'Underlying Mechanics'!$B$15*INDEX('Underlying Mechanics'!$B$31:$B$51,D$1-'Underlying Mechanics'!$B$8+1)*'Underlying Mechanics'!$B$5))*(1-$A67))-IF(D$1=0,'Underlying Mechanics'!$B$23*(1-$B67),0)-IF(D$1&gt;0,'Underlying Mechanics'!$B$22*'Underlying Mechanics'!$B$17,0)-IF(D$1&gt;0,'Underlying Mechanics'!$B$12*'Underlying Mechanics'!$B$18,0)</x:f>
        <x:v>-22500</x:v>
      </x:c>
      <x:c r="E67" t="n">
        <x:f>((IF(E$1-'Underlying Mechanics'!$B$8&lt;0,0,'Underlying Mechanics'!$B$22*'Underlying Mechanics'!$B$15*INDEX('Underlying Mechanics'!$B$31:$B$51,E$1-'Underlying Mechanics'!$B$8+1)*'Underlying Mechanics'!$B$5))*(1-$A67))-IF(E$1=0,'Underlying Mechanics'!$B$23*(1-$B67),0)-IF(E$1&gt;0,'Underlying Mechanics'!$B$22*'Underlying Mechanics'!$B$17,0)-IF(E$1&gt;0,'Underlying Mechanics'!$B$12*'Underlying Mechanics'!$B$18,0)</x:f>
        <x:v>-22500</x:v>
      </x:c>
      <x:c r="F67" t="n">
        <x:f>((IF(F$1-'Underlying Mechanics'!$B$8&lt;0,0,'Underlying Mechanics'!$B$22*'Underlying Mechanics'!$B$15*INDEX('Underlying Mechanics'!$B$31:$B$51,F$1-'Underlying Mechanics'!$B$8+1)*'Underlying Mechanics'!$B$5))*(1-$A67))-IF(F$1=0,'Underlying Mechanics'!$B$23*(1-$B67),0)-IF(F$1&gt;0,'Underlying Mechanics'!$B$22*'Underlying Mechanics'!$B$17,0)-IF(F$1&gt;0,'Underlying Mechanics'!$B$12*'Underlying Mechanics'!$B$18,0)</x:f>
        <x:v>-20820</x:v>
      </x:c>
      <x:c r="G67" t="n">
        <x:f>((IF(G$1-'Underlying Mechanics'!$B$8&lt;0,0,'Underlying Mechanics'!$B$22*'Underlying Mechanics'!$B$15*INDEX('Underlying Mechanics'!$B$31:$B$51,G$1-'Underlying Mechanics'!$B$8+1)*'Underlying Mechanics'!$B$5))*(1-$A67))-IF(G$1=0,'Underlying Mechanics'!$B$23*(1-$B67),0)-IF(G$1&gt;0,'Underlying Mechanics'!$B$22*'Underlying Mechanics'!$B$17,0)-IF(G$1&gt;0,'Underlying Mechanics'!$B$12*'Underlying Mechanics'!$B$18,0)</x:f>
        <x:v>-18300</x:v>
      </x:c>
      <x:c r="H67" t="n">
        <x:f>((IF(H$1-'Underlying Mechanics'!$B$8&lt;0,0,'Underlying Mechanics'!$B$22*'Underlying Mechanics'!$B$15*INDEX('Underlying Mechanics'!$B$31:$B$51,H$1-'Underlying Mechanics'!$B$8+1)*'Underlying Mechanics'!$B$5))*(1-$A67))-IF(H$1=0,'Underlying Mechanics'!$B$23*(1-$B67),0)-IF(H$1&gt;0,'Underlying Mechanics'!$B$22*'Underlying Mechanics'!$B$17,0)-IF(H$1&gt;0,'Underlying Mechanics'!$B$12*'Underlying Mechanics'!$B$18,0)</x:f>
        <x:v>-14100</x:v>
      </x:c>
      <x:c r="I67" t="n">
        <x:f>((IF(I$1-'Underlying Mechanics'!$B$8&lt;0,0,'Underlying Mechanics'!$B$22*'Underlying Mechanics'!$B$15*INDEX('Underlying Mechanics'!$B$31:$B$51,I$1-'Underlying Mechanics'!$B$8+1)*'Underlying Mechanics'!$B$5))*(1-$A67))-IF(I$1=0,'Underlying Mechanics'!$B$23*(1-$B67),0)-IF(I$1&gt;0,'Underlying Mechanics'!$B$22*'Underlying Mechanics'!$B$17,0)-IF(I$1&gt;0,'Underlying Mechanics'!$B$12*'Underlying Mechanics'!$B$18,0)</x:f>
        <x:v>-7380.000000000002</x:v>
      </x:c>
      <x:c r="J67" t="n">
        <x:f>((IF(J$1-'Underlying Mechanics'!$B$8&lt;0,0,'Underlying Mechanics'!$B$22*'Underlying Mechanics'!$B$15*INDEX('Underlying Mechanics'!$B$31:$B$51,J$1-'Underlying Mechanics'!$B$8+1)*'Underlying Mechanics'!$B$5))*(1-$A67))-IF(J$1=0,'Underlying Mechanics'!$B$23*(1-$B67),0)-IF(J$1&gt;0,'Underlying Mechanics'!$B$22*'Underlying Mechanics'!$B$17,0)-IF(J$1&gt;0,'Underlying Mechanics'!$B$12*'Underlying Mechanics'!$B$18,0)</x:f>
        <x:v>1020.0000000000036</x:v>
      </x:c>
      <x:c r="K67" t="n">
        <x:f>((IF(K$1-'Underlying Mechanics'!$B$8&lt;0,0,'Underlying Mechanics'!$B$22*'Underlying Mechanics'!$B$15*INDEX('Underlying Mechanics'!$B$31:$B$51,K$1-'Underlying Mechanics'!$B$8+1)*'Underlying Mechanics'!$B$5))*(1-$A67))-IF(K$1=0,'Underlying Mechanics'!$B$23*(1-$B67),0)-IF(K$1&gt;0,'Underlying Mechanics'!$B$22*'Underlying Mechanics'!$B$17,0)-IF(K$1&gt;0,'Underlying Mechanics'!$B$12*'Underlying Mechanics'!$B$18,0)</x:f>
        <x:v>11100</x:v>
      </x:c>
      <x:c r="L67" t="n">
        <x:f>((IF(L$1-'Underlying Mechanics'!$B$8&lt;0,0,'Underlying Mechanics'!$B$22*'Underlying Mechanics'!$B$15*INDEX('Underlying Mechanics'!$B$31:$B$51,L$1-'Underlying Mechanics'!$B$8+1)*'Underlying Mechanics'!$B$5))*(1-$A67))-IF(L$1=0,'Underlying Mechanics'!$B$23*(1-$B67),0)-IF(L$1&gt;0,'Underlying Mechanics'!$B$22*'Underlying Mechanics'!$B$17,0)-IF(L$1&gt;0,'Underlying Mechanics'!$B$12*'Underlying Mechanics'!$B$18,0)</x:f>
        <x:v>22860</x:v>
      </x:c>
      <x:c r="M67" t="n">
        <x:f>((IF(M$1-'Underlying Mechanics'!$B$8&lt;0,0,'Underlying Mechanics'!$B$22*'Underlying Mechanics'!$B$15*INDEX('Underlying Mechanics'!$B$31:$B$51,M$1-'Underlying Mechanics'!$B$8+1)*'Underlying Mechanics'!$B$5))*(1-$A67))-IF(M$1=0,'Underlying Mechanics'!$B$23*(1-$B67),0)-IF(M$1&gt;0,'Underlying Mechanics'!$B$22*'Underlying Mechanics'!$B$17,0)-IF(M$1&gt;0,'Underlying Mechanics'!$B$12*'Underlying Mechanics'!$B$18,0)</x:f>
        <x:v>34620.00000000001</x:v>
      </x:c>
      <x:c r="N67" t="n">
        <x:f>((IF(N$1-'Underlying Mechanics'!$B$8&lt;0,0,'Underlying Mechanics'!$B$22*'Underlying Mechanics'!$B$15*INDEX('Underlying Mechanics'!$B$31:$B$51,N$1-'Underlying Mechanics'!$B$8+1)*'Underlying Mechanics'!$B$5))*(1-$A67))-IF(N$1=0,'Underlying Mechanics'!$B$23*(1-$B67),0)-IF(N$1&gt;0,'Underlying Mechanics'!$B$22*'Underlying Mechanics'!$B$17,0)-IF(N$1&gt;0,'Underlying Mechanics'!$B$12*'Underlying Mechanics'!$B$18,0)</x:f>
        <x:v>44700</x:v>
      </x:c>
      <x:c r="O67" t="n">
        <x:f>((IF(O$1-'Underlying Mechanics'!$B$8&lt;0,0,'Underlying Mechanics'!$B$22*'Underlying Mechanics'!$B$15*INDEX('Underlying Mechanics'!$B$31:$B$51,O$1-'Underlying Mechanics'!$B$8+1)*'Underlying Mechanics'!$B$5))*(1-$A67))-IF(O$1=0,'Underlying Mechanics'!$B$23*(1-$B67),0)-IF(O$1&gt;0,'Underlying Mechanics'!$B$22*'Underlying Mechanics'!$B$17,0)-IF(O$1&gt;0,'Underlying Mechanics'!$B$12*'Underlying Mechanics'!$B$18,0)</x:f>
        <x:v>53100</x:v>
      </x:c>
      <x:c r="P67" t="n">
        <x:f>((IF(P$1-'Underlying Mechanics'!$B$8&lt;0,0,'Underlying Mechanics'!$B$22*'Underlying Mechanics'!$B$15*INDEX('Underlying Mechanics'!$B$31:$B$51,P$1-'Underlying Mechanics'!$B$8+1)*'Underlying Mechanics'!$B$5))*(1-$A67))-IF(P$1=0,'Underlying Mechanics'!$B$23*(1-$B67),0)-IF(P$1&gt;0,'Underlying Mechanics'!$B$22*'Underlying Mechanics'!$B$17,0)-IF(P$1&gt;0,'Underlying Mechanics'!$B$12*'Underlying Mechanics'!$B$18,0)</x:f>
        <x:v>61500</x:v>
      </x:c>
      <x:c r="Q67" t="n">
        <x:f>((IF(Q$1-'Underlying Mechanics'!$B$8&lt;0,0,'Underlying Mechanics'!$B$22*'Underlying Mechanics'!$B$15*INDEX('Underlying Mechanics'!$B$31:$B$51,Q$1-'Underlying Mechanics'!$B$8+1)*'Underlying Mechanics'!$B$5))*(1-$A67))-IF(Q$1=0,'Underlying Mechanics'!$B$23*(1-$B67),0)-IF(Q$1&gt;0,'Underlying Mechanics'!$B$22*'Underlying Mechanics'!$B$17,0)-IF(Q$1&gt;0,'Underlying Mechanics'!$B$12*'Underlying Mechanics'!$B$18,0)</x:f>
        <x:v>61500</x:v>
      </x:c>
      <x:c r="R67" t="n">
        <x:f>((IF(R$1-'Underlying Mechanics'!$B$8&lt;0,0,'Underlying Mechanics'!$B$22*'Underlying Mechanics'!$B$15*INDEX('Underlying Mechanics'!$B$31:$B$51,R$1-'Underlying Mechanics'!$B$8+1)*'Underlying Mechanics'!$B$5))*(1-$A67))-IF(R$1=0,'Underlying Mechanics'!$B$23*(1-$B67),0)-IF(R$1&gt;0,'Underlying Mechanics'!$B$22*'Underlying Mechanics'!$B$17,0)-IF(R$1&gt;0,'Underlying Mechanics'!$B$12*'Underlying Mechanics'!$B$18,0)</x:f>
        <x:v>61500</x:v>
      </x:c>
      <x:c r="S67" t="n">
        <x:f>((IF(S$1-'Underlying Mechanics'!$B$8&lt;0,0,'Underlying Mechanics'!$B$22*'Underlying Mechanics'!$B$15*INDEX('Underlying Mechanics'!$B$31:$B$51,S$1-'Underlying Mechanics'!$B$8+1)*'Underlying Mechanics'!$B$5))*(1-$A67))-IF(S$1=0,'Underlying Mechanics'!$B$23*(1-$B67),0)-IF(S$1&gt;0,'Underlying Mechanics'!$B$22*'Underlying Mechanics'!$B$17,0)-IF(S$1&gt;0,'Underlying Mechanics'!$B$12*'Underlying Mechanics'!$B$18,0)</x:f>
        <x:v>61500</x:v>
      </x:c>
      <x:c r="T67" t="n">
        <x:f>((IF(T$1-'Underlying Mechanics'!$B$8&lt;0,0,'Underlying Mechanics'!$B$22*'Underlying Mechanics'!$B$15*INDEX('Underlying Mechanics'!$B$31:$B$51,T$1-'Underlying Mechanics'!$B$8+1)*'Underlying Mechanics'!$B$5))*(1-$A67))-IF(T$1=0,'Underlying Mechanics'!$B$23*(1-$B67),0)-IF(T$1&gt;0,'Underlying Mechanics'!$B$22*'Underlying Mechanics'!$B$17,0)-IF(T$1&gt;0,'Underlying Mechanics'!$B$12*'Underlying Mechanics'!$B$18,0)</x:f>
        <x:v>61500</x:v>
      </x:c>
      <x:c r="U67" t="n">
        <x:f>((IF(U$1-'Underlying Mechanics'!$B$8&lt;0,0,'Underlying Mechanics'!$B$22*'Underlying Mechanics'!$B$15*INDEX('Underlying Mechanics'!$B$31:$B$51,U$1-'Underlying Mechanics'!$B$8+1)*'Underlying Mechanics'!$B$5))*(1-$A67))-IF(U$1=0,'Underlying Mechanics'!$B$23*(1-$B67),0)-IF(U$1&gt;0,'Underlying Mechanics'!$B$22*'Underlying Mechanics'!$B$17,0)-IF(U$1&gt;0,'Underlying Mechanics'!$B$12*'Underlying Mechanics'!$B$18,0)</x:f>
        <x:v>61500</x:v>
      </x:c>
      <x:c r="V67" t="n">
        <x:f>((IF(V$1-'Underlying Mechanics'!$B$8&lt;0,0,'Underlying Mechanics'!$B$22*'Underlying Mechanics'!$B$15*INDEX('Underlying Mechanics'!$B$31:$B$51,V$1-'Underlying Mechanics'!$B$8+1)*'Underlying Mechanics'!$B$5))*(1-$A67))-IF(V$1=0,'Underlying Mechanics'!$B$23*(1-$B67),0)-IF(V$1&gt;0,'Underlying Mechanics'!$B$22*'Underlying Mechanics'!$B$17,0)-IF(V$1&gt;0,'Underlying Mechanics'!$B$12*'Underlying Mechanics'!$B$18,0)</x:f>
        <x:v>61500</x:v>
      </x:c>
      <x:c r="W67" t="n">
        <x:f>((IF(W$1-'Underlying Mechanics'!$B$8&lt;0,0,'Underlying Mechanics'!$B$22*'Underlying Mechanics'!$B$15*INDEX('Underlying Mechanics'!$B$31:$B$51,W$1-'Underlying Mechanics'!$B$8+1)*'Underlying Mechanics'!$B$5))*(1-$A67))-IF(W$1=0,'Underlying Mechanics'!$B$23*(1-$B67),0)-IF(W$1&gt;0,'Underlying Mechanics'!$B$22*'Underlying Mechanics'!$B$17,0)-IF(W$1&gt;0,'Underlying Mechanics'!$B$12*'Underlying Mechanics'!$B$18,0)</x:f>
        <x:v>61500</x:v>
      </x:c>
      <x:c r="X67" t="n">
        <x:f>IFERROR(IRR(C67:W67),-1)</x:f>
        <x:v>0.07821981184365272</x:v>
      </x:c>
    </x:row>
    <x:row r="68">
      <x:c r="A68" t="n">
        <x:v>0.3</x:v>
      </x:c>
      <x:c r="B68" t="n">
        <x:v>0.15</x:v>
      </x:c>
      <x:c r="C68" t="n">
        <x:f>((IF(C$1-'Underlying Mechanics'!$B$8&lt;0,0,'Underlying Mechanics'!$B$22*'Underlying Mechanics'!$B$15*INDEX('Underlying Mechanics'!$B$31:$B$51,C$1-'Underlying Mechanics'!$B$8+1)*'Underlying Mechanics'!$B$5))*(1-$A68))-IF(C$1=0,'Underlying Mechanics'!$B$23*(1-$B68),0)-IF(C$1&gt;0,'Underlying Mechanics'!$B$22*'Underlying Mechanics'!$B$17,0)-IF(C$1&gt;0,'Underlying Mechanics'!$B$12*'Underlying Mechanics'!$B$18,0)</x:f>
        <x:v>-127500</x:v>
      </x:c>
      <x:c r="D68" t="n">
        <x:f>((IF(D$1-'Underlying Mechanics'!$B$8&lt;0,0,'Underlying Mechanics'!$B$22*'Underlying Mechanics'!$B$15*INDEX('Underlying Mechanics'!$B$31:$B$51,D$1-'Underlying Mechanics'!$B$8+1)*'Underlying Mechanics'!$B$5))*(1-$A68))-IF(D$1=0,'Underlying Mechanics'!$B$23*(1-$B68),0)-IF(D$1&gt;0,'Underlying Mechanics'!$B$22*'Underlying Mechanics'!$B$17,0)-IF(D$1&gt;0,'Underlying Mechanics'!$B$12*'Underlying Mechanics'!$B$18,0)</x:f>
        <x:v>-22500</x:v>
      </x:c>
      <x:c r="E68" t="n">
        <x:f>((IF(E$1-'Underlying Mechanics'!$B$8&lt;0,0,'Underlying Mechanics'!$B$22*'Underlying Mechanics'!$B$15*INDEX('Underlying Mechanics'!$B$31:$B$51,E$1-'Underlying Mechanics'!$B$8+1)*'Underlying Mechanics'!$B$5))*(1-$A68))-IF(E$1=0,'Underlying Mechanics'!$B$23*(1-$B68),0)-IF(E$1&gt;0,'Underlying Mechanics'!$B$22*'Underlying Mechanics'!$B$17,0)-IF(E$1&gt;0,'Underlying Mechanics'!$B$12*'Underlying Mechanics'!$B$18,0)</x:f>
        <x:v>-22500</x:v>
      </x:c>
      <x:c r="F68" t="n">
        <x:f>((IF(F$1-'Underlying Mechanics'!$B$8&lt;0,0,'Underlying Mechanics'!$B$22*'Underlying Mechanics'!$B$15*INDEX('Underlying Mechanics'!$B$31:$B$51,F$1-'Underlying Mechanics'!$B$8+1)*'Underlying Mechanics'!$B$5))*(1-$A68))-IF(F$1=0,'Underlying Mechanics'!$B$23*(1-$B68),0)-IF(F$1&gt;0,'Underlying Mechanics'!$B$22*'Underlying Mechanics'!$B$17,0)-IF(F$1&gt;0,'Underlying Mechanics'!$B$12*'Underlying Mechanics'!$B$18,0)</x:f>
        <x:v>-20820</x:v>
      </x:c>
      <x:c r="G68" t="n">
        <x:f>((IF(G$1-'Underlying Mechanics'!$B$8&lt;0,0,'Underlying Mechanics'!$B$22*'Underlying Mechanics'!$B$15*INDEX('Underlying Mechanics'!$B$31:$B$51,G$1-'Underlying Mechanics'!$B$8+1)*'Underlying Mechanics'!$B$5))*(1-$A68))-IF(G$1=0,'Underlying Mechanics'!$B$23*(1-$B68),0)-IF(G$1&gt;0,'Underlying Mechanics'!$B$22*'Underlying Mechanics'!$B$17,0)-IF(G$1&gt;0,'Underlying Mechanics'!$B$12*'Underlying Mechanics'!$B$18,0)</x:f>
        <x:v>-18300</x:v>
      </x:c>
      <x:c r="H68" t="n">
        <x:f>((IF(H$1-'Underlying Mechanics'!$B$8&lt;0,0,'Underlying Mechanics'!$B$22*'Underlying Mechanics'!$B$15*INDEX('Underlying Mechanics'!$B$31:$B$51,H$1-'Underlying Mechanics'!$B$8+1)*'Underlying Mechanics'!$B$5))*(1-$A68))-IF(H$1=0,'Underlying Mechanics'!$B$23*(1-$B68),0)-IF(H$1&gt;0,'Underlying Mechanics'!$B$22*'Underlying Mechanics'!$B$17,0)-IF(H$1&gt;0,'Underlying Mechanics'!$B$12*'Underlying Mechanics'!$B$18,0)</x:f>
        <x:v>-14100</x:v>
      </x:c>
      <x:c r="I68" t="n">
        <x:f>((IF(I$1-'Underlying Mechanics'!$B$8&lt;0,0,'Underlying Mechanics'!$B$22*'Underlying Mechanics'!$B$15*INDEX('Underlying Mechanics'!$B$31:$B$51,I$1-'Underlying Mechanics'!$B$8+1)*'Underlying Mechanics'!$B$5))*(1-$A68))-IF(I$1=0,'Underlying Mechanics'!$B$23*(1-$B68),0)-IF(I$1&gt;0,'Underlying Mechanics'!$B$22*'Underlying Mechanics'!$B$17,0)-IF(I$1&gt;0,'Underlying Mechanics'!$B$12*'Underlying Mechanics'!$B$18,0)</x:f>
        <x:v>-7380.000000000002</x:v>
      </x:c>
      <x:c r="J68" t="n">
        <x:f>((IF(J$1-'Underlying Mechanics'!$B$8&lt;0,0,'Underlying Mechanics'!$B$22*'Underlying Mechanics'!$B$15*INDEX('Underlying Mechanics'!$B$31:$B$51,J$1-'Underlying Mechanics'!$B$8+1)*'Underlying Mechanics'!$B$5))*(1-$A68))-IF(J$1=0,'Underlying Mechanics'!$B$23*(1-$B68),0)-IF(J$1&gt;0,'Underlying Mechanics'!$B$22*'Underlying Mechanics'!$B$17,0)-IF(J$1&gt;0,'Underlying Mechanics'!$B$12*'Underlying Mechanics'!$B$18,0)</x:f>
        <x:v>1020.0000000000036</x:v>
      </x:c>
      <x:c r="K68" t="n">
        <x:f>((IF(K$1-'Underlying Mechanics'!$B$8&lt;0,0,'Underlying Mechanics'!$B$22*'Underlying Mechanics'!$B$15*INDEX('Underlying Mechanics'!$B$31:$B$51,K$1-'Underlying Mechanics'!$B$8+1)*'Underlying Mechanics'!$B$5))*(1-$A68))-IF(K$1=0,'Underlying Mechanics'!$B$23*(1-$B68),0)-IF(K$1&gt;0,'Underlying Mechanics'!$B$22*'Underlying Mechanics'!$B$17,0)-IF(K$1&gt;0,'Underlying Mechanics'!$B$12*'Underlying Mechanics'!$B$18,0)</x:f>
        <x:v>11100</x:v>
      </x:c>
      <x:c r="L68" t="n">
        <x:f>((IF(L$1-'Underlying Mechanics'!$B$8&lt;0,0,'Underlying Mechanics'!$B$22*'Underlying Mechanics'!$B$15*INDEX('Underlying Mechanics'!$B$31:$B$51,L$1-'Underlying Mechanics'!$B$8+1)*'Underlying Mechanics'!$B$5))*(1-$A68))-IF(L$1=0,'Underlying Mechanics'!$B$23*(1-$B68),0)-IF(L$1&gt;0,'Underlying Mechanics'!$B$22*'Underlying Mechanics'!$B$17,0)-IF(L$1&gt;0,'Underlying Mechanics'!$B$12*'Underlying Mechanics'!$B$18,0)</x:f>
        <x:v>22860</x:v>
      </x:c>
      <x:c r="M68" t="n">
        <x:f>((IF(M$1-'Underlying Mechanics'!$B$8&lt;0,0,'Underlying Mechanics'!$B$22*'Underlying Mechanics'!$B$15*INDEX('Underlying Mechanics'!$B$31:$B$51,M$1-'Underlying Mechanics'!$B$8+1)*'Underlying Mechanics'!$B$5))*(1-$A68))-IF(M$1=0,'Underlying Mechanics'!$B$23*(1-$B68),0)-IF(M$1&gt;0,'Underlying Mechanics'!$B$22*'Underlying Mechanics'!$B$17,0)-IF(M$1&gt;0,'Underlying Mechanics'!$B$12*'Underlying Mechanics'!$B$18,0)</x:f>
        <x:v>34620.00000000001</x:v>
      </x:c>
      <x:c r="N68" t="n">
        <x:f>((IF(N$1-'Underlying Mechanics'!$B$8&lt;0,0,'Underlying Mechanics'!$B$22*'Underlying Mechanics'!$B$15*INDEX('Underlying Mechanics'!$B$31:$B$51,N$1-'Underlying Mechanics'!$B$8+1)*'Underlying Mechanics'!$B$5))*(1-$A68))-IF(N$1=0,'Underlying Mechanics'!$B$23*(1-$B68),0)-IF(N$1&gt;0,'Underlying Mechanics'!$B$22*'Underlying Mechanics'!$B$17,0)-IF(N$1&gt;0,'Underlying Mechanics'!$B$12*'Underlying Mechanics'!$B$18,0)</x:f>
        <x:v>44700</x:v>
      </x:c>
      <x:c r="O68" t="n">
        <x:f>((IF(O$1-'Underlying Mechanics'!$B$8&lt;0,0,'Underlying Mechanics'!$B$22*'Underlying Mechanics'!$B$15*INDEX('Underlying Mechanics'!$B$31:$B$51,O$1-'Underlying Mechanics'!$B$8+1)*'Underlying Mechanics'!$B$5))*(1-$A68))-IF(O$1=0,'Underlying Mechanics'!$B$23*(1-$B68),0)-IF(O$1&gt;0,'Underlying Mechanics'!$B$22*'Underlying Mechanics'!$B$17,0)-IF(O$1&gt;0,'Underlying Mechanics'!$B$12*'Underlying Mechanics'!$B$18,0)</x:f>
        <x:v>53100</x:v>
      </x:c>
      <x:c r="P68" t="n">
        <x:f>((IF(P$1-'Underlying Mechanics'!$B$8&lt;0,0,'Underlying Mechanics'!$B$22*'Underlying Mechanics'!$B$15*INDEX('Underlying Mechanics'!$B$31:$B$51,P$1-'Underlying Mechanics'!$B$8+1)*'Underlying Mechanics'!$B$5))*(1-$A68))-IF(P$1=0,'Underlying Mechanics'!$B$23*(1-$B68),0)-IF(P$1&gt;0,'Underlying Mechanics'!$B$22*'Underlying Mechanics'!$B$17,0)-IF(P$1&gt;0,'Underlying Mechanics'!$B$12*'Underlying Mechanics'!$B$18,0)</x:f>
        <x:v>61500</x:v>
      </x:c>
      <x:c r="Q68" t="n">
        <x:f>((IF(Q$1-'Underlying Mechanics'!$B$8&lt;0,0,'Underlying Mechanics'!$B$22*'Underlying Mechanics'!$B$15*INDEX('Underlying Mechanics'!$B$31:$B$51,Q$1-'Underlying Mechanics'!$B$8+1)*'Underlying Mechanics'!$B$5))*(1-$A68))-IF(Q$1=0,'Underlying Mechanics'!$B$23*(1-$B68),0)-IF(Q$1&gt;0,'Underlying Mechanics'!$B$22*'Underlying Mechanics'!$B$17,0)-IF(Q$1&gt;0,'Underlying Mechanics'!$B$12*'Underlying Mechanics'!$B$18,0)</x:f>
        <x:v>61500</x:v>
      </x:c>
      <x:c r="R68" t="n">
        <x:f>((IF(R$1-'Underlying Mechanics'!$B$8&lt;0,0,'Underlying Mechanics'!$B$22*'Underlying Mechanics'!$B$15*INDEX('Underlying Mechanics'!$B$31:$B$51,R$1-'Underlying Mechanics'!$B$8+1)*'Underlying Mechanics'!$B$5))*(1-$A68))-IF(R$1=0,'Underlying Mechanics'!$B$23*(1-$B68),0)-IF(R$1&gt;0,'Underlying Mechanics'!$B$22*'Underlying Mechanics'!$B$17,0)-IF(R$1&gt;0,'Underlying Mechanics'!$B$12*'Underlying Mechanics'!$B$18,0)</x:f>
        <x:v>61500</x:v>
      </x:c>
      <x:c r="S68" t="n">
        <x:f>((IF(S$1-'Underlying Mechanics'!$B$8&lt;0,0,'Underlying Mechanics'!$B$22*'Underlying Mechanics'!$B$15*INDEX('Underlying Mechanics'!$B$31:$B$51,S$1-'Underlying Mechanics'!$B$8+1)*'Underlying Mechanics'!$B$5))*(1-$A68))-IF(S$1=0,'Underlying Mechanics'!$B$23*(1-$B68),0)-IF(S$1&gt;0,'Underlying Mechanics'!$B$22*'Underlying Mechanics'!$B$17,0)-IF(S$1&gt;0,'Underlying Mechanics'!$B$12*'Underlying Mechanics'!$B$18,0)</x:f>
        <x:v>61500</x:v>
      </x:c>
      <x:c r="T68" t="n">
        <x:f>((IF(T$1-'Underlying Mechanics'!$B$8&lt;0,0,'Underlying Mechanics'!$B$22*'Underlying Mechanics'!$B$15*INDEX('Underlying Mechanics'!$B$31:$B$51,T$1-'Underlying Mechanics'!$B$8+1)*'Underlying Mechanics'!$B$5))*(1-$A68))-IF(T$1=0,'Underlying Mechanics'!$B$23*(1-$B68),0)-IF(T$1&gt;0,'Underlying Mechanics'!$B$22*'Underlying Mechanics'!$B$17,0)-IF(T$1&gt;0,'Underlying Mechanics'!$B$12*'Underlying Mechanics'!$B$18,0)</x:f>
        <x:v>61500</x:v>
      </x:c>
      <x:c r="U68" t="n">
        <x:f>((IF(U$1-'Underlying Mechanics'!$B$8&lt;0,0,'Underlying Mechanics'!$B$22*'Underlying Mechanics'!$B$15*INDEX('Underlying Mechanics'!$B$31:$B$51,U$1-'Underlying Mechanics'!$B$8+1)*'Underlying Mechanics'!$B$5))*(1-$A68))-IF(U$1=0,'Underlying Mechanics'!$B$23*(1-$B68),0)-IF(U$1&gt;0,'Underlying Mechanics'!$B$22*'Underlying Mechanics'!$B$17,0)-IF(U$1&gt;0,'Underlying Mechanics'!$B$12*'Underlying Mechanics'!$B$18,0)</x:f>
        <x:v>61500</x:v>
      </x:c>
      <x:c r="V68" t="n">
        <x:f>((IF(V$1-'Underlying Mechanics'!$B$8&lt;0,0,'Underlying Mechanics'!$B$22*'Underlying Mechanics'!$B$15*INDEX('Underlying Mechanics'!$B$31:$B$51,V$1-'Underlying Mechanics'!$B$8+1)*'Underlying Mechanics'!$B$5))*(1-$A68))-IF(V$1=0,'Underlying Mechanics'!$B$23*(1-$B68),0)-IF(V$1&gt;0,'Underlying Mechanics'!$B$22*'Underlying Mechanics'!$B$17,0)-IF(V$1&gt;0,'Underlying Mechanics'!$B$12*'Underlying Mechanics'!$B$18,0)</x:f>
        <x:v>61500</x:v>
      </x:c>
      <x:c r="W68" t="n">
        <x:f>((IF(W$1-'Underlying Mechanics'!$B$8&lt;0,0,'Underlying Mechanics'!$B$22*'Underlying Mechanics'!$B$15*INDEX('Underlying Mechanics'!$B$31:$B$51,W$1-'Underlying Mechanics'!$B$8+1)*'Underlying Mechanics'!$B$5))*(1-$A68))-IF(W$1=0,'Underlying Mechanics'!$B$23*(1-$B68),0)-IF(W$1&gt;0,'Underlying Mechanics'!$B$22*'Underlying Mechanics'!$B$17,0)-IF(W$1&gt;0,'Underlying Mechanics'!$B$12*'Underlying Mechanics'!$B$18,0)</x:f>
        <x:v>61500</x:v>
      </x:c>
      <x:c r="X68" t="n">
        <x:f>IFERROR(IRR(C68:W68),-1)</x:f>
        <x:v>0.08109694171138941</x:v>
      </x:c>
    </x:row>
    <x:row r="69">
      <x:c r="A69" t="n">
        <x:v>0.3</x:v>
      </x:c>
      <x:c r="B69" t="n">
        <x:v>0.2</x:v>
      </x:c>
      <x:c r="C69" t="n">
        <x:f>((IF(C$1-'Underlying Mechanics'!$B$8&lt;0,0,'Underlying Mechanics'!$B$22*'Underlying Mechanics'!$B$15*INDEX('Underlying Mechanics'!$B$31:$B$51,C$1-'Underlying Mechanics'!$B$8+1)*'Underlying Mechanics'!$B$5))*(1-$A69))-IF(C$1=0,'Underlying Mechanics'!$B$23*(1-$B69),0)-IF(C$1&gt;0,'Underlying Mechanics'!$B$22*'Underlying Mechanics'!$B$17,0)-IF(C$1&gt;0,'Underlying Mechanics'!$B$12*'Underlying Mechanics'!$B$18,0)</x:f>
        <x:v>-120000</x:v>
      </x:c>
      <x:c r="D69" t="n">
        <x:f>((IF(D$1-'Underlying Mechanics'!$B$8&lt;0,0,'Underlying Mechanics'!$B$22*'Underlying Mechanics'!$B$15*INDEX('Underlying Mechanics'!$B$31:$B$51,D$1-'Underlying Mechanics'!$B$8+1)*'Underlying Mechanics'!$B$5))*(1-$A69))-IF(D$1=0,'Underlying Mechanics'!$B$23*(1-$B69),0)-IF(D$1&gt;0,'Underlying Mechanics'!$B$22*'Underlying Mechanics'!$B$17,0)-IF(D$1&gt;0,'Underlying Mechanics'!$B$12*'Underlying Mechanics'!$B$18,0)</x:f>
        <x:v>-22500</x:v>
      </x:c>
      <x:c r="E69" t="n">
        <x:f>((IF(E$1-'Underlying Mechanics'!$B$8&lt;0,0,'Underlying Mechanics'!$B$22*'Underlying Mechanics'!$B$15*INDEX('Underlying Mechanics'!$B$31:$B$51,E$1-'Underlying Mechanics'!$B$8+1)*'Underlying Mechanics'!$B$5))*(1-$A69))-IF(E$1=0,'Underlying Mechanics'!$B$23*(1-$B69),0)-IF(E$1&gt;0,'Underlying Mechanics'!$B$22*'Underlying Mechanics'!$B$17,0)-IF(E$1&gt;0,'Underlying Mechanics'!$B$12*'Underlying Mechanics'!$B$18,0)</x:f>
        <x:v>-22500</x:v>
      </x:c>
      <x:c r="F69" t="n">
        <x:f>((IF(F$1-'Underlying Mechanics'!$B$8&lt;0,0,'Underlying Mechanics'!$B$22*'Underlying Mechanics'!$B$15*INDEX('Underlying Mechanics'!$B$31:$B$51,F$1-'Underlying Mechanics'!$B$8+1)*'Underlying Mechanics'!$B$5))*(1-$A69))-IF(F$1=0,'Underlying Mechanics'!$B$23*(1-$B69),0)-IF(F$1&gt;0,'Underlying Mechanics'!$B$22*'Underlying Mechanics'!$B$17,0)-IF(F$1&gt;0,'Underlying Mechanics'!$B$12*'Underlying Mechanics'!$B$18,0)</x:f>
        <x:v>-20820</x:v>
      </x:c>
      <x:c r="G69" t="n">
        <x:f>((IF(G$1-'Underlying Mechanics'!$B$8&lt;0,0,'Underlying Mechanics'!$B$22*'Underlying Mechanics'!$B$15*INDEX('Underlying Mechanics'!$B$31:$B$51,G$1-'Underlying Mechanics'!$B$8+1)*'Underlying Mechanics'!$B$5))*(1-$A69))-IF(G$1=0,'Underlying Mechanics'!$B$23*(1-$B69),0)-IF(G$1&gt;0,'Underlying Mechanics'!$B$22*'Underlying Mechanics'!$B$17,0)-IF(G$1&gt;0,'Underlying Mechanics'!$B$12*'Underlying Mechanics'!$B$18,0)</x:f>
        <x:v>-18300</x:v>
      </x:c>
      <x:c r="H69" t="n">
        <x:f>((IF(H$1-'Underlying Mechanics'!$B$8&lt;0,0,'Underlying Mechanics'!$B$22*'Underlying Mechanics'!$B$15*INDEX('Underlying Mechanics'!$B$31:$B$51,H$1-'Underlying Mechanics'!$B$8+1)*'Underlying Mechanics'!$B$5))*(1-$A69))-IF(H$1=0,'Underlying Mechanics'!$B$23*(1-$B69),0)-IF(H$1&gt;0,'Underlying Mechanics'!$B$22*'Underlying Mechanics'!$B$17,0)-IF(H$1&gt;0,'Underlying Mechanics'!$B$12*'Underlying Mechanics'!$B$18,0)</x:f>
        <x:v>-14100</x:v>
      </x:c>
      <x:c r="I69" t="n">
        <x:f>((IF(I$1-'Underlying Mechanics'!$B$8&lt;0,0,'Underlying Mechanics'!$B$22*'Underlying Mechanics'!$B$15*INDEX('Underlying Mechanics'!$B$31:$B$51,I$1-'Underlying Mechanics'!$B$8+1)*'Underlying Mechanics'!$B$5))*(1-$A69))-IF(I$1=0,'Underlying Mechanics'!$B$23*(1-$B69),0)-IF(I$1&gt;0,'Underlying Mechanics'!$B$22*'Underlying Mechanics'!$B$17,0)-IF(I$1&gt;0,'Underlying Mechanics'!$B$12*'Underlying Mechanics'!$B$18,0)</x:f>
        <x:v>-7380.000000000002</x:v>
      </x:c>
      <x:c r="J69" t="n">
        <x:f>((IF(J$1-'Underlying Mechanics'!$B$8&lt;0,0,'Underlying Mechanics'!$B$22*'Underlying Mechanics'!$B$15*INDEX('Underlying Mechanics'!$B$31:$B$51,J$1-'Underlying Mechanics'!$B$8+1)*'Underlying Mechanics'!$B$5))*(1-$A69))-IF(J$1=0,'Underlying Mechanics'!$B$23*(1-$B69),0)-IF(J$1&gt;0,'Underlying Mechanics'!$B$22*'Underlying Mechanics'!$B$17,0)-IF(J$1&gt;0,'Underlying Mechanics'!$B$12*'Underlying Mechanics'!$B$18,0)</x:f>
        <x:v>1020.0000000000036</x:v>
      </x:c>
      <x:c r="K69" t="n">
        <x:f>((IF(K$1-'Underlying Mechanics'!$B$8&lt;0,0,'Underlying Mechanics'!$B$22*'Underlying Mechanics'!$B$15*INDEX('Underlying Mechanics'!$B$31:$B$51,K$1-'Underlying Mechanics'!$B$8+1)*'Underlying Mechanics'!$B$5))*(1-$A69))-IF(K$1=0,'Underlying Mechanics'!$B$23*(1-$B69),0)-IF(K$1&gt;0,'Underlying Mechanics'!$B$22*'Underlying Mechanics'!$B$17,0)-IF(K$1&gt;0,'Underlying Mechanics'!$B$12*'Underlying Mechanics'!$B$18,0)</x:f>
        <x:v>11100</x:v>
      </x:c>
      <x:c r="L69" t="n">
        <x:f>((IF(L$1-'Underlying Mechanics'!$B$8&lt;0,0,'Underlying Mechanics'!$B$22*'Underlying Mechanics'!$B$15*INDEX('Underlying Mechanics'!$B$31:$B$51,L$1-'Underlying Mechanics'!$B$8+1)*'Underlying Mechanics'!$B$5))*(1-$A69))-IF(L$1=0,'Underlying Mechanics'!$B$23*(1-$B69),0)-IF(L$1&gt;0,'Underlying Mechanics'!$B$22*'Underlying Mechanics'!$B$17,0)-IF(L$1&gt;0,'Underlying Mechanics'!$B$12*'Underlying Mechanics'!$B$18,0)</x:f>
        <x:v>22860</x:v>
      </x:c>
      <x:c r="M69" t="n">
        <x:f>((IF(M$1-'Underlying Mechanics'!$B$8&lt;0,0,'Underlying Mechanics'!$B$22*'Underlying Mechanics'!$B$15*INDEX('Underlying Mechanics'!$B$31:$B$51,M$1-'Underlying Mechanics'!$B$8+1)*'Underlying Mechanics'!$B$5))*(1-$A69))-IF(M$1=0,'Underlying Mechanics'!$B$23*(1-$B69),0)-IF(M$1&gt;0,'Underlying Mechanics'!$B$22*'Underlying Mechanics'!$B$17,0)-IF(M$1&gt;0,'Underlying Mechanics'!$B$12*'Underlying Mechanics'!$B$18,0)</x:f>
        <x:v>34620.00000000001</x:v>
      </x:c>
      <x:c r="N69" t="n">
        <x:f>((IF(N$1-'Underlying Mechanics'!$B$8&lt;0,0,'Underlying Mechanics'!$B$22*'Underlying Mechanics'!$B$15*INDEX('Underlying Mechanics'!$B$31:$B$51,N$1-'Underlying Mechanics'!$B$8+1)*'Underlying Mechanics'!$B$5))*(1-$A69))-IF(N$1=0,'Underlying Mechanics'!$B$23*(1-$B69),0)-IF(N$1&gt;0,'Underlying Mechanics'!$B$22*'Underlying Mechanics'!$B$17,0)-IF(N$1&gt;0,'Underlying Mechanics'!$B$12*'Underlying Mechanics'!$B$18,0)</x:f>
        <x:v>44700</x:v>
      </x:c>
      <x:c r="O69" t="n">
        <x:f>((IF(O$1-'Underlying Mechanics'!$B$8&lt;0,0,'Underlying Mechanics'!$B$22*'Underlying Mechanics'!$B$15*INDEX('Underlying Mechanics'!$B$31:$B$51,O$1-'Underlying Mechanics'!$B$8+1)*'Underlying Mechanics'!$B$5))*(1-$A69))-IF(O$1=0,'Underlying Mechanics'!$B$23*(1-$B69),0)-IF(O$1&gt;0,'Underlying Mechanics'!$B$22*'Underlying Mechanics'!$B$17,0)-IF(O$1&gt;0,'Underlying Mechanics'!$B$12*'Underlying Mechanics'!$B$18,0)</x:f>
        <x:v>53100</x:v>
      </x:c>
      <x:c r="P69" t="n">
        <x:f>((IF(P$1-'Underlying Mechanics'!$B$8&lt;0,0,'Underlying Mechanics'!$B$22*'Underlying Mechanics'!$B$15*INDEX('Underlying Mechanics'!$B$31:$B$51,P$1-'Underlying Mechanics'!$B$8+1)*'Underlying Mechanics'!$B$5))*(1-$A69))-IF(P$1=0,'Underlying Mechanics'!$B$23*(1-$B69),0)-IF(P$1&gt;0,'Underlying Mechanics'!$B$22*'Underlying Mechanics'!$B$17,0)-IF(P$1&gt;0,'Underlying Mechanics'!$B$12*'Underlying Mechanics'!$B$18,0)</x:f>
        <x:v>61500</x:v>
      </x:c>
      <x:c r="Q69" t="n">
        <x:f>((IF(Q$1-'Underlying Mechanics'!$B$8&lt;0,0,'Underlying Mechanics'!$B$22*'Underlying Mechanics'!$B$15*INDEX('Underlying Mechanics'!$B$31:$B$51,Q$1-'Underlying Mechanics'!$B$8+1)*'Underlying Mechanics'!$B$5))*(1-$A69))-IF(Q$1=0,'Underlying Mechanics'!$B$23*(1-$B69),0)-IF(Q$1&gt;0,'Underlying Mechanics'!$B$22*'Underlying Mechanics'!$B$17,0)-IF(Q$1&gt;0,'Underlying Mechanics'!$B$12*'Underlying Mechanics'!$B$18,0)</x:f>
        <x:v>61500</x:v>
      </x:c>
      <x:c r="R69" t="n">
        <x:f>((IF(R$1-'Underlying Mechanics'!$B$8&lt;0,0,'Underlying Mechanics'!$B$22*'Underlying Mechanics'!$B$15*INDEX('Underlying Mechanics'!$B$31:$B$51,R$1-'Underlying Mechanics'!$B$8+1)*'Underlying Mechanics'!$B$5))*(1-$A69))-IF(R$1=0,'Underlying Mechanics'!$B$23*(1-$B69),0)-IF(R$1&gt;0,'Underlying Mechanics'!$B$22*'Underlying Mechanics'!$B$17,0)-IF(R$1&gt;0,'Underlying Mechanics'!$B$12*'Underlying Mechanics'!$B$18,0)</x:f>
        <x:v>61500</x:v>
      </x:c>
      <x:c r="S69" t="n">
        <x:f>((IF(S$1-'Underlying Mechanics'!$B$8&lt;0,0,'Underlying Mechanics'!$B$22*'Underlying Mechanics'!$B$15*INDEX('Underlying Mechanics'!$B$31:$B$51,S$1-'Underlying Mechanics'!$B$8+1)*'Underlying Mechanics'!$B$5))*(1-$A69))-IF(S$1=0,'Underlying Mechanics'!$B$23*(1-$B69),0)-IF(S$1&gt;0,'Underlying Mechanics'!$B$22*'Underlying Mechanics'!$B$17,0)-IF(S$1&gt;0,'Underlying Mechanics'!$B$12*'Underlying Mechanics'!$B$18,0)</x:f>
        <x:v>61500</x:v>
      </x:c>
      <x:c r="T69" t="n">
        <x:f>((IF(T$1-'Underlying Mechanics'!$B$8&lt;0,0,'Underlying Mechanics'!$B$22*'Underlying Mechanics'!$B$15*INDEX('Underlying Mechanics'!$B$31:$B$51,T$1-'Underlying Mechanics'!$B$8+1)*'Underlying Mechanics'!$B$5))*(1-$A69))-IF(T$1=0,'Underlying Mechanics'!$B$23*(1-$B69),0)-IF(T$1&gt;0,'Underlying Mechanics'!$B$22*'Underlying Mechanics'!$B$17,0)-IF(T$1&gt;0,'Underlying Mechanics'!$B$12*'Underlying Mechanics'!$B$18,0)</x:f>
        <x:v>61500</x:v>
      </x:c>
      <x:c r="U69" t="n">
        <x:f>((IF(U$1-'Underlying Mechanics'!$B$8&lt;0,0,'Underlying Mechanics'!$B$22*'Underlying Mechanics'!$B$15*INDEX('Underlying Mechanics'!$B$31:$B$51,U$1-'Underlying Mechanics'!$B$8+1)*'Underlying Mechanics'!$B$5))*(1-$A69))-IF(U$1=0,'Underlying Mechanics'!$B$23*(1-$B69),0)-IF(U$1&gt;0,'Underlying Mechanics'!$B$22*'Underlying Mechanics'!$B$17,0)-IF(U$1&gt;0,'Underlying Mechanics'!$B$12*'Underlying Mechanics'!$B$18,0)</x:f>
        <x:v>61500</x:v>
      </x:c>
      <x:c r="V69" t="n">
        <x:f>((IF(V$1-'Underlying Mechanics'!$B$8&lt;0,0,'Underlying Mechanics'!$B$22*'Underlying Mechanics'!$B$15*INDEX('Underlying Mechanics'!$B$31:$B$51,V$1-'Underlying Mechanics'!$B$8+1)*'Underlying Mechanics'!$B$5))*(1-$A69))-IF(V$1=0,'Underlying Mechanics'!$B$23*(1-$B69),0)-IF(V$1&gt;0,'Underlying Mechanics'!$B$22*'Underlying Mechanics'!$B$17,0)-IF(V$1&gt;0,'Underlying Mechanics'!$B$12*'Underlying Mechanics'!$B$18,0)</x:f>
        <x:v>61500</x:v>
      </x:c>
      <x:c r="W69" t="n">
        <x:f>((IF(W$1-'Underlying Mechanics'!$B$8&lt;0,0,'Underlying Mechanics'!$B$22*'Underlying Mechanics'!$B$15*INDEX('Underlying Mechanics'!$B$31:$B$51,W$1-'Underlying Mechanics'!$B$8+1)*'Underlying Mechanics'!$B$5))*(1-$A69))-IF(W$1=0,'Underlying Mechanics'!$B$23*(1-$B69),0)-IF(W$1&gt;0,'Underlying Mechanics'!$B$22*'Underlying Mechanics'!$B$17,0)-IF(W$1&gt;0,'Underlying Mechanics'!$B$12*'Underlying Mechanics'!$B$18,0)</x:f>
        <x:v>61500</x:v>
      </x:c>
      <x:c r="X69" t="n">
        <x:f>IFERROR(IRR(C69:W69),-1)</x:f>
        <x:v>0.08410960776615942</x:v>
      </x:c>
    </x:row>
    <x:row r="70">
      <x:c r="A70" t="n">
        <x:v>0.3</x:v>
      </x:c>
      <x:c r="B70" t="n">
        <x:v>0.25</x:v>
      </x:c>
      <x:c r="C70" t="n">
        <x:f>((IF(C$1-'Underlying Mechanics'!$B$8&lt;0,0,'Underlying Mechanics'!$B$22*'Underlying Mechanics'!$B$15*INDEX('Underlying Mechanics'!$B$31:$B$51,C$1-'Underlying Mechanics'!$B$8+1)*'Underlying Mechanics'!$B$5))*(1-$A70))-IF(C$1=0,'Underlying Mechanics'!$B$23*(1-$B70),0)-IF(C$1&gt;0,'Underlying Mechanics'!$B$22*'Underlying Mechanics'!$B$17,0)-IF(C$1&gt;0,'Underlying Mechanics'!$B$12*'Underlying Mechanics'!$B$18,0)</x:f>
        <x:v>-112500</x:v>
      </x:c>
      <x:c r="D70" t="n">
        <x:f>((IF(D$1-'Underlying Mechanics'!$B$8&lt;0,0,'Underlying Mechanics'!$B$22*'Underlying Mechanics'!$B$15*INDEX('Underlying Mechanics'!$B$31:$B$51,D$1-'Underlying Mechanics'!$B$8+1)*'Underlying Mechanics'!$B$5))*(1-$A70))-IF(D$1=0,'Underlying Mechanics'!$B$23*(1-$B70),0)-IF(D$1&gt;0,'Underlying Mechanics'!$B$22*'Underlying Mechanics'!$B$17,0)-IF(D$1&gt;0,'Underlying Mechanics'!$B$12*'Underlying Mechanics'!$B$18,0)</x:f>
        <x:v>-22500</x:v>
      </x:c>
      <x:c r="E70" t="n">
        <x:f>((IF(E$1-'Underlying Mechanics'!$B$8&lt;0,0,'Underlying Mechanics'!$B$22*'Underlying Mechanics'!$B$15*INDEX('Underlying Mechanics'!$B$31:$B$51,E$1-'Underlying Mechanics'!$B$8+1)*'Underlying Mechanics'!$B$5))*(1-$A70))-IF(E$1=0,'Underlying Mechanics'!$B$23*(1-$B70),0)-IF(E$1&gt;0,'Underlying Mechanics'!$B$22*'Underlying Mechanics'!$B$17,0)-IF(E$1&gt;0,'Underlying Mechanics'!$B$12*'Underlying Mechanics'!$B$18,0)</x:f>
        <x:v>-22500</x:v>
      </x:c>
      <x:c r="F70" t="n">
        <x:f>((IF(F$1-'Underlying Mechanics'!$B$8&lt;0,0,'Underlying Mechanics'!$B$22*'Underlying Mechanics'!$B$15*INDEX('Underlying Mechanics'!$B$31:$B$51,F$1-'Underlying Mechanics'!$B$8+1)*'Underlying Mechanics'!$B$5))*(1-$A70))-IF(F$1=0,'Underlying Mechanics'!$B$23*(1-$B70),0)-IF(F$1&gt;0,'Underlying Mechanics'!$B$22*'Underlying Mechanics'!$B$17,0)-IF(F$1&gt;0,'Underlying Mechanics'!$B$12*'Underlying Mechanics'!$B$18,0)</x:f>
        <x:v>-20820</x:v>
      </x:c>
      <x:c r="G70" t="n">
        <x:f>((IF(G$1-'Underlying Mechanics'!$B$8&lt;0,0,'Underlying Mechanics'!$B$22*'Underlying Mechanics'!$B$15*INDEX('Underlying Mechanics'!$B$31:$B$51,G$1-'Underlying Mechanics'!$B$8+1)*'Underlying Mechanics'!$B$5))*(1-$A70))-IF(G$1=0,'Underlying Mechanics'!$B$23*(1-$B70),0)-IF(G$1&gt;0,'Underlying Mechanics'!$B$22*'Underlying Mechanics'!$B$17,0)-IF(G$1&gt;0,'Underlying Mechanics'!$B$12*'Underlying Mechanics'!$B$18,0)</x:f>
        <x:v>-18300</x:v>
      </x:c>
      <x:c r="H70" t="n">
        <x:f>((IF(H$1-'Underlying Mechanics'!$B$8&lt;0,0,'Underlying Mechanics'!$B$22*'Underlying Mechanics'!$B$15*INDEX('Underlying Mechanics'!$B$31:$B$51,H$1-'Underlying Mechanics'!$B$8+1)*'Underlying Mechanics'!$B$5))*(1-$A70))-IF(H$1=0,'Underlying Mechanics'!$B$23*(1-$B70),0)-IF(H$1&gt;0,'Underlying Mechanics'!$B$22*'Underlying Mechanics'!$B$17,0)-IF(H$1&gt;0,'Underlying Mechanics'!$B$12*'Underlying Mechanics'!$B$18,0)</x:f>
        <x:v>-14100</x:v>
      </x:c>
      <x:c r="I70" t="n">
        <x:f>((IF(I$1-'Underlying Mechanics'!$B$8&lt;0,0,'Underlying Mechanics'!$B$22*'Underlying Mechanics'!$B$15*INDEX('Underlying Mechanics'!$B$31:$B$51,I$1-'Underlying Mechanics'!$B$8+1)*'Underlying Mechanics'!$B$5))*(1-$A70))-IF(I$1=0,'Underlying Mechanics'!$B$23*(1-$B70),0)-IF(I$1&gt;0,'Underlying Mechanics'!$B$22*'Underlying Mechanics'!$B$17,0)-IF(I$1&gt;0,'Underlying Mechanics'!$B$12*'Underlying Mechanics'!$B$18,0)</x:f>
        <x:v>-7380.000000000002</x:v>
      </x:c>
      <x:c r="J70" t="n">
        <x:f>((IF(J$1-'Underlying Mechanics'!$B$8&lt;0,0,'Underlying Mechanics'!$B$22*'Underlying Mechanics'!$B$15*INDEX('Underlying Mechanics'!$B$31:$B$51,J$1-'Underlying Mechanics'!$B$8+1)*'Underlying Mechanics'!$B$5))*(1-$A70))-IF(J$1=0,'Underlying Mechanics'!$B$23*(1-$B70),0)-IF(J$1&gt;0,'Underlying Mechanics'!$B$22*'Underlying Mechanics'!$B$17,0)-IF(J$1&gt;0,'Underlying Mechanics'!$B$12*'Underlying Mechanics'!$B$18,0)</x:f>
        <x:v>1020.0000000000036</x:v>
      </x:c>
      <x:c r="K70" t="n">
        <x:f>((IF(K$1-'Underlying Mechanics'!$B$8&lt;0,0,'Underlying Mechanics'!$B$22*'Underlying Mechanics'!$B$15*INDEX('Underlying Mechanics'!$B$31:$B$51,K$1-'Underlying Mechanics'!$B$8+1)*'Underlying Mechanics'!$B$5))*(1-$A70))-IF(K$1=0,'Underlying Mechanics'!$B$23*(1-$B70),0)-IF(K$1&gt;0,'Underlying Mechanics'!$B$22*'Underlying Mechanics'!$B$17,0)-IF(K$1&gt;0,'Underlying Mechanics'!$B$12*'Underlying Mechanics'!$B$18,0)</x:f>
        <x:v>11100</x:v>
      </x:c>
      <x:c r="L70" t="n">
        <x:f>((IF(L$1-'Underlying Mechanics'!$B$8&lt;0,0,'Underlying Mechanics'!$B$22*'Underlying Mechanics'!$B$15*INDEX('Underlying Mechanics'!$B$31:$B$51,L$1-'Underlying Mechanics'!$B$8+1)*'Underlying Mechanics'!$B$5))*(1-$A70))-IF(L$1=0,'Underlying Mechanics'!$B$23*(1-$B70),0)-IF(L$1&gt;0,'Underlying Mechanics'!$B$22*'Underlying Mechanics'!$B$17,0)-IF(L$1&gt;0,'Underlying Mechanics'!$B$12*'Underlying Mechanics'!$B$18,0)</x:f>
        <x:v>22860</x:v>
      </x:c>
      <x:c r="M70" t="n">
        <x:f>((IF(M$1-'Underlying Mechanics'!$B$8&lt;0,0,'Underlying Mechanics'!$B$22*'Underlying Mechanics'!$B$15*INDEX('Underlying Mechanics'!$B$31:$B$51,M$1-'Underlying Mechanics'!$B$8+1)*'Underlying Mechanics'!$B$5))*(1-$A70))-IF(M$1=0,'Underlying Mechanics'!$B$23*(1-$B70),0)-IF(M$1&gt;0,'Underlying Mechanics'!$B$22*'Underlying Mechanics'!$B$17,0)-IF(M$1&gt;0,'Underlying Mechanics'!$B$12*'Underlying Mechanics'!$B$18,0)</x:f>
        <x:v>34620.00000000001</x:v>
      </x:c>
      <x:c r="N70" t="n">
        <x:f>((IF(N$1-'Underlying Mechanics'!$B$8&lt;0,0,'Underlying Mechanics'!$B$22*'Underlying Mechanics'!$B$15*INDEX('Underlying Mechanics'!$B$31:$B$51,N$1-'Underlying Mechanics'!$B$8+1)*'Underlying Mechanics'!$B$5))*(1-$A70))-IF(N$1=0,'Underlying Mechanics'!$B$23*(1-$B70),0)-IF(N$1&gt;0,'Underlying Mechanics'!$B$22*'Underlying Mechanics'!$B$17,0)-IF(N$1&gt;0,'Underlying Mechanics'!$B$12*'Underlying Mechanics'!$B$18,0)</x:f>
        <x:v>44700</x:v>
      </x:c>
      <x:c r="O70" t="n">
        <x:f>((IF(O$1-'Underlying Mechanics'!$B$8&lt;0,0,'Underlying Mechanics'!$B$22*'Underlying Mechanics'!$B$15*INDEX('Underlying Mechanics'!$B$31:$B$51,O$1-'Underlying Mechanics'!$B$8+1)*'Underlying Mechanics'!$B$5))*(1-$A70))-IF(O$1=0,'Underlying Mechanics'!$B$23*(1-$B70),0)-IF(O$1&gt;0,'Underlying Mechanics'!$B$22*'Underlying Mechanics'!$B$17,0)-IF(O$1&gt;0,'Underlying Mechanics'!$B$12*'Underlying Mechanics'!$B$18,0)</x:f>
        <x:v>53100</x:v>
      </x:c>
      <x:c r="P70" t="n">
        <x:f>((IF(P$1-'Underlying Mechanics'!$B$8&lt;0,0,'Underlying Mechanics'!$B$22*'Underlying Mechanics'!$B$15*INDEX('Underlying Mechanics'!$B$31:$B$51,P$1-'Underlying Mechanics'!$B$8+1)*'Underlying Mechanics'!$B$5))*(1-$A70))-IF(P$1=0,'Underlying Mechanics'!$B$23*(1-$B70),0)-IF(P$1&gt;0,'Underlying Mechanics'!$B$22*'Underlying Mechanics'!$B$17,0)-IF(P$1&gt;0,'Underlying Mechanics'!$B$12*'Underlying Mechanics'!$B$18,0)</x:f>
        <x:v>61500</x:v>
      </x:c>
      <x:c r="Q70" t="n">
        <x:f>((IF(Q$1-'Underlying Mechanics'!$B$8&lt;0,0,'Underlying Mechanics'!$B$22*'Underlying Mechanics'!$B$15*INDEX('Underlying Mechanics'!$B$31:$B$51,Q$1-'Underlying Mechanics'!$B$8+1)*'Underlying Mechanics'!$B$5))*(1-$A70))-IF(Q$1=0,'Underlying Mechanics'!$B$23*(1-$B70),0)-IF(Q$1&gt;0,'Underlying Mechanics'!$B$22*'Underlying Mechanics'!$B$17,0)-IF(Q$1&gt;0,'Underlying Mechanics'!$B$12*'Underlying Mechanics'!$B$18,0)</x:f>
        <x:v>61500</x:v>
      </x:c>
      <x:c r="R70" t="n">
        <x:f>((IF(R$1-'Underlying Mechanics'!$B$8&lt;0,0,'Underlying Mechanics'!$B$22*'Underlying Mechanics'!$B$15*INDEX('Underlying Mechanics'!$B$31:$B$51,R$1-'Underlying Mechanics'!$B$8+1)*'Underlying Mechanics'!$B$5))*(1-$A70))-IF(R$1=0,'Underlying Mechanics'!$B$23*(1-$B70),0)-IF(R$1&gt;0,'Underlying Mechanics'!$B$22*'Underlying Mechanics'!$B$17,0)-IF(R$1&gt;0,'Underlying Mechanics'!$B$12*'Underlying Mechanics'!$B$18,0)</x:f>
        <x:v>61500</x:v>
      </x:c>
      <x:c r="S70" t="n">
        <x:f>((IF(S$1-'Underlying Mechanics'!$B$8&lt;0,0,'Underlying Mechanics'!$B$22*'Underlying Mechanics'!$B$15*INDEX('Underlying Mechanics'!$B$31:$B$51,S$1-'Underlying Mechanics'!$B$8+1)*'Underlying Mechanics'!$B$5))*(1-$A70))-IF(S$1=0,'Underlying Mechanics'!$B$23*(1-$B70),0)-IF(S$1&gt;0,'Underlying Mechanics'!$B$22*'Underlying Mechanics'!$B$17,0)-IF(S$1&gt;0,'Underlying Mechanics'!$B$12*'Underlying Mechanics'!$B$18,0)</x:f>
        <x:v>61500</x:v>
      </x:c>
      <x:c r="T70" t="n">
        <x:f>((IF(T$1-'Underlying Mechanics'!$B$8&lt;0,0,'Underlying Mechanics'!$B$22*'Underlying Mechanics'!$B$15*INDEX('Underlying Mechanics'!$B$31:$B$51,T$1-'Underlying Mechanics'!$B$8+1)*'Underlying Mechanics'!$B$5))*(1-$A70))-IF(T$1=0,'Underlying Mechanics'!$B$23*(1-$B70),0)-IF(T$1&gt;0,'Underlying Mechanics'!$B$22*'Underlying Mechanics'!$B$17,0)-IF(T$1&gt;0,'Underlying Mechanics'!$B$12*'Underlying Mechanics'!$B$18,0)</x:f>
        <x:v>61500</x:v>
      </x:c>
      <x:c r="U70" t="n">
        <x:f>((IF(U$1-'Underlying Mechanics'!$B$8&lt;0,0,'Underlying Mechanics'!$B$22*'Underlying Mechanics'!$B$15*INDEX('Underlying Mechanics'!$B$31:$B$51,U$1-'Underlying Mechanics'!$B$8+1)*'Underlying Mechanics'!$B$5))*(1-$A70))-IF(U$1=0,'Underlying Mechanics'!$B$23*(1-$B70),0)-IF(U$1&gt;0,'Underlying Mechanics'!$B$22*'Underlying Mechanics'!$B$17,0)-IF(U$1&gt;0,'Underlying Mechanics'!$B$12*'Underlying Mechanics'!$B$18,0)</x:f>
        <x:v>61500</x:v>
      </x:c>
      <x:c r="V70" t="n">
        <x:f>((IF(V$1-'Underlying Mechanics'!$B$8&lt;0,0,'Underlying Mechanics'!$B$22*'Underlying Mechanics'!$B$15*INDEX('Underlying Mechanics'!$B$31:$B$51,V$1-'Underlying Mechanics'!$B$8+1)*'Underlying Mechanics'!$B$5))*(1-$A70))-IF(V$1=0,'Underlying Mechanics'!$B$23*(1-$B70),0)-IF(V$1&gt;0,'Underlying Mechanics'!$B$22*'Underlying Mechanics'!$B$17,0)-IF(V$1&gt;0,'Underlying Mechanics'!$B$12*'Underlying Mechanics'!$B$18,0)</x:f>
        <x:v>61500</x:v>
      </x:c>
      <x:c r="W70" t="n">
        <x:f>((IF(W$1-'Underlying Mechanics'!$B$8&lt;0,0,'Underlying Mechanics'!$B$22*'Underlying Mechanics'!$B$15*INDEX('Underlying Mechanics'!$B$31:$B$51,W$1-'Underlying Mechanics'!$B$8+1)*'Underlying Mechanics'!$B$5))*(1-$A70))-IF(W$1=0,'Underlying Mechanics'!$B$23*(1-$B70),0)-IF(W$1&gt;0,'Underlying Mechanics'!$B$22*'Underlying Mechanics'!$B$17,0)-IF(W$1&gt;0,'Underlying Mechanics'!$B$12*'Underlying Mechanics'!$B$18,0)</x:f>
        <x:v>61500</x:v>
      </x:c>
      <x:c r="X70" t="n">
        <x:f>IFERROR(IRR(C70:W70),-1)</x:f>
        <x:v>0.08727079868081485</x:v>
      </x:c>
    </x:row>
    <x:row r="71">
      <x:c r="A71" t="n">
        <x:v>0.3</x:v>
      </x:c>
      <x:c r="B71" t="n">
        <x:v>0.3</x:v>
      </x:c>
      <x:c r="C71" t="n">
        <x:f>((IF(C$1-'Underlying Mechanics'!$B$8&lt;0,0,'Underlying Mechanics'!$B$22*'Underlying Mechanics'!$B$15*INDEX('Underlying Mechanics'!$B$31:$B$51,C$1-'Underlying Mechanics'!$B$8+1)*'Underlying Mechanics'!$B$5))*(1-$A71))-IF(C$1=0,'Underlying Mechanics'!$B$23*(1-$B71),0)-IF(C$1&gt;0,'Underlying Mechanics'!$B$22*'Underlying Mechanics'!$B$17,0)-IF(C$1&gt;0,'Underlying Mechanics'!$B$12*'Underlying Mechanics'!$B$18,0)</x:f>
        <x:v>-105000</x:v>
      </x:c>
      <x:c r="D71" t="n">
        <x:f>((IF(D$1-'Underlying Mechanics'!$B$8&lt;0,0,'Underlying Mechanics'!$B$22*'Underlying Mechanics'!$B$15*INDEX('Underlying Mechanics'!$B$31:$B$51,D$1-'Underlying Mechanics'!$B$8+1)*'Underlying Mechanics'!$B$5))*(1-$A71))-IF(D$1=0,'Underlying Mechanics'!$B$23*(1-$B71),0)-IF(D$1&gt;0,'Underlying Mechanics'!$B$22*'Underlying Mechanics'!$B$17,0)-IF(D$1&gt;0,'Underlying Mechanics'!$B$12*'Underlying Mechanics'!$B$18,0)</x:f>
        <x:v>-22500</x:v>
      </x:c>
      <x:c r="E71" t="n">
        <x:f>((IF(E$1-'Underlying Mechanics'!$B$8&lt;0,0,'Underlying Mechanics'!$B$22*'Underlying Mechanics'!$B$15*INDEX('Underlying Mechanics'!$B$31:$B$51,E$1-'Underlying Mechanics'!$B$8+1)*'Underlying Mechanics'!$B$5))*(1-$A71))-IF(E$1=0,'Underlying Mechanics'!$B$23*(1-$B71),0)-IF(E$1&gt;0,'Underlying Mechanics'!$B$22*'Underlying Mechanics'!$B$17,0)-IF(E$1&gt;0,'Underlying Mechanics'!$B$12*'Underlying Mechanics'!$B$18,0)</x:f>
        <x:v>-22500</x:v>
      </x:c>
      <x:c r="F71" t="n">
        <x:f>((IF(F$1-'Underlying Mechanics'!$B$8&lt;0,0,'Underlying Mechanics'!$B$22*'Underlying Mechanics'!$B$15*INDEX('Underlying Mechanics'!$B$31:$B$51,F$1-'Underlying Mechanics'!$B$8+1)*'Underlying Mechanics'!$B$5))*(1-$A71))-IF(F$1=0,'Underlying Mechanics'!$B$23*(1-$B71),0)-IF(F$1&gt;0,'Underlying Mechanics'!$B$22*'Underlying Mechanics'!$B$17,0)-IF(F$1&gt;0,'Underlying Mechanics'!$B$12*'Underlying Mechanics'!$B$18,0)</x:f>
        <x:v>-20820</x:v>
      </x:c>
      <x:c r="G71" t="n">
        <x:f>((IF(G$1-'Underlying Mechanics'!$B$8&lt;0,0,'Underlying Mechanics'!$B$22*'Underlying Mechanics'!$B$15*INDEX('Underlying Mechanics'!$B$31:$B$51,G$1-'Underlying Mechanics'!$B$8+1)*'Underlying Mechanics'!$B$5))*(1-$A71))-IF(G$1=0,'Underlying Mechanics'!$B$23*(1-$B71),0)-IF(G$1&gt;0,'Underlying Mechanics'!$B$22*'Underlying Mechanics'!$B$17,0)-IF(G$1&gt;0,'Underlying Mechanics'!$B$12*'Underlying Mechanics'!$B$18,0)</x:f>
        <x:v>-18300</x:v>
      </x:c>
      <x:c r="H71" t="n">
        <x:f>((IF(H$1-'Underlying Mechanics'!$B$8&lt;0,0,'Underlying Mechanics'!$B$22*'Underlying Mechanics'!$B$15*INDEX('Underlying Mechanics'!$B$31:$B$51,H$1-'Underlying Mechanics'!$B$8+1)*'Underlying Mechanics'!$B$5))*(1-$A71))-IF(H$1=0,'Underlying Mechanics'!$B$23*(1-$B71),0)-IF(H$1&gt;0,'Underlying Mechanics'!$B$22*'Underlying Mechanics'!$B$17,0)-IF(H$1&gt;0,'Underlying Mechanics'!$B$12*'Underlying Mechanics'!$B$18,0)</x:f>
        <x:v>-14100</x:v>
      </x:c>
      <x:c r="I71" t="n">
        <x:f>((IF(I$1-'Underlying Mechanics'!$B$8&lt;0,0,'Underlying Mechanics'!$B$22*'Underlying Mechanics'!$B$15*INDEX('Underlying Mechanics'!$B$31:$B$51,I$1-'Underlying Mechanics'!$B$8+1)*'Underlying Mechanics'!$B$5))*(1-$A71))-IF(I$1=0,'Underlying Mechanics'!$B$23*(1-$B71),0)-IF(I$1&gt;0,'Underlying Mechanics'!$B$22*'Underlying Mechanics'!$B$17,0)-IF(I$1&gt;0,'Underlying Mechanics'!$B$12*'Underlying Mechanics'!$B$18,0)</x:f>
        <x:v>-7380.000000000002</x:v>
      </x:c>
      <x:c r="J71" t="n">
        <x:f>((IF(J$1-'Underlying Mechanics'!$B$8&lt;0,0,'Underlying Mechanics'!$B$22*'Underlying Mechanics'!$B$15*INDEX('Underlying Mechanics'!$B$31:$B$51,J$1-'Underlying Mechanics'!$B$8+1)*'Underlying Mechanics'!$B$5))*(1-$A71))-IF(J$1=0,'Underlying Mechanics'!$B$23*(1-$B71),0)-IF(J$1&gt;0,'Underlying Mechanics'!$B$22*'Underlying Mechanics'!$B$17,0)-IF(J$1&gt;0,'Underlying Mechanics'!$B$12*'Underlying Mechanics'!$B$18,0)</x:f>
        <x:v>1020.0000000000036</x:v>
      </x:c>
      <x:c r="K71" t="n">
        <x:f>((IF(K$1-'Underlying Mechanics'!$B$8&lt;0,0,'Underlying Mechanics'!$B$22*'Underlying Mechanics'!$B$15*INDEX('Underlying Mechanics'!$B$31:$B$51,K$1-'Underlying Mechanics'!$B$8+1)*'Underlying Mechanics'!$B$5))*(1-$A71))-IF(K$1=0,'Underlying Mechanics'!$B$23*(1-$B71),0)-IF(K$1&gt;0,'Underlying Mechanics'!$B$22*'Underlying Mechanics'!$B$17,0)-IF(K$1&gt;0,'Underlying Mechanics'!$B$12*'Underlying Mechanics'!$B$18,0)</x:f>
        <x:v>11100</x:v>
      </x:c>
      <x:c r="L71" t="n">
        <x:f>((IF(L$1-'Underlying Mechanics'!$B$8&lt;0,0,'Underlying Mechanics'!$B$22*'Underlying Mechanics'!$B$15*INDEX('Underlying Mechanics'!$B$31:$B$51,L$1-'Underlying Mechanics'!$B$8+1)*'Underlying Mechanics'!$B$5))*(1-$A71))-IF(L$1=0,'Underlying Mechanics'!$B$23*(1-$B71),0)-IF(L$1&gt;0,'Underlying Mechanics'!$B$22*'Underlying Mechanics'!$B$17,0)-IF(L$1&gt;0,'Underlying Mechanics'!$B$12*'Underlying Mechanics'!$B$18,0)</x:f>
        <x:v>22860</x:v>
      </x:c>
      <x:c r="M71" t="n">
        <x:f>((IF(M$1-'Underlying Mechanics'!$B$8&lt;0,0,'Underlying Mechanics'!$B$22*'Underlying Mechanics'!$B$15*INDEX('Underlying Mechanics'!$B$31:$B$51,M$1-'Underlying Mechanics'!$B$8+1)*'Underlying Mechanics'!$B$5))*(1-$A71))-IF(M$1=0,'Underlying Mechanics'!$B$23*(1-$B71),0)-IF(M$1&gt;0,'Underlying Mechanics'!$B$22*'Underlying Mechanics'!$B$17,0)-IF(M$1&gt;0,'Underlying Mechanics'!$B$12*'Underlying Mechanics'!$B$18,0)</x:f>
        <x:v>34620.00000000001</x:v>
      </x:c>
      <x:c r="N71" t="n">
        <x:f>((IF(N$1-'Underlying Mechanics'!$B$8&lt;0,0,'Underlying Mechanics'!$B$22*'Underlying Mechanics'!$B$15*INDEX('Underlying Mechanics'!$B$31:$B$51,N$1-'Underlying Mechanics'!$B$8+1)*'Underlying Mechanics'!$B$5))*(1-$A71))-IF(N$1=0,'Underlying Mechanics'!$B$23*(1-$B71),0)-IF(N$1&gt;0,'Underlying Mechanics'!$B$22*'Underlying Mechanics'!$B$17,0)-IF(N$1&gt;0,'Underlying Mechanics'!$B$12*'Underlying Mechanics'!$B$18,0)</x:f>
        <x:v>44700</x:v>
      </x:c>
      <x:c r="O71" t="n">
        <x:f>((IF(O$1-'Underlying Mechanics'!$B$8&lt;0,0,'Underlying Mechanics'!$B$22*'Underlying Mechanics'!$B$15*INDEX('Underlying Mechanics'!$B$31:$B$51,O$1-'Underlying Mechanics'!$B$8+1)*'Underlying Mechanics'!$B$5))*(1-$A71))-IF(O$1=0,'Underlying Mechanics'!$B$23*(1-$B71),0)-IF(O$1&gt;0,'Underlying Mechanics'!$B$22*'Underlying Mechanics'!$B$17,0)-IF(O$1&gt;0,'Underlying Mechanics'!$B$12*'Underlying Mechanics'!$B$18,0)</x:f>
        <x:v>53100</x:v>
      </x:c>
      <x:c r="P71" t="n">
        <x:f>((IF(P$1-'Underlying Mechanics'!$B$8&lt;0,0,'Underlying Mechanics'!$B$22*'Underlying Mechanics'!$B$15*INDEX('Underlying Mechanics'!$B$31:$B$51,P$1-'Underlying Mechanics'!$B$8+1)*'Underlying Mechanics'!$B$5))*(1-$A71))-IF(P$1=0,'Underlying Mechanics'!$B$23*(1-$B71),0)-IF(P$1&gt;0,'Underlying Mechanics'!$B$22*'Underlying Mechanics'!$B$17,0)-IF(P$1&gt;0,'Underlying Mechanics'!$B$12*'Underlying Mechanics'!$B$18,0)</x:f>
        <x:v>61500</x:v>
      </x:c>
      <x:c r="Q71" t="n">
        <x:f>((IF(Q$1-'Underlying Mechanics'!$B$8&lt;0,0,'Underlying Mechanics'!$B$22*'Underlying Mechanics'!$B$15*INDEX('Underlying Mechanics'!$B$31:$B$51,Q$1-'Underlying Mechanics'!$B$8+1)*'Underlying Mechanics'!$B$5))*(1-$A71))-IF(Q$1=0,'Underlying Mechanics'!$B$23*(1-$B71),0)-IF(Q$1&gt;0,'Underlying Mechanics'!$B$22*'Underlying Mechanics'!$B$17,0)-IF(Q$1&gt;0,'Underlying Mechanics'!$B$12*'Underlying Mechanics'!$B$18,0)</x:f>
        <x:v>61500</x:v>
      </x:c>
      <x:c r="R71" t="n">
        <x:f>((IF(R$1-'Underlying Mechanics'!$B$8&lt;0,0,'Underlying Mechanics'!$B$22*'Underlying Mechanics'!$B$15*INDEX('Underlying Mechanics'!$B$31:$B$51,R$1-'Underlying Mechanics'!$B$8+1)*'Underlying Mechanics'!$B$5))*(1-$A71))-IF(R$1=0,'Underlying Mechanics'!$B$23*(1-$B71),0)-IF(R$1&gt;0,'Underlying Mechanics'!$B$22*'Underlying Mechanics'!$B$17,0)-IF(R$1&gt;0,'Underlying Mechanics'!$B$12*'Underlying Mechanics'!$B$18,0)</x:f>
        <x:v>61500</x:v>
      </x:c>
      <x:c r="S71" t="n">
        <x:f>((IF(S$1-'Underlying Mechanics'!$B$8&lt;0,0,'Underlying Mechanics'!$B$22*'Underlying Mechanics'!$B$15*INDEX('Underlying Mechanics'!$B$31:$B$51,S$1-'Underlying Mechanics'!$B$8+1)*'Underlying Mechanics'!$B$5))*(1-$A71))-IF(S$1=0,'Underlying Mechanics'!$B$23*(1-$B71),0)-IF(S$1&gt;0,'Underlying Mechanics'!$B$22*'Underlying Mechanics'!$B$17,0)-IF(S$1&gt;0,'Underlying Mechanics'!$B$12*'Underlying Mechanics'!$B$18,0)</x:f>
        <x:v>61500</x:v>
      </x:c>
      <x:c r="T71" t="n">
        <x:f>((IF(T$1-'Underlying Mechanics'!$B$8&lt;0,0,'Underlying Mechanics'!$B$22*'Underlying Mechanics'!$B$15*INDEX('Underlying Mechanics'!$B$31:$B$51,T$1-'Underlying Mechanics'!$B$8+1)*'Underlying Mechanics'!$B$5))*(1-$A71))-IF(T$1=0,'Underlying Mechanics'!$B$23*(1-$B71),0)-IF(T$1&gt;0,'Underlying Mechanics'!$B$22*'Underlying Mechanics'!$B$17,0)-IF(T$1&gt;0,'Underlying Mechanics'!$B$12*'Underlying Mechanics'!$B$18,0)</x:f>
        <x:v>61500</x:v>
      </x:c>
      <x:c r="U71" t="n">
        <x:f>((IF(U$1-'Underlying Mechanics'!$B$8&lt;0,0,'Underlying Mechanics'!$B$22*'Underlying Mechanics'!$B$15*INDEX('Underlying Mechanics'!$B$31:$B$51,U$1-'Underlying Mechanics'!$B$8+1)*'Underlying Mechanics'!$B$5))*(1-$A71))-IF(U$1=0,'Underlying Mechanics'!$B$23*(1-$B71),0)-IF(U$1&gt;0,'Underlying Mechanics'!$B$22*'Underlying Mechanics'!$B$17,0)-IF(U$1&gt;0,'Underlying Mechanics'!$B$12*'Underlying Mechanics'!$B$18,0)</x:f>
        <x:v>61500</x:v>
      </x:c>
      <x:c r="V71" t="n">
        <x:f>((IF(V$1-'Underlying Mechanics'!$B$8&lt;0,0,'Underlying Mechanics'!$B$22*'Underlying Mechanics'!$B$15*INDEX('Underlying Mechanics'!$B$31:$B$51,V$1-'Underlying Mechanics'!$B$8+1)*'Underlying Mechanics'!$B$5))*(1-$A71))-IF(V$1=0,'Underlying Mechanics'!$B$23*(1-$B71),0)-IF(V$1&gt;0,'Underlying Mechanics'!$B$22*'Underlying Mechanics'!$B$17,0)-IF(V$1&gt;0,'Underlying Mechanics'!$B$12*'Underlying Mechanics'!$B$18,0)</x:f>
        <x:v>61500</x:v>
      </x:c>
      <x:c r="W71" t="n">
        <x:f>((IF(W$1-'Underlying Mechanics'!$B$8&lt;0,0,'Underlying Mechanics'!$B$22*'Underlying Mechanics'!$B$15*INDEX('Underlying Mechanics'!$B$31:$B$51,W$1-'Underlying Mechanics'!$B$8+1)*'Underlying Mechanics'!$B$5))*(1-$A71))-IF(W$1=0,'Underlying Mechanics'!$B$23*(1-$B71),0)-IF(W$1&gt;0,'Underlying Mechanics'!$B$22*'Underlying Mechanics'!$B$17,0)-IF(W$1&gt;0,'Underlying Mechanics'!$B$12*'Underlying Mechanics'!$B$18,0)</x:f>
        <x:v>61500</x:v>
      </x:c>
      <x:c r="X71" t="n">
        <x:f>IFERROR(IRR(C71:W71),-1)</x:f>
        <x:v>0.09059545377637054</x:v>
      </x:c>
    </x:row>
    <x:row r="72">
      <x:c r="A72" t="n">
        <x:v>0.3</x:v>
      </x:c>
      <x:c r="B72" t="n">
        <x:v>0.35</x:v>
      </x:c>
      <x:c r="C72" t="n">
        <x:f>((IF(C$1-'Underlying Mechanics'!$B$8&lt;0,0,'Underlying Mechanics'!$B$22*'Underlying Mechanics'!$B$15*INDEX('Underlying Mechanics'!$B$31:$B$51,C$1-'Underlying Mechanics'!$B$8+1)*'Underlying Mechanics'!$B$5))*(1-$A72))-IF(C$1=0,'Underlying Mechanics'!$B$23*(1-$B72),0)-IF(C$1&gt;0,'Underlying Mechanics'!$B$22*'Underlying Mechanics'!$B$17,0)-IF(C$1&gt;0,'Underlying Mechanics'!$B$12*'Underlying Mechanics'!$B$18,0)</x:f>
        <x:v>-97500</x:v>
      </x:c>
      <x:c r="D72" t="n">
        <x:f>((IF(D$1-'Underlying Mechanics'!$B$8&lt;0,0,'Underlying Mechanics'!$B$22*'Underlying Mechanics'!$B$15*INDEX('Underlying Mechanics'!$B$31:$B$51,D$1-'Underlying Mechanics'!$B$8+1)*'Underlying Mechanics'!$B$5))*(1-$A72))-IF(D$1=0,'Underlying Mechanics'!$B$23*(1-$B72),0)-IF(D$1&gt;0,'Underlying Mechanics'!$B$22*'Underlying Mechanics'!$B$17,0)-IF(D$1&gt;0,'Underlying Mechanics'!$B$12*'Underlying Mechanics'!$B$18,0)</x:f>
        <x:v>-22500</x:v>
      </x:c>
      <x:c r="E72" t="n">
        <x:f>((IF(E$1-'Underlying Mechanics'!$B$8&lt;0,0,'Underlying Mechanics'!$B$22*'Underlying Mechanics'!$B$15*INDEX('Underlying Mechanics'!$B$31:$B$51,E$1-'Underlying Mechanics'!$B$8+1)*'Underlying Mechanics'!$B$5))*(1-$A72))-IF(E$1=0,'Underlying Mechanics'!$B$23*(1-$B72),0)-IF(E$1&gt;0,'Underlying Mechanics'!$B$22*'Underlying Mechanics'!$B$17,0)-IF(E$1&gt;0,'Underlying Mechanics'!$B$12*'Underlying Mechanics'!$B$18,0)</x:f>
        <x:v>-22500</x:v>
      </x:c>
      <x:c r="F72" t="n">
        <x:f>((IF(F$1-'Underlying Mechanics'!$B$8&lt;0,0,'Underlying Mechanics'!$B$22*'Underlying Mechanics'!$B$15*INDEX('Underlying Mechanics'!$B$31:$B$51,F$1-'Underlying Mechanics'!$B$8+1)*'Underlying Mechanics'!$B$5))*(1-$A72))-IF(F$1=0,'Underlying Mechanics'!$B$23*(1-$B72),0)-IF(F$1&gt;0,'Underlying Mechanics'!$B$22*'Underlying Mechanics'!$B$17,0)-IF(F$1&gt;0,'Underlying Mechanics'!$B$12*'Underlying Mechanics'!$B$18,0)</x:f>
        <x:v>-20820</x:v>
      </x:c>
      <x:c r="G72" t="n">
        <x:f>((IF(G$1-'Underlying Mechanics'!$B$8&lt;0,0,'Underlying Mechanics'!$B$22*'Underlying Mechanics'!$B$15*INDEX('Underlying Mechanics'!$B$31:$B$51,G$1-'Underlying Mechanics'!$B$8+1)*'Underlying Mechanics'!$B$5))*(1-$A72))-IF(G$1=0,'Underlying Mechanics'!$B$23*(1-$B72),0)-IF(G$1&gt;0,'Underlying Mechanics'!$B$22*'Underlying Mechanics'!$B$17,0)-IF(G$1&gt;0,'Underlying Mechanics'!$B$12*'Underlying Mechanics'!$B$18,0)</x:f>
        <x:v>-18300</x:v>
      </x:c>
      <x:c r="H72" t="n">
        <x:f>((IF(H$1-'Underlying Mechanics'!$B$8&lt;0,0,'Underlying Mechanics'!$B$22*'Underlying Mechanics'!$B$15*INDEX('Underlying Mechanics'!$B$31:$B$51,H$1-'Underlying Mechanics'!$B$8+1)*'Underlying Mechanics'!$B$5))*(1-$A72))-IF(H$1=0,'Underlying Mechanics'!$B$23*(1-$B72),0)-IF(H$1&gt;0,'Underlying Mechanics'!$B$22*'Underlying Mechanics'!$B$17,0)-IF(H$1&gt;0,'Underlying Mechanics'!$B$12*'Underlying Mechanics'!$B$18,0)</x:f>
        <x:v>-14100</x:v>
      </x:c>
      <x:c r="I72" t="n">
        <x:f>((IF(I$1-'Underlying Mechanics'!$B$8&lt;0,0,'Underlying Mechanics'!$B$22*'Underlying Mechanics'!$B$15*INDEX('Underlying Mechanics'!$B$31:$B$51,I$1-'Underlying Mechanics'!$B$8+1)*'Underlying Mechanics'!$B$5))*(1-$A72))-IF(I$1=0,'Underlying Mechanics'!$B$23*(1-$B72),0)-IF(I$1&gt;0,'Underlying Mechanics'!$B$22*'Underlying Mechanics'!$B$17,0)-IF(I$1&gt;0,'Underlying Mechanics'!$B$12*'Underlying Mechanics'!$B$18,0)</x:f>
        <x:v>-7380.000000000002</x:v>
      </x:c>
      <x:c r="J72" t="n">
        <x:f>((IF(J$1-'Underlying Mechanics'!$B$8&lt;0,0,'Underlying Mechanics'!$B$22*'Underlying Mechanics'!$B$15*INDEX('Underlying Mechanics'!$B$31:$B$51,J$1-'Underlying Mechanics'!$B$8+1)*'Underlying Mechanics'!$B$5))*(1-$A72))-IF(J$1=0,'Underlying Mechanics'!$B$23*(1-$B72),0)-IF(J$1&gt;0,'Underlying Mechanics'!$B$22*'Underlying Mechanics'!$B$17,0)-IF(J$1&gt;0,'Underlying Mechanics'!$B$12*'Underlying Mechanics'!$B$18,0)</x:f>
        <x:v>1020.0000000000036</x:v>
      </x:c>
      <x:c r="K72" t="n">
        <x:f>((IF(K$1-'Underlying Mechanics'!$B$8&lt;0,0,'Underlying Mechanics'!$B$22*'Underlying Mechanics'!$B$15*INDEX('Underlying Mechanics'!$B$31:$B$51,K$1-'Underlying Mechanics'!$B$8+1)*'Underlying Mechanics'!$B$5))*(1-$A72))-IF(K$1=0,'Underlying Mechanics'!$B$23*(1-$B72),0)-IF(K$1&gt;0,'Underlying Mechanics'!$B$22*'Underlying Mechanics'!$B$17,0)-IF(K$1&gt;0,'Underlying Mechanics'!$B$12*'Underlying Mechanics'!$B$18,0)</x:f>
        <x:v>11100</x:v>
      </x:c>
      <x:c r="L72" t="n">
        <x:f>((IF(L$1-'Underlying Mechanics'!$B$8&lt;0,0,'Underlying Mechanics'!$B$22*'Underlying Mechanics'!$B$15*INDEX('Underlying Mechanics'!$B$31:$B$51,L$1-'Underlying Mechanics'!$B$8+1)*'Underlying Mechanics'!$B$5))*(1-$A72))-IF(L$1=0,'Underlying Mechanics'!$B$23*(1-$B72),0)-IF(L$1&gt;0,'Underlying Mechanics'!$B$22*'Underlying Mechanics'!$B$17,0)-IF(L$1&gt;0,'Underlying Mechanics'!$B$12*'Underlying Mechanics'!$B$18,0)</x:f>
        <x:v>22860</x:v>
      </x:c>
      <x:c r="M72" t="n">
        <x:f>((IF(M$1-'Underlying Mechanics'!$B$8&lt;0,0,'Underlying Mechanics'!$B$22*'Underlying Mechanics'!$B$15*INDEX('Underlying Mechanics'!$B$31:$B$51,M$1-'Underlying Mechanics'!$B$8+1)*'Underlying Mechanics'!$B$5))*(1-$A72))-IF(M$1=0,'Underlying Mechanics'!$B$23*(1-$B72),0)-IF(M$1&gt;0,'Underlying Mechanics'!$B$22*'Underlying Mechanics'!$B$17,0)-IF(M$1&gt;0,'Underlying Mechanics'!$B$12*'Underlying Mechanics'!$B$18,0)</x:f>
        <x:v>34620.00000000001</x:v>
      </x:c>
      <x:c r="N72" t="n">
        <x:f>((IF(N$1-'Underlying Mechanics'!$B$8&lt;0,0,'Underlying Mechanics'!$B$22*'Underlying Mechanics'!$B$15*INDEX('Underlying Mechanics'!$B$31:$B$51,N$1-'Underlying Mechanics'!$B$8+1)*'Underlying Mechanics'!$B$5))*(1-$A72))-IF(N$1=0,'Underlying Mechanics'!$B$23*(1-$B72),0)-IF(N$1&gt;0,'Underlying Mechanics'!$B$22*'Underlying Mechanics'!$B$17,0)-IF(N$1&gt;0,'Underlying Mechanics'!$B$12*'Underlying Mechanics'!$B$18,0)</x:f>
        <x:v>44700</x:v>
      </x:c>
      <x:c r="O72" t="n">
        <x:f>((IF(O$1-'Underlying Mechanics'!$B$8&lt;0,0,'Underlying Mechanics'!$B$22*'Underlying Mechanics'!$B$15*INDEX('Underlying Mechanics'!$B$31:$B$51,O$1-'Underlying Mechanics'!$B$8+1)*'Underlying Mechanics'!$B$5))*(1-$A72))-IF(O$1=0,'Underlying Mechanics'!$B$23*(1-$B72),0)-IF(O$1&gt;0,'Underlying Mechanics'!$B$22*'Underlying Mechanics'!$B$17,0)-IF(O$1&gt;0,'Underlying Mechanics'!$B$12*'Underlying Mechanics'!$B$18,0)</x:f>
        <x:v>53100</x:v>
      </x:c>
      <x:c r="P72" t="n">
        <x:f>((IF(P$1-'Underlying Mechanics'!$B$8&lt;0,0,'Underlying Mechanics'!$B$22*'Underlying Mechanics'!$B$15*INDEX('Underlying Mechanics'!$B$31:$B$51,P$1-'Underlying Mechanics'!$B$8+1)*'Underlying Mechanics'!$B$5))*(1-$A72))-IF(P$1=0,'Underlying Mechanics'!$B$23*(1-$B72),0)-IF(P$1&gt;0,'Underlying Mechanics'!$B$22*'Underlying Mechanics'!$B$17,0)-IF(P$1&gt;0,'Underlying Mechanics'!$B$12*'Underlying Mechanics'!$B$18,0)</x:f>
        <x:v>61500</x:v>
      </x:c>
      <x:c r="Q72" t="n">
        <x:f>((IF(Q$1-'Underlying Mechanics'!$B$8&lt;0,0,'Underlying Mechanics'!$B$22*'Underlying Mechanics'!$B$15*INDEX('Underlying Mechanics'!$B$31:$B$51,Q$1-'Underlying Mechanics'!$B$8+1)*'Underlying Mechanics'!$B$5))*(1-$A72))-IF(Q$1=0,'Underlying Mechanics'!$B$23*(1-$B72),0)-IF(Q$1&gt;0,'Underlying Mechanics'!$B$22*'Underlying Mechanics'!$B$17,0)-IF(Q$1&gt;0,'Underlying Mechanics'!$B$12*'Underlying Mechanics'!$B$18,0)</x:f>
        <x:v>61500</x:v>
      </x:c>
      <x:c r="R72" t="n">
        <x:f>((IF(R$1-'Underlying Mechanics'!$B$8&lt;0,0,'Underlying Mechanics'!$B$22*'Underlying Mechanics'!$B$15*INDEX('Underlying Mechanics'!$B$31:$B$51,R$1-'Underlying Mechanics'!$B$8+1)*'Underlying Mechanics'!$B$5))*(1-$A72))-IF(R$1=0,'Underlying Mechanics'!$B$23*(1-$B72),0)-IF(R$1&gt;0,'Underlying Mechanics'!$B$22*'Underlying Mechanics'!$B$17,0)-IF(R$1&gt;0,'Underlying Mechanics'!$B$12*'Underlying Mechanics'!$B$18,0)</x:f>
        <x:v>61500</x:v>
      </x:c>
      <x:c r="S72" t="n">
        <x:f>((IF(S$1-'Underlying Mechanics'!$B$8&lt;0,0,'Underlying Mechanics'!$B$22*'Underlying Mechanics'!$B$15*INDEX('Underlying Mechanics'!$B$31:$B$51,S$1-'Underlying Mechanics'!$B$8+1)*'Underlying Mechanics'!$B$5))*(1-$A72))-IF(S$1=0,'Underlying Mechanics'!$B$23*(1-$B72),0)-IF(S$1&gt;0,'Underlying Mechanics'!$B$22*'Underlying Mechanics'!$B$17,0)-IF(S$1&gt;0,'Underlying Mechanics'!$B$12*'Underlying Mechanics'!$B$18,0)</x:f>
        <x:v>61500</x:v>
      </x:c>
      <x:c r="T72" t="n">
        <x:f>((IF(T$1-'Underlying Mechanics'!$B$8&lt;0,0,'Underlying Mechanics'!$B$22*'Underlying Mechanics'!$B$15*INDEX('Underlying Mechanics'!$B$31:$B$51,T$1-'Underlying Mechanics'!$B$8+1)*'Underlying Mechanics'!$B$5))*(1-$A72))-IF(T$1=0,'Underlying Mechanics'!$B$23*(1-$B72),0)-IF(T$1&gt;0,'Underlying Mechanics'!$B$22*'Underlying Mechanics'!$B$17,0)-IF(T$1&gt;0,'Underlying Mechanics'!$B$12*'Underlying Mechanics'!$B$18,0)</x:f>
        <x:v>61500</x:v>
      </x:c>
      <x:c r="U72" t="n">
        <x:f>((IF(U$1-'Underlying Mechanics'!$B$8&lt;0,0,'Underlying Mechanics'!$B$22*'Underlying Mechanics'!$B$15*INDEX('Underlying Mechanics'!$B$31:$B$51,U$1-'Underlying Mechanics'!$B$8+1)*'Underlying Mechanics'!$B$5))*(1-$A72))-IF(U$1=0,'Underlying Mechanics'!$B$23*(1-$B72),0)-IF(U$1&gt;0,'Underlying Mechanics'!$B$22*'Underlying Mechanics'!$B$17,0)-IF(U$1&gt;0,'Underlying Mechanics'!$B$12*'Underlying Mechanics'!$B$18,0)</x:f>
        <x:v>61500</x:v>
      </x:c>
      <x:c r="V72" t="n">
        <x:f>((IF(V$1-'Underlying Mechanics'!$B$8&lt;0,0,'Underlying Mechanics'!$B$22*'Underlying Mechanics'!$B$15*INDEX('Underlying Mechanics'!$B$31:$B$51,V$1-'Underlying Mechanics'!$B$8+1)*'Underlying Mechanics'!$B$5))*(1-$A72))-IF(V$1=0,'Underlying Mechanics'!$B$23*(1-$B72),0)-IF(V$1&gt;0,'Underlying Mechanics'!$B$22*'Underlying Mechanics'!$B$17,0)-IF(V$1&gt;0,'Underlying Mechanics'!$B$12*'Underlying Mechanics'!$B$18,0)</x:f>
        <x:v>61500</x:v>
      </x:c>
      <x:c r="W72" t="n">
        <x:f>((IF(W$1-'Underlying Mechanics'!$B$8&lt;0,0,'Underlying Mechanics'!$B$22*'Underlying Mechanics'!$B$15*INDEX('Underlying Mechanics'!$B$31:$B$51,W$1-'Underlying Mechanics'!$B$8+1)*'Underlying Mechanics'!$B$5))*(1-$A72))-IF(W$1=0,'Underlying Mechanics'!$B$23*(1-$B72),0)-IF(W$1&gt;0,'Underlying Mechanics'!$B$22*'Underlying Mechanics'!$B$17,0)-IF(W$1&gt;0,'Underlying Mechanics'!$B$12*'Underlying Mechanics'!$B$18,0)</x:f>
        <x:v>61500</x:v>
      </x:c>
      <x:c r="X72" t="n">
        <x:f>IFERROR(IRR(C72:W72),-1)</x:f>
        <x:v>0.0941008745414421</x:v>
      </x:c>
    </x:row>
    <x:row r="73">
      <x:c r="A73" t="n">
        <x:v>0.3</x:v>
      </x:c>
      <x:c r="B73" t="n">
        <x:v>0.4</x:v>
      </x:c>
      <x:c r="C73" t="n">
        <x:f>((IF(C$1-'Underlying Mechanics'!$B$8&lt;0,0,'Underlying Mechanics'!$B$22*'Underlying Mechanics'!$B$15*INDEX('Underlying Mechanics'!$B$31:$B$51,C$1-'Underlying Mechanics'!$B$8+1)*'Underlying Mechanics'!$B$5))*(1-$A73))-IF(C$1=0,'Underlying Mechanics'!$B$23*(1-$B73),0)-IF(C$1&gt;0,'Underlying Mechanics'!$B$22*'Underlying Mechanics'!$B$17,0)-IF(C$1&gt;0,'Underlying Mechanics'!$B$12*'Underlying Mechanics'!$B$18,0)</x:f>
        <x:v>-90000</x:v>
      </x:c>
      <x:c r="D73" t="n">
        <x:f>((IF(D$1-'Underlying Mechanics'!$B$8&lt;0,0,'Underlying Mechanics'!$B$22*'Underlying Mechanics'!$B$15*INDEX('Underlying Mechanics'!$B$31:$B$51,D$1-'Underlying Mechanics'!$B$8+1)*'Underlying Mechanics'!$B$5))*(1-$A73))-IF(D$1=0,'Underlying Mechanics'!$B$23*(1-$B73),0)-IF(D$1&gt;0,'Underlying Mechanics'!$B$22*'Underlying Mechanics'!$B$17,0)-IF(D$1&gt;0,'Underlying Mechanics'!$B$12*'Underlying Mechanics'!$B$18,0)</x:f>
        <x:v>-22500</x:v>
      </x:c>
      <x:c r="E73" t="n">
        <x:f>((IF(E$1-'Underlying Mechanics'!$B$8&lt;0,0,'Underlying Mechanics'!$B$22*'Underlying Mechanics'!$B$15*INDEX('Underlying Mechanics'!$B$31:$B$51,E$1-'Underlying Mechanics'!$B$8+1)*'Underlying Mechanics'!$B$5))*(1-$A73))-IF(E$1=0,'Underlying Mechanics'!$B$23*(1-$B73),0)-IF(E$1&gt;0,'Underlying Mechanics'!$B$22*'Underlying Mechanics'!$B$17,0)-IF(E$1&gt;0,'Underlying Mechanics'!$B$12*'Underlying Mechanics'!$B$18,0)</x:f>
        <x:v>-22500</x:v>
      </x:c>
      <x:c r="F73" t="n">
        <x:f>((IF(F$1-'Underlying Mechanics'!$B$8&lt;0,0,'Underlying Mechanics'!$B$22*'Underlying Mechanics'!$B$15*INDEX('Underlying Mechanics'!$B$31:$B$51,F$1-'Underlying Mechanics'!$B$8+1)*'Underlying Mechanics'!$B$5))*(1-$A73))-IF(F$1=0,'Underlying Mechanics'!$B$23*(1-$B73),0)-IF(F$1&gt;0,'Underlying Mechanics'!$B$22*'Underlying Mechanics'!$B$17,0)-IF(F$1&gt;0,'Underlying Mechanics'!$B$12*'Underlying Mechanics'!$B$18,0)</x:f>
        <x:v>-20820</x:v>
      </x:c>
      <x:c r="G73" t="n">
        <x:f>((IF(G$1-'Underlying Mechanics'!$B$8&lt;0,0,'Underlying Mechanics'!$B$22*'Underlying Mechanics'!$B$15*INDEX('Underlying Mechanics'!$B$31:$B$51,G$1-'Underlying Mechanics'!$B$8+1)*'Underlying Mechanics'!$B$5))*(1-$A73))-IF(G$1=0,'Underlying Mechanics'!$B$23*(1-$B73),0)-IF(G$1&gt;0,'Underlying Mechanics'!$B$22*'Underlying Mechanics'!$B$17,0)-IF(G$1&gt;0,'Underlying Mechanics'!$B$12*'Underlying Mechanics'!$B$18,0)</x:f>
        <x:v>-18300</x:v>
      </x:c>
      <x:c r="H73" t="n">
        <x:f>((IF(H$1-'Underlying Mechanics'!$B$8&lt;0,0,'Underlying Mechanics'!$B$22*'Underlying Mechanics'!$B$15*INDEX('Underlying Mechanics'!$B$31:$B$51,H$1-'Underlying Mechanics'!$B$8+1)*'Underlying Mechanics'!$B$5))*(1-$A73))-IF(H$1=0,'Underlying Mechanics'!$B$23*(1-$B73),0)-IF(H$1&gt;0,'Underlying Mechanics'!$B$22*'Underlying Mechanics'!$B$17,0)-IF(H$1&gt;0,'Underlying Mechanics'!$B$12*'Underlying Mechanics'!$B$18,0)</x:f>
        <x:v>-14100</x:v>
      </x:c>
      <x:c r="I73" t="n">
        <x:f>((IF(I$1-'Underlying Mechanics'!$B$8&lt;0,0,'Underlying Mechanics'!$B$22*'Underlying Mechanics'!$B$15*INDEX('Underlying Mechanics'!$B$31:$B$51,I$1-'Underlying Mechanics'!$B$8+1)*'Underlying Mechanics'!$B$5))*(1-$A73))-IF(I$1=0,'Underlying Mechanics'!$B$23*(1-$B73),0)-IF(I$1&gt;0,'Underlying Mechanics'!$B$22*'Underlying Mechanics'!$B$17,0)-IF(I$1&gt;0,'Underlying Mechanics'!$B$12*'Underlying Mechanics'!$B$18,0)</x:f>
        <x:v>-7380.000000000002</x:v>
      </x:c>
      <x:c r="J73" t="n">
        <x:f>((IF(J$1-'Underlying Mechanics'!$B$8&lt;0,0,'Underlying Mechanics'!$B$22*'Underlying Mechanics'!$B$15*INDEX('Underlying Mechanics'!$B$31:$B$51,J$1-'Underlying Mechanics'!$B$8+1)*'Underlying Mechanics'!$B$5))*(1-$A73))-IF(J$1=0,'Underlying Mechanics'!$B$23*(1-$B73),0)-IF(J$1&gt;0,'Underlying Mechanics'!$B$22*'Underlying Mechanics'!$B$17,0)-IF(J$1&gt;0,'Underlying Mechanics'!$B$12*'Underlying Mechanics'!$B$18,0)</x:f>
        <x:v>1020.0000000000036</x:v>
      </x:c>
      <x:c r="K73" t="n">
        <x:f>((IF(K$1-'Underlying Mechanics'!$B$8&lt;0,0,'Underlying Mechanics'!$B$22*'Underlying Mechanics'!$B$15*INDEX('Underlying Mechanics'!$B$31:$B$51,K$1-'Underlying Mechanics'!$B$8+1)*'Underlying Mechanics'!$B$5))*(1-$A73))-IF(K$1=0,'Underlying Mechanics'!$B$23*(1-$B73),0)-IF(K$1&gt;0,'Underlying Mechanics'!$B$22*'Underlying Mechanics'!$B$17,0)-IF(K$1&gt;0,'Underlying Mechanics'!$B$12*'Underlying Mechanics'!$B$18,0)</x:f>
        <x:v>11100</x:v>
      </x:c>
      <x:c r="L73" t="n">
        <x:f>((IF(L$1-'Underlying Mechanics'!$B$8&lt;0,0,'Underlying Mechanics'!$B$22*'Underlying Mechanics'!$B$15*INDEX('Underlying Mechanics'!$B$31:$B$51,L$1-'Underlying Mechanics'!$B$8+1)*'Underlying Mechanics'!$B$5))*(1-$A73))-IF(L$1=0,'Underlying Mechanics'!$B$23*(1-$B73),0)-IF(L$1&gt;0,'Underlying Mechanics'!$B$22*'Underlying Mechanics'!$B$17,0)-IF(L$1&gt;0,'Underlying Mechanics'!$B$12*'Underlying Mechanics'!$B$18,0)</x:f>
        <x:v>22860</x:v>
      </x:c>
      <x:c r="M73" t="n">
        <x:f>((IF(M$1-'Underlying Mechanics'!$B$8&lt;0,0,'Underlying Mechanics'!$B$22*'Underlying Mechanics'!$B$15*INDEX('Underlying Mechanics'!$B$31:$B$51,M$1-'Underlying Mechanics'!$B$8+1)*'Underlying Mechanics'!$B$5))*(1-$A73))-IF(M$1=0,'Underlying Mechanics'!$B$23*(1-$B73),0)-IF(M$1&gt;0,'Underlying Mechanics'!$B$22*'Underlying Mechanics'!$B$17,0)-IF(M$1&gt;0,'Underlying Mechanics'!$B$12*'Underlying Mechanics'!$B$18,0)</x:f>
        <x:v>34620.00000000001</x:v>
      </x:c>
      <x:c r="N73" t="n">
        <x:f>((IF(N$1-'Underlying Mechanics'!$B$8&lt;0,0,'Underlying Mechanics'!$B$22*'Underlying Mechanics'!$B$15*INDEX('Underlying Mechanics'!$B$31:$B$51,N$1-'Underlying Mechanics'!$B$8+1)*'Underlying Mechanics'!$B$5))*(1-$A73))-IF(N$1=0,'Underlying Mechanics'!$B$23*(1-$B73),0)-IF(N$1&gt;0,'Underlying Mechanics'!$B$22*'Underlying Mechanics'!$B$17,0)-IF(N$1&gt;0,'Underlying Mechanics'!$B$12*'Underlying Mechanics'!$B$18,0)</x:f>
        <x:v>44700</x:v>
      </x:c>
      <x:c r="O73" t="n">
        <x:f>((IF(O$1-'Underlying Mechanics'!$B$8&lt;0,0,'Underlying Mechanics'!$B$22*'Underlying Mechanics'!$B$15*INDEX('Underlying Mechanics'!$B$31:$B$51,O$1-'Underlying Mechanics'!$B$8+1)*'Underlying Mechanics'!$B$5))*(1-$A73))-IF(O$1=0,'Underlying Mechanics'!$B$23*(1-$B73),0)-IF(O$1&gt;0,'Underlying Mechanics'!$B$22*'Underlying Mechanics'!$B$17,0)-IF(O$1&gt;0,'Underlying Mechanics'!$B$12*'Underlying Mechanics'!$B$18,0)</x:f>
        <x:v>53100</x:v>
      </x:c>
      <x:c r="P73" t="n">
        <x:f>((IF(P$1-'Underlying Mechanics'!$B$8&lt;0,0,'Underlying Mechanics'!$B$22*'Underlying Mechanics'!$B$15*INDEX('Underlying Mechanics'!$B$31:$B$51,P$1-'Underlying Mechanics'!$B$8+1)*'Underlying Mechanics'!$B$5))*(1-$A73))-IF(P$1=0,'Underlying Mechanics'!$B$23*(1-$B73),0)-IF(P$1&gt;0,'Underlying Mechanics'!$B$22*'Underlying Mechanics'!$B$17,0)-IF(P$1&gt;0,'Underlying Mechanics'!$B$12*'Underlying Mechanics'!$B$18,0)</x:f>
        <x:v>61500</x:v>
      </x:c>
      <x:c r="Q73" t="n">
        <x:f>((IF(Q$1-'Underlying Mechanics'!$B$8&lt;0,0,'Underlying Mechanics'!$B$22*'Underlying Mechanics'!$B$15*INDEX('Underlying Mechanics'!$B$31:$B$51,Q$1-'Underlying Mechanics'!$B$8+1)*'Underlying Mechanics'!$B$5))*(1-$A73))-IF(Q$1=0,'Underlying Mechanics'!$B$23*(1-$B73),0)-IF(Q$1&gt;0,'Underlying Mechanics'!$B$22*'Underlying Mechanics'!$B$17,0)-IF(Q$1&gt;0,'Underlying Mechanics'!$B$12*'Underlying Mechanics'!$B$18,0)</x:f>
        <x:v>61500</x:v>
      </x:c>
      <x:c r="R73" t="n">
        <x:f>((IF(R$1-'Underlying Mechanics'!$B$8&lt;0,0,'Underlying Mechanics'!$B$22*'Underlying Mechanics'!$B$15*INDEX('Underlying Mechanics'!$B$31:$B$51,R$1-'Underlying Mechanics'!$B$8+1)*'Underlying Mechanics'!$B$5))*(1-$A73))-IF(R$1=0,'Underlying Mechanics'!$B$23*(1-$B73),0)-IF(R$1&gt;0,'Underlying Mechanics'!$B$22*'Underlying Mechanics'!$B$17,0)-IF(R$1&gt;0,'Underlying Mechanics'!$B$12*'Underlying Mechanics'!$B$18,0)</x:f>
        <x:v>61500</x:v>
      </x:c>
      <x:c r="S73" t="n">
        <x:f>((IF(S$1-'Underlying Mechanics'!$B$8&lt;0,0,'Underlying Mechanics'!$B$22*'Underlying Mechanics'!$B$15*INDEX('Underlying Mechanics'!$B$31:$B$51,S$1-'Underlying Mechanics'!$B$8+1)*'Underlying Mechanics'!$B$5))*(1-$A73))-IF(S$1=0,'Underlying Mechanics'!$B$23*(1-$B73),0)-IF(S$1&gt;0,'Underlying Mechanics'!$B$22*'Underlying Mechanics'!$B$17,0)-IF(S$1&gt;0,'Underlying Mechanics'!$B$12*'Underlying Mechanics'!$B$18,0)</x:f>
        <x:v>61500</x:v>
      </x:c>
      <x:c r="T73" t="n">
        <x:f>((IF(T$1-'Underlying Mechanics'!$B$8&lt;0,0,'Underlying Mechanics'!$B$22*'Underlying Mechanics'!$B$15*INDEX('Underlying Mechanics'!$B$31:$B$51,T$1-'Underlying Mechanics'!$B$8+1)*'Underlying Mechanics'!$B$5))*(1-$A73))-IF(T$1=0,'Underlying Mechanics'!$B$23*(1-$B73),0)-IF(T$1&gt;0,'Underlying Mechanics'!$B$22*'Underlying Mechanics'!$B$17,0)-IF(T$1&gt;0,'Underlying Mechanics'!$B$12*'Underlying Mechanics'!$B$18,0)</x:f>
        <x:v>61500</x:v>
      </x:c>
      <x:c r="U73" t="n">
        <x:f>((IF(U$1-'Underlying Mechanics'!$B$8&lt;0,0,'Underlying Mechanics'!$B$22*'Underlying Mechanics'!$B$15*INDEX('Underlying Mechanics'!$B$31:$B$51,U$1-'Underlying Mechanics'!$B$8+1)*'Underlying Mechanics'!$B$5))*(1-$A73))-IF(U$1=0,'Underlying Mechanics'!$B$23*(1-$B73),0)-IF(U$1&gt;0,'Underlying Mechanics'!$B$22*'Underlying Mechanics'!$B$17,0)-IF(U$1&gt;0,'Underlying Mechanics'!$B$12*'Underlying Mechanics'!$B$18,0)</x:f>
        <x:v>61500</x:v>
      </x:c>
      <x:c r="V73" t="n">
        <x:f>((IF(V$1-'Underlying Mechanics'!$B$8&lt;0,0,'Underlying Mechanics'!$B$22*'Underlying Mechanics'!$B$15*INDEX('Underlying Mechanics'!$B$31:$B$51,V$1-'Underlying Mechanics'!$B$8+1)*'Underlying Mechanics'!$B$5))*(1-$A73))-IF(V$1=0,'Underlying Mechanics'!$B$23*(1-$B73),0)-IF(V$1&gt;0,'Underlying Mechanics'!$B$22*'Underlying Mechanics'!$B$17,0)-IF(V$1&gt;0,'Underlying Mechanics'!$B$12*'Underlying Mechanics'!$B$18,0)</x:f>
        <x:v>61500</x:v>
      </x:c>
      <x:c r="W73" t="n">
        <x:f>((IF(W$1-'Underlying Mechanics'!$B$8&lt;0,0,'Underlying Mechanics'!$B$22*'Underlying Mechanics'!$B$15*INDEX('Underlying Mechanics'!$B$31:$B$51,W$1-'Underlying Mechanics'!$B$8+1)*'Underlying Mechanics'!$B$5))*(1-$A73))-IF(W$1=0,'Underlying Mechanics'!$B$23*(1-$B73),0)-IF(W$1&gt;0,'Underlying Mechanics'!$B$22*'Underlying Mechanics'!$B$17,0)-IF(W$1&gt;0,'Underlying Mechanics'!$B$12*'Underlying Mechanics'!$B$18,0)</x:f>
        <x:v>61500</x:v>
      </x:c>
      <x:c r="X73" t="n">
        <x:f>IFERROR(IRR(C73:W73),-1)</x:f>
        <x:v>0.09780725049015614</x:v>
      </x:c>
    </x:row>
    <x:row r="74">
      <x:c r="A74" t="n">
        <x:v>0.3</x:v>
      </x:c>
      <x:c r="B74" t="n">
        <x:v>0.45</x:v>
      </x:c>
      <x:c r="C74" t="n">
        <x:f>((IF(C$1-'Underlying Mechanics'!$B$8&lt;0,0,'Underlying Mechanics'!$B$22*'Underlying Mechanics'!$B$15*INDEX('Underlying Mechanics'!$B$31:$B$51,C$1-'Underlying Mechanics'!$B$8+1)*'Underlying Mechanics'!$B$5))*(1-$A74))-IF(C$1=0,'Underlying Mechanics'!$B$23*(1-$B74),0)-IF(C$1&gt;0,'Underlying Mechanics'!$B$22*'Underlying Mechanics'!$B$17,0)-IF(C$1&gt;0,'Underlying Mechanics'!$B$12*'Underlying Mechanics'!$B$18,0)</x:f>
        <x:v>-82500</x:v>
      </x:c>
      <x:c r="D74" t="n">
        <x:f>((IF(D$1-'Underlying Mechanics'!$B$8&lt;0,0,'Underlying Mechanics'!$B$22*'Underlying Mechanics'!$B$15*INDEX('Underlying Mechanics'!$B$31:$B$51,D$1-'Underlying Mechanics'!$B$8+1)*'Underlying Mechanics'!$B$5))*(1-$A74))-IF(D$1=0,'Underlying Mechanics'!$B$23*(1-$B74),0)-IF(D$1&gt;0,'Underlying Mechanics'!$B$22*'Underlying Mechanics'!$B$17,0)-IF(D$1&gt;0,'Underlying Mechanics'!$B$12*'Underlying Mechanics'!$B$18,0)</x:f>
        <x:v>-22500</x:v>
      </x:c>
      <x:c r="E74" t="n">
        <x:f>((IF(E$1-'Underlying Mechanics'!$B$8&lt;0,0,'Underlying Mechanics'!$B$22*'Underlying Mechanics'!$B$15*INDEX('Underlying Mechanics'!$B$31:$B$51,E$1-'Underlying Mechanics'!$B$8+1)*'Underlying Mechanics'!$B$5))*(1-$A74))-IF(E$1=0,'Underlying Mechanics'!$B$23*(1-$B74),0)-IF(E$1&gt;0,'Underlying Mechanics'!$B$22*'Underlying Mechanics'!$B$17,0)-IF(E$1&gt;0,'Underlying Mechanics'!$B$12*'Underlying Mechanics'!$B$18,0)</x:f>
        <x:v>-22500</x:v>
      </x:c>
      <x:c r="F74" t="n">
        <x:f>((IF(F$1-'Underlying Mechanics'!$B$8&lt;0,0,'Underlying Mechanics'!$B$22*'Underlying Mechanics'!$B$15*INDEX('Underlying Mechanics'!$B$31:$B$51,F$1-'Underlying Mechanics'!$B$8+1)*'Underlying Mechanics'!$B$5))*(1-$A74))-IF(F$1=0,'Underlying Mechanics'!$B$23*(1-$B74),0)-IF(F$1&gt;0,'Underlying Mechanics'!$B$22*'Underlying Mechanics'!$B$17,0)-IF(F$1&gt;0,'Underlying Mechanics'!$B$12*'Underlying Mechanics'!$B$18,0)</x:f>
        <x:v>-20820</x:v>
      </x:c>
      <x:c r="G74" t="n">
        <x:f>((IF(G$1-'Underlying Mechanics'!$B$8&lt;0,0,'Underlying Mechanics'!$B$22*'Underlying Mechanics'!$B$15*INDEX('Underlying Mechanics'!$B$31:$B$51,G$1-'Underlying Mechanics'!$B$8+1)*'Underlying Mechanics'!$B$5))*(1-$A74))-IF(G$1=0,'Underlying Mechanics'!$B$23*(1-$B74),0)-IF(G$1&gt;0,'Underlying Mechanics'!$B$22*'Underlying Mechanics'!$B$17,0)-IF(G$1&gt;0,'Underlying Mechanics'!$B$12*'Underlying Mechanics'!$B$18,0)</x:f>
        <x:v>-18300</x:v>
      </x:c>
      <x:c r="H74" t="n">
        <x:f>((IF(H$1-'Underlying Mechanics'!$B$8&lt;0,0,'Underlying Mechanics'!$B$22*'Underlying Mechanics'!$B$15*INDEX('Underlying Mechanics'!$B$31:$B$51,H$1-'Underlying Mechanics'!$B$8+1)*'Underlying Mechanics'!$B$5))*(1-$A74))-IF(H$1=0,'Underlying Mechanics'!$B$23*(1-$B74),0)-IF(H$1&gt;0,'Underlying Mechanics'!$B$22*'Underlying Mechanics'!$B$17,0)-IF(H$1&gt;0,'Underlying Mechanics'!$B$12*'Underlying Mechanics'!$B$18,0)</x:f>
        <x:v>-14100</x:v>
      </x:c>
      <x:c r="I74" t="n">
        <x:f>((IF(I$1-'Underlying Mechanics'!$B$8&lt;0,0,'Underlying Mechanics'!$B$22*'Underlying Mechanics'!$B$15*INDEX('Underlying Mechanics'!$B$31:$B$51,I$1-'Underlying Mechanics'!$B$8+1)*'Underlying Mechanics'!$B$5))*(1-$A74))-IF(I$1=0,'Underlying Mechanics'!$B$23*(1-$B74),0)-IF(I$1&gt;0,'Underlying Mechanics'!$B$22*'Underlying Mechanics'!$B$17,0)-IF(I$1&gt;0,'Underlying Mechanics'!$B$12*'Underlying Mechanics'!$B$18,0)</x:f>
        <x:v>-7380.000000000002</x:v>
      </x:c>
      <x:c r="J74" t="n">
        <x:f>((IF(J$1-'Underlying Mechanics'!$B$8&lt;0,0,'Underlying Mechanics'!$B$22*'Underlying Mechanics'!$B$15*INDEX('Underlying Mechanics'!$B$31:$B$51,J$1-'Underlying Mechanics'!$B$8+1)*'Underlying Mechanics'!$B$5))*(1-$A74))-IF(J$1=0,'Underlying Mechanics'!$B$23*(1-$B74),0)-IF(J$1&gt;0,'Underlying Mechanics'!$B$22*'Underlying Mechanics'!$B$17,0)-IF(J$1&gt;0,'Underlying Mechanics'!$B$12*'Underlying Mechanics'!$B$18,0)</x:f>
        <x:v>1020.0000000000036</x:v>
      </x:c>
      <x:c r="K74" t="n">
        <x:f>((IF(K$1-'Underlying Mechanics'!$B$8&lt;0,0,'Underlying Mechanics'!$B$22*'Underlying Mechanics'!$B$15*INDEX('Underlying Mechanics'!$B$31:$B$51,K$1-'Underlying Mechanics'!$B$8+1)*'Underlying Mechanics'!$B$5))*(1-$A74))-IF(K$1=0,'Underlying Mechanics'!$B$23*(1-$B74),0)-IF(K$1&gt;0,'Underlying Mechanics'!$B$22*'Underlying Mechanics'!$B$17,0)-IF(K$1&gt;0,'Underlying Mechanics'!$B$12*'Underlying Mechanics'!$B$18,0)</x:f>
        <x:v>11100</x:v>
      </x:c>
      <x:c r="L74" t="n">
        <x:f>((IF(L$1-'Underlying Mechanics'!$B$8&lt;0,0,'Underlying Mechanics'!$B$22*'Underlying Mechanics'!$B$15*INDEX('Underlying Mechanics'!$B$31:$B$51,L$1-'Underlying Mechanics'!$B$8+1)*'Underlying Mechanics'!$B$5))*(1-$A74))-IF(L$1=0,'Underlying Mechanics'!$B$23*(1-$B74),0)-IF(L$1&gt;0,'Underlying Mechanics'!$B$22*'Underlying Mechanics'!$B$17,0)-IF(L$1&gt;0,'Underlying Mechanics'!$B$12*'Underlying Mechanics'!$B$18,0)</x:f>
        <x:v>22860</x:v>
      </x:c>
      <x:c r="M74" t="n">
        <x:f>((IF(M$1-'Underlying Mechanics'!$B$8&lt;0,0,'Underlying Mechanics'!$B$22*'Underlying Mechanics'!$B$15*INDEX('Underlying Mechanics'!$B$31:$B$51,M$1-'Underlying Mechanics'!$B$8+1)*'Underlying Mechanics'!$B$5))*(1-$A74))-IF(M$1=0,'Underlying Mechanics'!$B$23*(1-$B74),0)-IF(M$1&gt;0,'Underlying Mechanics'!$B$22*'Underlying Mechanics'!$B$17,0)-IF(M$1&gt;0,'Underlying Mechanics'!$B$12*'Underlying Mechanics'!$B$18,0)</x:f>
        <x:v>34620.00000000001</x:v>
      </x:c>
      <x:c r="N74" t="n">
        <x:f>((IF(N$1-'Underlying Mechanics'!$B$8&lt;0,0,'Underlying Mechanics'!$B$22*'Underlying Mechanics'!$B$15*INDEX('Underlying Mechanics'!$B$31:$B$51,N$1-'Underlying Mechanics'!$B$8+1)*'Underlying Mechanics'!$B$5))*(1-$A74))-IF(N$1=0,'Underlying Mechanics'!$B$23*(1-$B74),0)-IF(N$1&gt;0,'Underlying Mechanics'!$B$22*'Underlying Mechanics'!$B$17,0)-IF(N$1&gt;0,'Underlying Mechanics'!$B$12*'Underlying Mechanics'!$B$18,0)</x:f>
        <x:v>44700</x:v>
      </x:c>
      <x:c r="O74" t="n">
        <x:f>((IF(O$1-'Underlying Mechanics'!$B$8&lt;0,0,'Underlying Mechanics'!$B$22*'Underlying Mechanics'!$B$15*INDEX('Underlying Mechanics'!$B$31:$B$51,O$1-'Underlying Mechanics'!$B$8+1)*'Underlying Mechanics'!$B$5))*(1-$A74))-IF(O$1=0,'Underlying Mechanics'!$B$23*(1-$B74),0)-IF(O$1&gt;0,'Underlying Mechanics'!$B$22*'Underlying Mechanics'!$B$17,0)-IF(O$1&gt;0,'Underlying Mechanics'!$B$12*'Underlying Mechanics'!$B$18,0)</x:f>
        <x:v>53100</x:v>
      </x:c>
      <x:c r="P74" t="n">
        <x:f>((IF(P$1-'Underlying Mechanics'!$B$8&lt;0,0,'Underlying Mechanics'!$B$22*'Underlying Mechanics'!$B$15*INDEX('Underlying Mechanics'!$B$31:$B$51,P$1-'Underlying Mechanics'!$B$8+1)*'Underlying Mechanics'!$B$5))*(1-$A74))-IF(P$1=0,'Underlying Mechanics'!$B$23*(1-$B74),0)-IF(P$1&gt;0,'Underlying Mechanics'!$B$22*'Underlying Mechanics'!$B$17,0)-IF(P$1&gt;0,'Underlying Mechanics'!$B$12*'Underlying Mechanics'!$B$18,0)</x:f>
        <x:v>61500</x:v>
      </x:c>
      <x:c r="Q74" t="n">
        <x:f>((IF(Q$1-'Underlying Mechanics'!$B$8&lt;0,0,'Underlying Mechanics'!$B$22*'Underlying Mechanics'!$B$15*INDEX('Underlying Mechanics'!$B$31:$B$51,Q$1-'Underlying Mechanics'!$B$8+1)*'Underlying Mechanics'!$B$5))*(1-$A74))-IF(Q$1=0,'Underlying Mechanics'!$B$23*(1-$B74),0)-IF(Q$1&gt;0,'Underlying Mechanics'!$B$22*'Underlying Mechanics'!$B$17,0)-IF(Q$1&gt;0,'Underlying Mechanics'!$B$12*'Underlying Mechanics'!$B$18,0)</x:f>
        <x:v>61500</x:v>
      </x:c>
      <x:c r="R74" t="n">
        <x:f>((IF(R$1-'Underlying Mechanics'!$B$8&lt;0,0,'Underlying Mechanics'!$B$22*'Underlying Mechanics'!$B$15*INDEX('Underlying Mechanics'!$B$31:$B$51,R$1-'Underlying Mechanics'!$B$8+1)*'Underlying Mechanics'!$B$5))*(1-$A74))-IF(R$1=0,'Underlying Mechanics'!$B$23*(1-$B74),0)-IF(R$1&gt;0,'Underlying Mechanics'!$B$22*'Underlying Mechanics'!$B$17,0)-IF(R$1&gt;0,'Underlying Mechanics'!$B$12*'Underlying Mechanics'!$B$18,0)</x:f>
        <x:v>61500</x:v>
      </x:c>
      <x:c r="S74" t="n">
        <x:f>((IF(S$1-'Underlying Mechanics'!$B$8&lt;0,0,'Underlying Mechanics'!$B$22*'Underlying Mechanics'!$B$15*INDEX('Underlying Mechanics'!$B$31:$B$51,S$1-'Underlying Mechanics'!$B$8+1)*'Underlying Mechanics'!$B$5))*(1-$A74))-IF(S$1=0,'Underlying Mechanics'!$B$23*(1-$B74),0)-IF(S$1&gt;0,'Underlying Mechanics'!$B$22*'Underlying Mechanics'!$B$17,0)-IF(S$1&gt;0,'Underlying Mechanics'!$B$12*'Underlying Mechanics'!$B$18,0)</x:f>
        <x:v>61500</x:v>
      </x:c>
      <x:c r="T74" t="n">
        <x:f>((IF(T$1-'Underlying Mechanics'!$B$8&lt;0,0,'Underlying Mechanics'!$B$22*'Underlying Mechanics'!$B$15*INDEX('Underlying Mechanics'!$B$31:$B$51,T$1-'Underlying Mechanics'!$B$8+1)*'Underlying Mechanics'!$B$5))*(1-$A74))-IF(T$1=0,'Underlying Mechanics'!$B$23*(1-$B74),0)-IF(T$1&gt;0,'Underlying Mechanics'!$B$22*'Underlying Mechanics'!$B$17,0)-IF(T$1&gt;0,'Underlying Mechanics'!$B$12*'Underlying Mechanics'!$B$18,0)</x:f>
        <x:v>61500</x:v>
      </x:c>
      <x:c r="U74" t="n">
        <x:f>((IF(U$1-'Underlying Mechanics'!$B$8&lt;0,0,'Underlying Mechanics'!$B$22*'Underlying Mechanics'!$B$15*INDEX('Underlying Mechanics'!$B$31:$B$51,U$1-'Underlying Mechanics'!$B$8+1)*'Underlying Mechanics'!$B$5))*(1-$A74))-IF(U$1=0,'Underlying Mechanics'!$B$23*(1-$B74),0)-IF(U$1&gt;0,'Underlying Mechanics'!$B$22*'Underlying Mechanics'!$B$17,0)-IF(U$1&gt;0,'Underlying Mechanics'!$B$12*'Underlying Mechanics'!$B$18,0)</x:f>
        <x:v>61500</x:v>
      </x:c>
      <x:c r="V74" t="n">
        <x:f>((IF(V$1-'Underlying Mechanics'!$B$8&lt;0,0,'Underlying Mechanics'!$B$22*'Underlying Mechanics'!$B$15*INDEX('Underlying Mechanics'!$B$31:$B$51,V$1-'Underlying Mechanics'!$B$8+1)*'Underlying Mechanics'!$B$5))*(1-$A74))-IF(V$1=0,'Underlying Mechanics'!$B$23*(1-$B74),0)-IF(V$1&gt;0,'Underlying Mechanics'!$B$22*'Underlying Mechanics'!$B$17,0)-IF(V$1&gt;0,'Underlying Mechanics'!$B$12*'Underlying Mechanics'!$B$18,0)</x:f>
        <x:v>61500</x:v>
      </x:c>
      <x:c r="W74" t="n">
        <x:f>((IF(W$1-'Underlying Mechanics'!$B$8&lt;0,0,'Underlying Mechanics'!$B$22*'Underlying Mechanics'!$B$15*INDEX('Underlying Mechanics'!$B$31:$B$51,W$1-'Underlying Mechanics'!$B$8+1)*'Underlying Mechanics'!$B$5))*(1-$A74))-IF(W$1=0,'Underlying Mechanics'!$B$23*(1-$B74),0)-IF(W$1&gt;0,'Underlying Mechanics'!$B$22*'Underlying Mechanics'!$B$17,0)-IF(W$1&gt;0,'Underlying Mechanics'!$B$12*'Underlying Mechanics'!$B$18,0)</x:f>
        <x:v>61500</x:v>
      </x:c>
      <x:c r="X74" t="n">
        <x:f>IFERROR(IRR(C74:W74),-1)</x:f>
        <x:v>0.10173834052658241</x:v>
      </x:c>
    </x:row>
    <x:row r="75">
      <x:c r="A75" t="n">
        <x:v>0.3</x:v>
      </x:c>
      <x:c r="B75" t="n">
        <x:v>0.5</x:v>
      </x:c>
      <x:c r="C75" t="n">
        <x:f>((IF(C$1-'Underlying Mechanics'!$B$8&lt;0,0,'Underlying Mechanics'!$B$22*'Underlying Mechanics'!$B$15*INDEX('Underlying Mechanics'!$B$31:$B$51,C$1-'Underlying Mechanics'!$B$8+1)*'Underlying Mechanics'!$B$5))*(1-$A75))-IF(C$1=0,'Underlying Mechanics'!$B$23*(1-$B75),0)-IF(C$1&gt;0,'Underlying Mechanics'!$B$22*'Underlying Mechanics'!$B$17,0)-IF(C$1&gt;0,'Underlying Mechanics'!$B$12*'Underlying Mechanics'!$B$18,0)</x:f>
        <x:v>-75000</x:v>
      </x:c>
      <x:c r="D75" t="n">
        <x:f>((IF(D$1-'Underlying Mechanics'!$B$8&lt;0,0,'Underlying Mechanics'!$B$22*'Underlying Mechanics'!$B$15*INDEX('Underlying Mechanics'!$B$31:$B$51,D$1-'Underlying Mechanics'!$B$8+1)*'Underlying Mechanics'!$B$5))*(1-$A75))-IF(D$1=0,'Underlying Mechanics'!$B$23*(1-$B75),0)-IF(D$1&gt;0,'Underlying Mechanics'!$B$22*'Underlying Mechanics'!$B$17,0)-IF(D$1&gt;0,'Underlying Mechanics'!$B$12*'Underlying Mechanics'!$B$18,0)</x:f>
        <x:v>-22500</x:v>
      </x:c>
      <x:c r="E75" t="n">
        <x:f>((IF(E$1-'Underlying Mechanics'!$B$8&lt;0,0,'Underlying Mechanics'!$B$22*'Underlying Mechanics'!$B$15*INDEX('Underlying Mechanics'!$B$31:$B$51,E$1-'Underlying Mechanics'!$B$8+1)*'Underlying Mechanics'!$B$5))*(1-$A75))-IF(E$1=0,'Underlying Mechanics'!$B$23*(1-$B75),0)-IF(E$1&gt;0,'Underlying Mechanics'!$B$22*'Underlying Mechanics'!$B$17,0)-IF(E$1&gt;0,'Underlying Mechanics'!$B$12*'Underlying Mechanics'!$B$18,0)</x:f>
        <x:v>-22500</x:v>
      </x:c>
      <x:c r="F75" t="n">
        <x:f>((IF(F$1-'Underlying Mechanics'!$B$8&lt;0,0,'Underlying Mechanics'!$B$22*'Underlying Mechanics'!$B$15*INDEX('Underlying Mechanics'!$B$31:$B$51,F$1-'Underlying Mechanics'!$B$8+1)*'Underlying Mechanics'!$B$5))*(1-$A75))-IF(F$1=0,'Underlying Mechanics'!$B$23*(1-$B75),0)-IF(F$1&gt;0,'Underlying Mechanics'!$B$22*'Underlying Mechanics'!$B$17,0)-IF(F$1&gt;0,'Underlying Mechanics'!$B$12*'Underlying Mechanics'!$B$18,0)</x:f>
        <x:v>-20820</x:v>
      </x:c>
      <x:c r="G75" t="n">
        <x:f>((IF(G$1-'Underlying Mechanics'!$B$8&lt;0,0,'Underlying Mechanics'!$B$22*'Underlying Mechanics'!$B$15*INDEX('Underlying Mechanics'!$B$31:$B$51,G$1-'Underlying Mechanics'!$B$8+1)*'Underlying Mechanics'!$B$5))*(1-$A75))-IF(G$1=0,'Underlying Mechanics'!$B$23*(1-$B75),0)-IF(G$1&gt;0,'Underlying Mechanics'!$B$22*'Underlying Mechanics'!$B$17,0)-IF(G$1&gt;0,'Underlying Mechanics'!$B$12*'Underlying Mechanics'!$B$18,0)</x:f>
        <x:v>-18300</x:v>
      </x:c>
      <x:c r="H75" t="n">
        <x:f>((IF(H$1-'Underlying Mechanics'!$B$8&lt;0,0,'Underlying Mechanics'!$B$22*'Underlying Mechanics'!$B$15*INDEX('Underlying Mechanics'!$B$31:$B$51,H$1-'Underlying Mechanics'!$B$8+1)*'Underlying Mechanics'!$B$5))*(1-$A75))-IF(H$1=0,'Underlying Mechanics'!$B$23*(1-$B75),0)-IF(H$1&gt;0,'Underlying Mechanics'!$B$22*'Underlying Mechanics'!$B$17,0)-IF(H$1&gt;0,'Underlying Mechanics'!$B$12*'Underlying Mechanics'!$B$18,0)</x:f>
        <x:v>-14100</x:v>
      </x:c>
      <x:c r="I75" t="n">
        <x:f>((IF(I$1-'Underlying Mechanics'!$B$8&lt;0,0,'Underlying Mechanics'!$B$22*'Underlying Mechanics'!$B$15*INDEX('Underlying Mechanics'!$B$31:$B$51,I$1-'Underlying Mechanics'!$B$8+1)*'Underlying Mechanics'!$B$5))*(1-$A75))-IF(I$1=0,'Underlying Mechanics'!$B$23*(1-$B75),0)-IF(I$1&gt;0,'Underlying Mechanics'!$B$22*'Underlying Mechanics'!$B$17,0)-IF(I$1&gt;0,'Underlying Mechanics'!$B$12*'Underlying Mechanics'!$B$18,0)</x:f>
        <x:v>-7380.000000000002</x:v>
      </x:c>
      <x:c r="J75" t="n">
        <x:f>((IF(J$1-'Underlying Mechanics'!$B$8&lt;0,0,'Underlying Mechanics'!$B$22*'Underlying Mechanics'!$B$15*INDEX('Underlying Mechanics'!$B$31:$B$51,J$1-'Underlying Mechanics'!$B$8+1)*'Underlying Mechanics'!$B$5))*(1-$A75))-IF(J$1=0,'Underlying Mechanics'!$B$23*(1-$B75),0)-IF(J$1&gt;0,'Underlying Mechanics'!$B$22*'Underlying Mechanics'!$B$17,0)-IF(J$1&gt;0,'Underlying Mechanics'!$B$12*'Underlying Mechanics'!$B$18,0)</x:f>
        <x:v>1020.0000000000036</x:v>
      </x:c>
      <x:c r="K75" t="n">
        <x:f>((IF(K$1-'Underlying Mechanics'!$B$8&lt;0,0,'Underlying Mechanics'!$B$22*'Underlying Mechanics'!$B$15*INDEX('Underlying Mechanics'!$B$31:$B$51,K$1-'Underlying Mechanics'!$B$8+1)*'Underlying Mechanics'!$B$5))*(1-$A75))-IF(K$1=0,'Underlying Mechanics'!$B$23*(1-$B75),0)-IF(K$1&gt;0,'Underlying Mechanics'!$B$22*'Underlying Mechanics'!$B$17,0)-IF(K$1&gt;0,'Underlying Mechanics'!$B$12*'Underlying Mechanics'!$B$18,0)</x:f>
        <x:v>11100</x:v>
      </x:c>
      <x:c r="L75" t="n">
        <x:f>((IF(L$1-'Underlying Mechanics'!$B$8&lt;0,0,'Underlying Mechanics'!$B$22*'Underlying Mechanics'!$B$15*INDEX('Underlying Mechanics'!$B$31:$B$51,L$1-'Underlying Mechanics'!$B$8+1)*'Underlying Mechanics'!$B$5))*(1-$A75))-IF(L$1=0,'Underlying Mechanics'!$B$23*(1-$B75),0)-IF(L$1&gt;0,'Underlying Mechanics'!$B$22*'Underlying Mechanics'!$B$17,0)-IF(L$1&gt;0,'Underlying Mechanics'!$B$12*'Underlying Mechanics'!$B$18,0)</x:f>
        <x:v>22860</x:v>
      </x:c>
      <x:c r="M75" t="n">
        <x:f>((IF(M$1-'Underlying Mechanics'!$B$8&lt;0,0,'Underlying Mechanics'!$B$22*'Underlying Mechanics'!$B$15*INDEX('Underlying Mechanics'!$B$31:$B$51,M$1-'Underlying Mechanics'!$B$8+1)*'Underlying Mechanics'!$B$5))*(1-$A75))-IF(M$1=0,'Underlying Mechanics'!$B$23*(1-$B75),0)-IF(M$1&gt;0,'Underlying Mechanics'!$B$22*'Underlying Mechanics'!$B$17,0)-IF(M$1&gt;0,'Underlying Mechanics'!$B$12*'Underlying Mechanics'!$B$18,0)</x:f>
        <x:v>34620.00000000001</x:v>
      </x:c>
      <x:c r="N75" t="n">
        <x:f>((IF(N$1-'Underlying Mechanics'!$B$8&lt;0,0,'Underlying Mechanics'!$B$22*'Underlying Mechanics'!$B$15*INDEX('Underlying Mechanics'!$B$31:$B$51,N$1-'Underlying Mechanics'!$B$8+1)*'Underlying Mechanics'!$B$5))*(1-$A75))-IF(N$1=0,'Underlying Mechanics'!$B$23*(1-$B75),0)-IF(N$1&gt;0,'Underlying Mechanics'!$B$22*'Underlying Mechanics'!$B$17,0)-IF(N$1&gt;0,'Underlying Mechanics'!$B$12*'Underlying Mechanics'!$B$18,0)</x:f>
        <x:v>44700</x:v>
      </x:c>
      <x:c r="O75" t="n">
        <x:f>((IF(O$1-'Underlying Mechanics'!$B$8&lt;0,0,'Underlying Mechanics'!$B$22*'Underlying Mechanics'!$B$15*INDEX('Underlying Mechanics'!$B$31:$B$51,O$1-'Underlying Mechanics'!$B$8+1)*'Underlying Mechanics'!$B$5))*(1-$A75))-IF(O$1=0,'Underlying Mechanics'!$B$23*(1-$B75),0)-IF(O$1&gt;0,'Underlying Mechanics'!$B$22*'Underlying Mechanics'!$B$17,0)-IF(O$1&gt;0,'Underlying Mechanics'!$B$12*'Underlying Mechanics'!$B$18,0)</x:f>
        <x:v>53100</x:v>
      </x:c>
      <x:c r="P75" t="n">
        <x:f>((IF(P$1-'Underlying Mechanics'!$B$8&lt;0,0,'Underlying Mechanics'!$B$22*'Underlying Mechanics'!$B$15*INDEX('Underlying Mechanics'!$B$31:$B$51,P$1-'Underlying Mechanics'!$B$8+1)*'Underlying Mechanics'!$B$5))*(1-$A75))-IF(P$1=0,'Underlying Mechanics'!$B$23*(1-$B75),0)-IF(P$1&gt;0,'Underlying Mechanics'!$B$22*'Underlying Mechanics'!$B$17,0)-IF(P$1&gt;0,'Underlying Mechanics'!$B$12*'Underlying Mechanics'!$B$18,0)</x:f>
        <x:v>61500</x:v>
      </x:c>
      <x:c r="Q75" t="n">
        <x:f>((IF(Q$1-'Underlying Mechanics'!$B$8&lt;0,0,'Underlying Mechanics'!$B$22*'Underlying Mechanics'!$B$15*INDEX('Underlying Mechanics'!$B$31:$B$51,Q$1-'Underlying Mechanics'!$B$8+1)*'Underlying Mechanics'!$B$5))*(1-$A75))-IF(Q$1=0,'Underlying Mechanics'!$B$23*(1-$B75),0)-IF(Q$1&gt;0,'Underlying Mechanics'!$B$22*'Underlying Mechanics'!$B$17,0)-IF(Q$1&gt;0,'Underlying Mechanics'!$B$12*'Underlying Mechanics'!$B$18,0)</x:f>
        <x:v>61500</x:v>
      </x:c>
      <x:c r="R75" t="n">
        <x:f>((IF(R$1-'Underlying Mechanics'!$B$8&lt;0,0,'Underlying Mechanics'!$B$22*'Underlying Mechanics'!$B$15*INDEX('Underlying Mechanics'!$B$31:$B$51,R$1-'Underlying Mechanics'!$B$8+1)*'Underlying Mechanics'!$B$5))*(1-$A75))-IF(R$1=0,'Underlying Mechanics'!$B$23*(1-$B75),0)-IF(R$1&gt;0,'Underlying Mechanics'!$B$22*'Underlying Mechanics'!$B$17,0)-IF(R$1&gt;0,'Underlying Mechanics'!$B$12*'Underlying Mechanics'!$B$18,0)</x:f>
        <x:v>61500</x:v>
      </x:c>
      <x:c r="S75" t="n">
        <x:f>((IF(S$1-'Underlying Mechanics'!$B$8&lt;0,0,'Underlying Mechanics'!$B$22*'Underlying Mechanics'!$B$15*INDEX('Underlying Mechanics'!$B$31:$B$51,S$1-'Underlying Mechanics'!$B$8+1)*'Underlying Mechanics'!$B$5))*(1-$A75))-IF(S$1=0,'Underlying Mechanics'!$B$23*(1-$B75),0)-IF(S$1&gt;0,'Underlying Mechanics'!$B$22*'Underlying Mechanics'!$B$17,0)-IF(S$1&gt;0,'Underlying Mechanics'!$B$12*'Underlying Mechanics'!$B$18,0)</x:f>
        <x:v>61500</x:v>
      </x:c>
      <x:c r="T75" t="n">
        <x:f>((IF(T$1-'Underlying Mechanics'!$B$8&lt;0,0,'Underlying Mechanics'!$B$22*'Underlying Mechanics'!$B$15*INDEX('Underlying Mechanics'!$B$31:$B$51,T$1-'Underlying Mechanics'!$B$8+1)*'Underlying Mechanics'!$B$5))*(1-$A75))-IF(T$1=0,'Underlying Mechanics'!$B$23*(1-$B75),0)-IF(T$1&gt;0,'Underlying Mechanics'!$B$22*'Underlying Mechanics'!$B$17,0)-IF(T$1&gt;0,'Underlying Mechanics'!$B$12*'Underlying Mechanics'!$B$18,0)</x:f>
        <x:v>61500</x:v>
      </x:c>
      <x:c r="U75" t="n">
        <x:f>((IF(U$1-'Underlying Mechanics'!$B$8&lt;0,0,'Underlying Mechanics'!$B$22*'Underlying Mechanics'!$B$15*INDEX('Underlying Mechanics'!$B$31:$B$51,U$1-'Underlying Mechanics'!$B$8+1)*'Underlying Mechanics'!$B$5))*(1-$A75))-IF(U$1=0,'Underlying Mechanics'!$B$23*(1-$B75),0)-IF(U$1&gt;0,'Underlying Mechanics'!$B$22*'Underlying Mechanics'!$B$17,0)-IF(U$1&gt;0,'Underlying Mechanics'!$B$12*'Underlying Mechanics'!$B$18,0)</x:f>
        <x:v>61500</x:v>
      </x:c>
      <x:c r="V75" t="n">
        <x:f>((IF(V$1-'Underlying Mechanics'!$B$8&lt;0,0,'Underlying Mechanics'!$B$22*'Underlying Mechanics'!$B$15*INDEX('Underlying Mechanics'!$B$31:$B$51,V$1-'Underlying Mechanics'!$B$8+1)*'Underlying Mechanics'!$B$5))*(1-$A75))-IF(V$1=0,'Underlying Mechanics'!$B$23*(1-$B75),0)-IF(V$1&gt;0,'Underlying Mechanics'!$B$22*'Underlying Mechanics'!$B$17,0)-IF(V$1&gt;0,'Underlying Mechanics'!$B$12*'Underlying Mechanics'!$B$18,0)</x:f>
        <x:v>61500</x:v>
      </x:c>
      <x:c r="W75" t="n">
        <x:f>((IF(W$1-'Underlying Mechanics'!$B$8&lt;0,0,'Underlying Mechanics'!$B$22*'Underlying Mechanics'!$B$15*INDEX('Underlying Mechanics'!$B$31:$B$51,W$1-'Underlying Mechanics'!$B$8+1)*'Underlying Mechanics'!$B$5))*(1-$A75))-IF(W$1=0,'Underlying Mechanics'!$B$23*(1-$B75),0)-IF(W$1&gt;0,'Underlying Mechanics'!$B$22*'Underlying Mechanics'!$B$17,0)-IF(W$1&gt;0,'Underlying Mechanics'!$B$12*'Underlying Mechanics'!$B$18,0)</x:f>
        <x:v>61500</x:v>
      </x:c>
      <x:c r="X75" t="n">
        <x:f>IFERROR(IRR(C75:W75),-1)</x:f>
        <x:v>0.10592236899172333</x:v>
      </x:c>
    </x:row>
    <x:row r="76">
      <x:c r="A76" t="n">
        <x:v>0.3</x:v>
      </x:c>
      <x:c r="B76" t="n">
        <x:v>0.55</x:v>
      </x:c>
      <x:c r="C76" t="n">
        <x:f>((IF(C$1-'Underlying Mechanics'!$B$8&lt;0,0,'Underlying Mechanics'!$B$22*'Underlying Mechanics'!$B$15*INDEX('Underlying Mechanics'!$B$31:$B$51,C$1-'Underlying Mechanics'!$B$8+1)*'Underlying Mechanics'!$B$5))*(1-$A76))-IF(C$1=0,'Underlying Mechanics'!$B$23*(1-$B76),0)-IF(C$1&gt;0,'Underlying Mechanics'!$B$22*'Underlying Mechanics'!$B$17,0)-IF(C$1&gt;0,'Underlying Mechanics'!$B$12*'Underlying Mechanics'!$B$18,0)</x:f>
        <x:v>-67500</x:v>
      </x:c>
      <x:c r="D76" t="n">
        <x:f>((IF(D$1-'Underlying Mechanics'!$B$8&lt;0,0,'Underlying Mechanics'!$B$22*'Underlying Mechanics'!$B$15*INDEX('Underlying Mechanics'!$B$31:$B$51,D$1-'Underlying Mechanics'!$B$8+1)*'Underlying Mechanics'!$B$5))*(1-$A76))-IF(D$1=0,'Underlying Mechanics'!$B$23*(1-$B76),0)-IF(D$1&gt;0,'Underlying Mechanics'!$B$22*'Underlying Mechanics'!$B$17,0)-IF(D$1&gt;0,'Underlying Mechanics'!$B$12*'Underlying Mechanics'!$B$18,0)</x:f>
        <x:v>-22500</x:v>
      </x:c>
      <x:c r="E76" t="n">
        <x:f>((IF(E$1-'Underlying Mechanics'!$B$8&lt;0,0,'Underlying Mechanics'!$B$22*'Underlying Mechanics'!$B$15*INDEX('Underlying Mechanics'!$B$31:$B$51,E$1-'Underlying Mechanics'!$B$8+1)*'Underlying Mechanics'!$B$5))*(1-$A76))-IF(E$1=0,'Underlying Mechanics'!$B$23*(1-$B76),0)-IF(E$1&gt;0,'Underlying Mechanics'!$B$22*'Underlying Mechanics'!$B$17,0)-IF(E$1&gt;0,'Underlying Mechanics'!$B$12*'Underlying Mechanics'!$B$18,0)</x:f>
        <x:v>-22500</x:v>
      </x:c>
      <x:c r="F76" t="n">
        <x:f>((IF(F$1-'Underlying Mechanics'!$B$8&lt;0,0,'Underlying Mechanics'!$B$22*'Underlying Mechanics'!$B$15*INDEX('Underlying Mechanics'!$B$31:$B$51,F$1-'Underlying Mechanics'!$B$8+1)*'Underlying Mechanics'!$B$5))*(1-$A76))-IF(F$1=0,'Underlying Mechanics'!$B$23*(1-$B76),0)-IF(F$1&gt;0,'Underlying Mechanics'!$B$22*'Underlying Mechanics'!$B$17,0)-IF(F$1&gt;0,'Underlying Mechanics'!$B$12*'Underlying Mechanics'!$B$18,0)</x:f>
        <x:v>-20820</x:v>
      </x:c>
      <x:c r="G76" t="n">
        <x:f>((IF(G$1-'Underlying Mechanics'!$B$8&lt;0,0,'Underlying Mechanics'!$B$22*'Underlying Mechanics'!$B$15*INDEX('Underlying Mechanics'!$B$31:$B$51,G$1-'Underlying Mechanics'!$B$8+1)*'Underlying Mechanics'!$B$5))*(1-$A76))-IF(G$1=0,'Underlying Mechanics'!$B$23*(1-$B76),0)-IF(G$1&gt;0,'Underlying Mechanics'!$B$22*'Underlying Mechanics'!$B$17,0)-IF(G$1&gt;0,'Underlying Mechanics'!$B$12*'Underlying Mechanics'!$B$18,0)</x:f>
        <x:v>-18300</x:v>
      </x:c>
      <x:c r="H76" t="n">
        <x:f>((IF(H$1-'Underlying Mechanics'!$B$8&lt;0,0,'Underlying Mechanics'!$B$22*'Underlying Mechanics'!$B$15*INDEX('Underlying Mechanics'!$B$31:$B$51,H$1-'Underlying Mechanics'!$B$8+1)*'Underlying Mechanics'!$B$5))*(1-$A76))-IF(H$1=0,'Underlying Mechanics'!$B$23*(1-$B76),0)-IF(H$1&gt;0,'Underlying Mechanics'!$B$22*'Underlying Mechanics'!$B$17,0)-IF(H$1&gt;0,'Underlying Mechanics'!$B$12*'Underlying Mechanics'!$B$18,0)</x:f>
        <x:v>-14100</x:v>
      </x:c>
      <x:c r="I76" t="n">
        <x:f>((IF(I$1-'Underlying Mechanics'!$B$8&lt;0,0,'Underlying Mechanics'!$B$22*'Underlying Mechanics'!$B$15*INDEX('Underlying Mechanics'!$B$31:$B$51,I$1-'Underlying Mechanics'!$B$8+1)*'Underlying Mechanics'!$B$5))*(1-$A76))-IF(I$1=0,'Underlying Mechanics'!$B$23*(1-$B76),0)-IF(I$1&gt;0,'Underlying Mechanics'!$B$22*'Underlying Mechanics'!$B$17,0)-IF(I$1&gt;0,'Underlying Mechanics'!$B$12*'Underlying Mechanics'!$B$18,0)</x:f>
        <x:v>-7380.000000000002</x:v>
      </x:c>
      <x:c r="J76" t="n">
        <x:f>((IF(J$1-'Underlying Mechanics'!$B$8&lt;0,0,'Underlying Mechanics'!$B$22*'Underlying Mechanics'!$B$15*INDEX('Underlying Mechanics'!$B$31:$B$51,J$1-'Underlying Mechanics'!$B$8+1)*'Underlying Mechanics'!$B$5))*(1-$A76))-IF(J$1=0,'Underlying Mechanics'!$B$23*(1-$B76),0)-IF(J$1&gt;0,'Underlying Mechanics'!$B$22*'Underlying Mechanics'!$B$17,0)-IF(J$1&gt;0,'Underlying Mechanics'!$B$12*'Underlying Mechanics'!$B$18,0)</x:f>
        <x:v>1020.0000000000036</x:v>
      </x:c>
      <x:c r="K76" t="n">
        <x:f>((IF(K$1-'Underlying Mechanics'!$B$8&lt;0,0,'Underlying Mechanics'!$B$22*'Underlying Mechanics'!$B$15*INDEX('Underlying Mechanics'!$B$31:$B$51,K$1-'Underlying Mechanics'!$B$8+1)*'Underlying Mechanics'!$B$5))*(1-$A76))-IF(K$1=0,'Underlying Mechanics'!$B$23*(1-$B76),0)-IF(K$1&gt;0,'Underlying Mechanics'!$B$22*'Underlying Mechanics'!$B$17,0)-IF(K$1&gt;0,'Underlying Mechanics'!$B$12*'Underlying Mechanics'!$B$18,0)</x:f>
        <x:v>11100</x:v>
      </x:c>
      <x:c r="L76" t="n">
        <x:f>((IF(L$1-'Underlying Mechanics'!$B$8&lt;0,0,'Underlying Mechanics'!$B$22*'Underlying Mechanics'!$B$15*INDEX('Underlying Mechanics'!$B$31:$B$51,L$1-'Underlying Mechanics'!$B$8+1)*'Underlying Mechanics'!$B$5))*(1-$A76))-IF(L$1=0,'Underlying Mechanics'!$B$23*(1-$B76),0)-IF(L$1&gt;0,'Underlying Mechanics'!$B$22*'Underlying Mechanics'!$B$17,0)-IF(L$1&gt;0,'Underlying Mechanics'!$B$12*'Underlying Mechanics'!$B$18,0)</x:f>
        <x:v>22860</x:v>
      </x:c>
      <x:c r="M76" t="n">
        <x:f>((IF(M$1-'Underlying Mechanics'!$B$8&lt;0,0,'Underlying Mechanics'!$B$22*'Underlying Mechanics'!$B$15*INDEX('Underlying Mechanics'!$B$31:$B$51,M$1-'Underlying Mechanics'!$B$8+1)*'Underlying Mechanics'!$B$5))*(1-$A76))-IF(M$1=0,'Underlying Mechanics'!$B$23*(1-$B76),0)-IF(M$1&gt;0,'Underlying Mechanics'!$B$22*'Underlying Mechanics'!$B$17,0)-IF(M$1&gt;0,'Underlying Mechanics'!$B$12*'Underlying Mechanics'!$B$18,0)</x:f>
        <x:v>34620.00000000001</x:v>
      </x:c>
      <x:c r="N76" t="n">
        <x:f>((IF(N$1-'Underlying Mechanics'!$B$8&lt;0,0,'Underlying Mechanics'!$B$22*'Underlying Mechanics'!$B$15*INDEX('Underlying Mechanics'!$B$31:$B$51,N$1-'Underlying Mechanics'!$B$8+1)*'Underlying Mechanics'!$B$5))*(1-$A76))-IF(N$1=0,'Underlying Mechanics'!$B$23*(1-$B76),0)-IF(N$1&gt;0,'Underlying Mechanics'!$B$22*'Underlying Mechanics'!$B$17,0)-IF(N$1&gt;0,'Underlying Mechanics'!$B$12*'Underlying Mechanics'!$B$18,0)</x:f>
        <x:v>44700</x:v>
      </x:c>
      <x:c r="O76" t="n">
        <x:f>((IF(O$1-'Underlying Mechanics'!$B$8&lt;0,0,'Underlying Mechanics'!$B$22*'Underlying Mechanics'!$B$15*INDEX('Underlying Mechanics'!$B$31:$B$51,O$1-'Underlying Mechanics'!$B$8+1)*'Underlying Mechanics'!$B$5))*(1-$A76))-IF(O$1=0,'Underlying Mechanics'!$B$23*(1-$B76),0)-IF(O$1&gt;0,'Underlying Mechanics'!$B$22*'Underlying Mechanics'!$B$17,0)-IF(O$1&gt;0,'Underlying Mechanics'!$B$12*'Underlying Mechanics'!$B$18,0)</x:f>
        <x:v>53100</x:v>
      </x:c>
      <x:c r="P76" t="n">
        <x:f>((IF(P$1-'Underlying Mechanics'!$B$8&lt;0,0,'Underlying Mechanics'!$B$22*'Underlying Mechanics'!$B$15*INDEX('Underlying Mechanics'!$B$31:$B$51,P$1-'Underlying Mechanics'!$B$8+1)*'Underlying Mechanics'!$B$5))*(1-$A76))-IF(P$1=0,'Underlying Mechanics'!$B$23*(1-$B76),0)-IF(P$1&gt;0,'Underlying Mechanics'!$B$22*'Underlying Mechanics'!$B$17,0)-IF(P$1&gt;0,'Underlying Mechanics'!$B$12*'Underlying Mechanics'!$B$18,0)</x:f>
        <x:v>61500</x:v>
      </x:c>
      <x:c r="Q76" t="n">
        <x:f>((IF(Q$1-'Underlying Mechanics'!$B$8&lt;0,0,'Underlying Mechanics'!$B$22*'Underlying Mechanics'!$B$15*INDEX('Underlying Mechanics'!$B$31:$B$51,Q$1-'Underlying Mechanics'!$B$8+1)*'Underlying Mechanics'!$B$5))*(1-$A76))-IF(Q$1=0,'Underlying Mechanics'!$B$23*(1-$B76),0)-IF(Q$1&gt;0,'Underlying Mechanics'!$B$22*'Underlying Mechanics'!$B$17,0)-IF(Q$1&gt;0,'Underlying Mechanics'!$B$12*'Underlying Mechanics'!$B$18,0)</x:f>
        <x:v>61500</x:v>
      </x:c>
      <x:c r="R76" t="n">
        <x:f>((IF(R$1-'Underlying Mechanics'!$B$8&lt;0,0,'Underlying Mechanics'!$B$22*'Underlying Mechanics'!$B$15*INDEX('Underlying Mechanics'!$B$31:$B$51,R$1-'Underlying Mechanics'!$B$8+1)*'Underlying Mechanics'!$B$5))*(1-$A76))-IF(R$1=0,'Underlying Mechanics'!$B$23*(1-$B76),0)-IF(R$1&gt;0,'Underlying Mechanics'!$B$22*'Underlying Mechanics'!$B$17,0)-IF(R$1&gt;0,'Underlying Mechanics'!$B$12*'Underlying Mechanics'!$B$18,0)</x:f>
        <x:v>61500</x:v>
      </x:c>
      <x:c r="S76" t="n">
        <x:f>((IF(S$1-'Underlying Mechanics'!$B$8&lt;0,0,'Underlying Mechanics'!$B$22*'Underlying Mechanics'!$B$15*INDEX('Underlying Mechanics'!$B$31:$B$51,S$1-'Underlying Mechanics'!$B$8+1)*'Underlying Mechanics'!$B$5))*(1-$A76))-IF(S$1=0,'Underlying Mechanics'!$B$23*(1-$B76),0)-IF(S$1&gt;0,'Underlying Mechanics'!$B$22*'Underlying Mechanics'!$B$17,0)-IF(S$1&gt;0,'Underlying Mechanics'!$B$12*'Underlying Mechanics'!$B$18,0)</x:f>
        <x:v>61500</x:v>
      </x:c>
      <x:c r="T76" t="n">
        <x:f>((IF(T$1-'Underlying Mechanics'!$B$8&lt;0,0,'Underlying Mechanics'!$B$22*'Underlying Mechanics'!$B$15*INDEX('Underlying Mechanics'!$B$31:$B$51,T$1-'Underlying Mechanics'!$B$8+1)*'Underlying Mechanics'!$B$5))*(1-$A76))-IF(T$1=0,'Underlying Mechanics'!$B$23*(1-$B76),0)-IF(T$1&gt;0,'Underlying Mechanics'!$B$22*'Underlying Mechanics'!$B$17,0)-IF(T$1&gt;0,'Underlying Mechanics'!$B$12*'Underlying Mechanics'!$B$18,0)</x:f>
        <x:v>61500</x:v>
      </x:c>
      <x:c r="U76" t="n">
        <x:f>((IF(U$1-'Underlying Mechanics'!$B$8&lt;0,0,'Underlying Mechanics'!$B$22*'Underlying Mechanics'!$B$15*INDEX('Underlying Mechanics'!$B$31:$B$51,U$1-'Underlying Mechanics'!$B$8+1)*'Underlying Mechanics'!$B$5))*(1-$A76))-IF(U$1=0,'Underlying Mechanics'!$B$23*(1-$B76),0)-IF(U$1&gt;0,'Underlying Mechanics'!$B$22*'Underlying Mechanics'!$B$17,0)-IF(U$1&gt;0,'Underlying Mechanics'!$B$12*'Underlying Mechanics'!$B$18,0)</x:f>
        <x:v>61500</x:v>
      </x:c>
      <x:c r="V76" t="n">
        <x:f>((IF(V$1-'Underlying Mechanics'!$B$8&lt;0,0,'Underlying Mechanics'!$B$22*'Underlying Mechanics'!$B$15*INDEX('Underlying Mechanics'!$B$31:$B$51,V$1-'Underlying Mechanics'!$B$8+1)*'Underlying Mechanics'!$B$5))*(1-$A76))-IF(V$1=0,'Underlying Mechanics'!$B$23*(1-$B76),0)-IF(V$1&gt;0,'Underlying Mechanics'!$B$22*'Underlying Mechanics'!$B$17,0)-IF(V$1&gt;0,'Underlying Mechanics'!$B$12*'Underlying Mechanics'!$B$18,0)</x:f>
        <x:v>61500</x:v>
      </x:c>
      <x:c r="W76" t="n">
        <x:f>((IF(W$1-'Underlying Mechanics'!$B$8&lt;0,0,'Underlying Mechanics'!$B$22*'Underlying Mechanics'!$B$15*INDEX('Underlying Mechanics'!$B$31:$B$51,W$1-'Underlying Mechanics'!$B$8+1)*'Underlying Mechanics'!$B$5))*(1-$A76))-IF(W$1=0,'Underlying Mechanics'!$B$23*(1-$B76),0)-IF(W$1&gt;0,'Underlying Mechanics'!$B$22*'Underlying Mechanics'!$B$17,0)-IF(W$1&gt;0,'Underlying Mechanics'!$B$12*'Underlying Mechanics'!$B$18,0)</x:f>
        <x:v>61500</x:v>
      </x:c>
      <x:c r="X76" t="n">
        <x:f>IFERROR(IRR(C76:W76),-1)</x:f>
        <x:v>0.11039322155754319</x:v>
      </x:c>
    </x:row>
    <x:row r="77">
      <x:c r="A77" t="n">
        <x:v>0.3</x:v>
      </x:c>
      <x:c r="B77" t="n">
        <x:v>0.6</x:v>
      </x:c>
      <x:c r="C77" t="n">
        <x:f>((IF(C$1-'Underlying Mechanics'!$B$8&lt;0,0,'Underlying Mechanics'!$B$22*'Underlying Mechanics'!$B$15*INDEX('Underlying Mechanics'!$B$31:$B$51,C$1-'Underlying Mechanics'!$B$8+1)*'Underlying Mechanics'!$B$5))*(1-$A77))-IF(C$1=0,'Underlying Mechanics'!$B$23*(1-$B77),0)-IF(C$1&gt;0,'Underlying Mechanics'!$B$22*'Underlying Mechanics'!$B$17,0)-IF(C$1&gt;0,'Underlying Mechanics'!$B$12*'Underlying Mechanics'!$B$18,0)</x:f>
        <x:v>-60000</x:v>
      </x:c>
      <x:c r="D77" t="n">
        <x:f>((IF(D$1-'Underlying Mechanics'!$B$8&lt;0,0,'Underlying Mechanics'!$B$22*'Underlying Mechanics'!$B$15*INDEX('Underlying Mechanics'!$B$31:$B$51,D$1-'Underlying Mechanics'!$B$8+1)*'Underlying Mechanics'!$B$5))*(1-$A77))-IF(D$1=0,'Underlying Mechanics'!$B$23*(1-$B77),0)-IF(D$1&gt;0,'Underlying Mechanics'!$B$22*'Underlying Mechanics'!$B$17,0)-IF(D$1&gt;0,'Underlying Mechanics'!$B$12*'Underlying Mechanics'!$B$18,0)</x:f>
        <x:v>-22500</x:v>
      </x:c>
      <x:c r="E77" t="n">
        <x:f>((IF(E$1-'Underlying Mechanics'!$B$8&lt;0,0,'Underlying Mechanics'!$B$22*'Underlying Mechanics'!$B$15*INDEX('Underlying Mechanics'!$B$31:$B$51,E$1-'Underlying Mechanics'!$B$8+1)*'Underlying Mechanics'!$B$5))*(1-$A77))-IF(E$1=0,'Underlying Mechanics'!$B$23*(1-$B77),0)-IF(E$1&gt;0,'Underlying Mechanics'!$B$22*'Underlying Mechanics'!$B$17,0)-IF(E$1&gt;0,'Underlying Mechanics'!$B$12*'Underlying Mechanics'!$B$18,0)</x:f>
        <x:v>-22500</x:v>
      </x:c>
      <x:c r="F77" t="n">
        <x:f>((IF(F$1-'Underlying Mechanics'!$B$8&lt;0,0,'Underlying Mechanics'!$B$22*'Underlying Mechanics'!$B$15*INDEX('Underlying Mechanics'!$B$31:$B$51,F$1-'Underlying Mechanics'!$B$8+1)*'Underlying Mechanics'!$B$5))*(1-$A77))-IF(F$1=0,'Underlying Mechanics'!$B$23*(1-$B77),0)-IF(F$1&gt;0,'Underlying Mechanics'!$B$22*'Underlying Mechanics'!$B$17,0)-IF(F$1&gt;0,'Underlying Mechanics'!$B$12*'Underlying Mechanics'!$B$18,0)</x:f>
        <x:v>-20820</x:v>
      </x:c>
      <x:c r="G77" t="n">
        <x:f>((IF(G$1-'Underlying Mechanics'!$B$8&lt;0,0,'Underlying Mechanics'!$B$22*'Underlying Mechanics'!$B$15*INDEX('Underlying Mechanics'!$B$31:$B$51,G$1-'Underlying Mechanics'!$B$8+1)*'Underlying Mechanics'!$B$5))*(1-$A77))-IF(G$1=0,'Underlying Mechanics'!$B$23*(1-$B77),0)-IF(G$1&gt;0,'Underlying Mechanics'!$B$22*'Underlying Mechanics'!$B$17,0)-IF(G$1&gt;0,'Underlying Mechanics'!$B$12*'Underlying Mechanics'!$B$18,0)</x:f>
        <x:v>-18300</x:v>
      </x:c>
      <x:c r="H77" t="n">
        <x:f>((IF(H$1-'Underlying Mechanics'!$B$8&lt;0,0,'Underlying Mechanics'!$B$22*'Underlying Mechanics'!$B$15*INDEX('Underlying Mechanics'!$B$31:$B$51,H$1-'Underlying Mechanics'!$B$8+1)*'Underlying Mechanics'!$B$5))*(1-$A77))-IF(H$1=0,'Underlying Mechanics'!$B$23*(1-$B77),0)-IF(H$1&gt;0,'Underlying Mechanics'!$B$22*'Underlying Mechanics'!$B$17,0)-IF(H$1&gt;0,'Underlying Mechanics'!$B$12*'Underlying Mechanics'!$B$18,0)</x:f>
        <x:v>-14100</x:v>
      </x:c>
      <x:c r="I77" t="n">
        <x:f>((IF(I$1-'Underlying Mechanics'!$B$8&lt;0,0,'Underlying Mechanics'!$B$22*'Underlying Mechanics'!$B$15*INDEX('Underlying Mechanics'!$B$31:$B$51,I$1-'Underlying Mechanics'!$B$8+1)*'Underlying Mechanics'!$B$5))*(1-$A77))-IF(I$1=0,'Underlying Mechanics'!$B$23*(1-$B77),0)-IF(I$1&gt;0,'Underlying Mechanics'!$B$22*'Underlying Mechanics'!$B$17,0)-IF(I$1&gt;0,'Underlying Mechanics'!$B$12*'Underlying Mechanics'!$B$18,0)</x:f>
        <x:v>-7380.000000000002</x:v>
      </x:c>
      <x:c r="J77" t="n">
        <x:f>((IF(J$1-'Underlying Mechanics'!$B$8&lt;0,0,'Underlying Mechanics'!$B$22*'Underlying Mechanics'!$B$15*INDEX('Underlying Mechanics'!$B$31:$B$51,J$1-'Underlying Mechanics'!$B$8+1)*'Underlying Mechanics'!$B$5))*(1-$A77))-IF(J$1=0,'Underlying Mechanics'!$B$23*(1-$B77),0)-IF(J$1&gt;0,'Underlying Mechanics'!$B$22*'Underlying Mechanics'!$B$17,0)-IF(J$1&gt;0,'Underlying Mechanics'!$B$12*'Underlying Mechanics'!$B$18,0)</x:f>
        <x:v>1020.0000000000036</x:v>
      </x:c>
      <x:c r="K77" t="n">
        <x:f>((IF(K$1-'Underlying Mechanics'!$B$8&lt;0,0,'Underlying Mechanics'!$B$22*'Underlying Mechanics'!$B$15*INDEX('Underlying Mechanics'!$B$31:$B$51,K$1-'Underlying Mechanics'!$B$8+1)*'Underlying Mechanics'!$B$5))*(1-$A77))-IF(K$1=0,'Underlying Mechanics'!$B$23*(1-$B77),0)-IF(K$1&gt;0,'Underlying Mechanics'!$B$22*'Underlying Mechanics'!$B$17,0)-IF(K$1&gt;0,'Underlying Mechanics'!$B$12*'Underlying Mechanics'!$B$18,0)</x:f>
        <x:v>11100</x:v>
      </x:c>
      <x:c r="L77" t="n">
        <x:f>((IF(L$1-'Underlying Mechanics'!$B$8&lt;0,0,'Underlying Mechanics'!$B$22*'Underlying Mechanics'!$B$15*INDEX('Underlying Mechanics'!$B$31:$B$51,L$1-'Underlying Mechanics'!$B$8+1)*'Underlying Mechanics'!$B$5))*(1-$A77))-IF(L$1=0,'Underlying Mechanics'!$B$23*(1-$B77),0)-IF(L$1&gt;0,'Underlying Mechanics'!$B$22*'Underlying Mechanics'!$B$17,0)-IF(L$1&gt;0,'Underlying Mechanics'!$B$12*'Underlying Mechanics'!$B$18,0)</x:f>
        <x:v>22860</x:v>
      </x:c>
      <x:c r="M77" t="n">
        <x:f>((IF(M$1-'Underlying Mechanics'!$B$8&lt;0,0,'Underlying Mechanics'!$B$22*'Underlying Mechanics'!$B$15*INDEX('Underlying Mechanics'!$B$31:$B$51,M$1-'Underlying Mechanics'!$B$8+1)*'Underlying Mechanics'!$B$5))*(1-$A77))-IF(M$1=0,'Underlying Mechanics'!$B$23*(1-$B77),0)-IF(M$1&gt;0,'Underlying Mechanics'!$B$22*'Underlying Mechanics'!$B$17,0)-IF(M$1&gt;0,'Underlying Mechanics'!$B$12*'Underlying Mechanics'!$B$18,0)</x:f>
        <x:v>34620.00000000001</x:v>
      </x:c>
      <x:c r="N77" t="n">
        <x:f>((IF(N$1-'Underlying Mechanics'!$B$8&lt;0,0,'Underlying Mechanics'!$B$22*'Underlying Mechanics'!$B$15*INDEX('Underlying Mechanics'!$B$31:$B$51,N$1-'Underlying Mechanics'!$B$8+1)*'Underlying Mechanics'!$B$5))*(1-$A77))-IF(N$1=0,'Underlying Mechanics'!$B$23*(1-$B77),0)-IF(N$1&gt;0,'Underlying Mechanics'!$B$22*'Underlying Mechanics'!$B$17,0)-IF(N$1&gt;0,'Underlying Mechanics'!$B$12*'Underlying Mechanics'!$B$18,0)</x:f>
        <x:v>44700</x:v>
      </x:c>
      <x:c r="O77" t="n">
        <x:f>((IF(O$1-'Underlying Mechanics'!$B$8&lt;0,0,'Underlying Mechanics'!$B$22*'Underlying Mechanics'!$B$15*INDEX('Underlying Mechanics'!$B$31:$B$51,O$1-'Underlying Mechanics'!$B$8+1)*'Underlying Mechanics'!$B$5))*(1-$A77))-IF(O$1=0,'Underlying Mechanics'!$B$23*(1-$B77),0)-IF(O$1&gt;0,'Underlying Mechanics'!$B$22*'Underlying Mechanics'!$B$17,0)-IF(O$1&gt;0,'Underlying Mechanics'!$B$12*'Underlying Mechanics'!$B$18,0)</x:f>
        <x:v>53100</x:v>
      </x:c>
      <x:c r="P77" t="n">
        <x:f>((IF(P$1-'Underlying Mechanics'!$B$8&lt;0,0,'Underlying Mechanics'!$B$22*'Underlying Mechanics'!$B$15*INDEX('Underlying Mechanics'!$B$31:$B$51,P$1-'Underlying Mechanics'!$B$8+1)*'Underlying Mechanics'!$B$5))*(1-$A77))-IF(P$1=0,'Underlying Mechanics'!$B$23*(1-$B77),0)-IF(P$1&gt;0,'Underlying Mechanics'!$B$22*'Underlying Mechanics'!$B$17,0)-IF(P$1&gt;0,'Underlying Mechanics'!$B$12*'Underlying Mechanics'!$B$18,0)</x:f>
        <x:v>61500</x:v>
      </x:c>
      <x:c r="Q77" t="n">
        <x:f>((IF(Q$1-'Underlying Mechanics'!$B$8&lt;0,0,'Underlying Mechanics'!$B$22*'Underlying Mechanics'!$B$15*INDEX('Underlying Mechanics'!$B$31:$B$51,Q$1-'Underlying Mechanics'!$B$8+1)*'Underlying Mechanics'!$B$5))*(1-$A77))-IF(Q$1=0,'Underlying Mechanics'!$B$23*(1-$B77),0)-IF(Q$1&gt;0,'Underlying Mechanics'!$B$22*'Underlying Mechanics'!$B$17,0)-IF(Q$1&gt;0,'Underlying Mechanics'!$B$12*'Underlying Mechanics'!$B$18,0)</x:f>
        <x:v>61500</x:v>
      </x:c>
      <x:c r="R77" t="n">
        <x:f>((IF(R$1-'Underlying Mechanics'!$B$8&lt;0,0,'Underlying Mechanics'!$B$22*'Underlying Mechanics'!$B$15*INDEX('Underlying Mechanics'!$B$31:$B$51,R$1-'Underlying Mechanics'!$B$8+1)*'Underlying Mechanics'!$B$5))*(1-$A77))-IF(R$1=0,'Underlying Mechanics'!$B$23*(1-$B77),0)-IF(R$1&gt;0,'Underlying Mechanics'!$B$22*'Underlying Mechanics'!$B$17,0)-IF(R$1&gt;0,'Underlying Mechanics'!$B$12*'Underlying Mechanics'!$B$18,0)</x:f>
        <x:v>61500</x:v>
      </x:c>
      <x:c r="S77" t="n">
        <x:f>((IF(S$1-'Underlying Mechanics'!$B$8&lt;0,0,'Underlying Mechanics'!$B$22*'Underlying Mechanics'!$B$15*INDEX('Underlying Mechanics'!$B$31:$B$51,S$1-'Underlying Mechanics'!$B$8+1)*'Underlying Mechanics'!$B$5))*(1-$A77))-IF(S$1=0,'Underlying Mechanics'!$B$23*(1-$B77),0)-IF(S$1&gt;0,'Underlying Mechanics'!$B$22*'Underlying Mechanics'!$B$17,0)-IF(S$1&gt;0,'Underlying Mechanics'!$B$12*'Underlying Mechanics'!$B$18,0)</x:f>
        <x:v>61500</x:v>
      </x:c>
      <x:c r="T77" t="n">
        <x:f>((IF(T$1-'Underlying Mechanics'!$B$8&lt;0,0,'Underlying Mechanics'!$B$22*'Underlying Mechanics'!$B$15*INDEX('Underlying Mechanics'!$B$31:$B$51,T$1-'Underlying Mechanics'!$B$8+1)*'Underlying Mechanics'!$B$5))*(1-$A77))-IF(T$1=0,'Underlying Mechanics'!$B$23*(1-$B77),0)-IF(T$1&gt;0,'Underlying Mechanics'!$B$22*'Underlying Mechanics'!$B$17,0)-IF(T$1&gt;0,'Underlying Mechanics'!$B$12*'Underlying Mechanics'!$B$18,0)</x:f>
        <x:v>61500</x:v>
      </x:c>
      <x:c r="U77" t="n">
        <x:f>((IF(U$1-'Underlying Mechanics'!$B$8&lt;0,0,'Underlying Mechanics'!$B$22*'Underlying Mechanics'!$B$15*INDEX('Underlying Mechanics'!$B$31:$B$51,U$1-'Underlying Mechanics'!$B$8+1)*'Underlying Mechanics'!$B$5))*(1-$A77))-IF(U$1=0,'Underlying Mechanics'!$B$23*(1-$B77),0)-IF(U$1&gt;0,'Underlying Mechanics'!$B$22*'Underlying Mechanics'!$B$17,0)-IF(U$1&gt;0,'Underlying Mechanics'!$B$12*'Underlying Mechanics'!$B$18,0)</x:f>
        <x:v>61500</x:v>
      </x:c>
      <x:c r="V77" t="n">
        <x:f>((IF(V$1-'Underlying Mechanics'!$B$8&lt;0,0,'Underlying Mechanics'!$B$22*'Underlying Mechanics'!$B$15*INDEX('Underlying Mechanics'!$B$31:$B$51,V$1-'Underlying Mechanics'!$B$8+1)*'Underlying Mechanics'!$B$5))*(1-$A77))-IF(V$1=0,'Underlying Mechanics'!$B$23*(1-$B77),0)-IF(V$1&gt;0,'Underlying Mechanics'!$B$22*'Underlying Mechanics'!$B$17,0)-IF(V$1&gt;0,'Underlying Mechanics'!$B$12*'Underlying Mechanics'!$B$18,0)</x:f>
        <x:v>61500</x:v>
      </x:c>
      <x:c r="W77" t="n">
        <x:f>((IF(W$1-'Underlying Mechanics'!$B$8&lt;0,0,'Underlying Mechanics'!$B$22*'Underlying Mechanics'!$B$15*INDEX('Underlying Mechanics'!$B$31:$B$51,W$1-'Underlying Mechanics'!$B$8+1)*'Underlying Mechanics'!$B$5))*(1-$A77))-IF(W$1=0,'Underlying Mechanics'!$B$23*(1-$B77),0)-IF(W$1&gt;0,'Underlying Mechanics'!$B$22*'Underlying Mechanics'!$B$17,0)-IF(W$1&gt;0,'Underlying Mechanics'!$B$12*'Underlying Mechanics'!$B$18,0)</x:f>
        <x:v>61500</x:v>
      </x:c>
      <x:c r="X77" t="n">
        <x:f>IFERROR(IRR(C77:W77),-1)</x:f>
        <x:v>0.11519207376443738</x:v>
      </x:c>
    </x:row>
    <x:row r="78">
      <x:c r="A78" t="n">
        <x:v>0.3</x:v>
      </x:c>
      <x:c r="B78" t="n">
        <x:v>0.65</x:v>
      </x:c>
      <x:c r="C78" t="n">
        <x:f>((IF(C$1-'Underlying Mechanics'!$B$8&lt;0,0,'Underlying Mechanics'!$B$22*'Underlying Mechanics'!$B$15*INDEX('Underlying Mechanics'!$B$31:$B$51,C$1-'Underlying Mechanics'!$B$8+1)*'Underlying Mechanics'!$B$5))*(1-$A78))-IF(C$1=0,'Underlying Mechanics'!$B$23*(1-$B78),0)-IF(C$1&gt;0,'Underlying Mechanics'!$B$22*'Underlying Mechanics'!$B$17,0)-IF(C$1&gt;0,'Underlying Mechanics'!$B$12*'Underlying Mechanics'!$B$18,0)</x:f>
        <x:v>-52500</x:v>
      </x:c>
      <x:c r="D78" t="n">
        <x:f>((IF(D$1-'Underlying Mechanics'!$B$8&lt;0,0,'Underlying Mechanics'!$B$22*'Underlying Mechanics'!$B$15*INDEX('Underlying Mechanics'!$B$31:$B$51,D$1-'Underlying Mechanics'!$B$8+1)*'Underlying Mechanics'!$B$5))*(1-$A78))-IF(D$1=0,'Underlying Mechanics'!$B$23*(1-$B78),0)-IF(D$1&gt;0,'Underlying Mechanics'!$B$22*'Underlying Mechanics'!$B$17,0)-IF(D$1&gt;0,'Underlying Mechanics'!$B$12*'Underlying Mechanics'!$B$18,0)</x:f>
        <x:v>-22500</x:v>
      </x:c>
      <x:c r="E78" t="n">
        <x:f>((IF(E$1-'Underlying Mechanics'!$B$8&lt;0,0,'Underlying Mechanics'!$B$22*'Underlying Mechanics'!$B$15*INDEX('Underlying Mechanics'!$B$31:$B$51,E$1-'Underlying Mechanics'!$B$8+1)*'Underlying Mechanics'!$B$5))*(1-$A78))-IF(E$1=0,'Underlying Mechanics'!$B$23*(1-$B78),0)-IF(E$1&gt;0,'Underlying Mechanics'!$B$22*'Underlying Mechanics'!$B$17,0)-IF(E$1&gt;0,'Underlying Mechanics'!$B$12*'Underlying Mechanics'!$B$18,0)</x:f>
        <x:v>-22500</x:v>
      </x:c>
      <x:c r="F78" t="n">
        <x:f>((IF(F$1-'Underlying Mechanics'!$B$8&lt;0,0,'Underlying Mechanics'!$B$22*'Underlying Mechanics'!$B$15*INDEX('Underlying Mechanics'!$B$31:$B$51,F$1-'Underlying Mechanics'!$B$8+1)*'Underlying Mechanics'!$B$5))*(1-$A78))-IF(F$1=0,'Underlying Mechanics'!$B$23*(1-$B78),0)-IF(F$1&gt;0,'Underlying Mechanics'!$B$22*'Underlying Mechanics'!$B$17,0)-IF(F$1&gt;0,'Underlying Mechanics'!$B$12*'Underlying Mechanics'!$B$18,0)</x:f>
        <x:v>-20820</x:v>
      </x:c>
      <x:c r="G78" t="n">
        <x:f>((IF(G$1-'Underlying Mechanics'!$B$8&lt;0,0,'Underlying Mechanics'!$B$22*'Underlying Mechanics'!$B$15*INDEX('Underlying Mechanics'!$B$31:$B$51,G$1-'Underlying Mechanics'!$B$8+1)*'Underlying Mechanics'!$B$5))*(1-$A78))-IF(G$1=0,'Underlying Mechanics'!$B$23*(1-$B78),0)-IF(G$1&gt;0,'Underlying Mechanics'!$B$22*'Underlying Mechanics'!$B$17,0)-IF(G$1&gt;0,'Underlying Mechanics'!$B$12*'Underlying Mechanics'!$B$18,0)</x:f>
        <x:v>-18300</x:v>
      </x:c>
      <x:c r="H78" t="n">
        <x:f>((IF(H$1-'Underlying Mechanics'!$B$8&lt;0,0,'Underlying Mechanics'!$B$22*'Underlying Mechanics'!$B$15*INDEX('Underlying Mechanics'!$B$31:$B$51,H$1-'Underlying Mechanics'!$B$8+1)*'Underlying Mechanics'!$B$5))*(1-$A78))-IF(H$1=0,'Underlying Mechanics'!$B$23*(1-$B78),0)-IF(H$1&gt;0,'Underlying Mechanics'!$B$22*'Underlying Mechanics'!$B$17,0)-IF(H$1&gt;0,'Underlying Mechanics'!$B$12*'Underlying Mechanics'!$B$18,0)</x:f>
        <x:v>-14100</x:v>
      </x:c>
      <x:c r="I78" t="n">
        <x:f>((IF(I$1-'Underlying Mechanics'!$B$8&lt;0,0,'Underlying Mechanics'!$B$22*'Underlying Mechanics'!$B$15*INDEX('Underlying Mechanics'!$B$31:$B$51,I$1-'Underlying Mechanics'!$B$8+1)*'Underlying Mechanics'!$B$5))*(1-$A78))-IF(I$1=0,'Underlying Mechanics'!$B$23*(1-$B78),0)-IF(I$1&gt;0,'Underlying Mechanics'!$B$22*'Underlying Mechanics'!$B$17,0)-IF(I$1&gt;0,'Underlying Mechanics'!$B$12*'Underlying Mechanics'!$B$18,0)</x:f>
        <x:v>-7380.000000000002</x:v>
      </x:c>
      <x:c r="J78" t="n">
        <x:f>((IF(J$1-'Underlying Mechanics'!$B$8&lt;0,0,'Underlying Mechanics'!$B$22*'Underlying Mechanics'!$B$15*INDEX('Underlying Mechanics'!$B$31:$B$51,J$1-'Underlying Mechanics'!$B$8+1)*'Underlying Mechanics'!$B$5))*(1-$A78))-IF(J$1=0,'Underlying Mechanics'!$B$23*(1-$B78),0)-IF(J$1&gt;0,'Underlying Mechanics'!$B$22*'Underlying Mechanics'!$B$17,0)-IF(J$1&gt;0,'Underlying Mechanics'!$B$12*'Underlying Mechanics'!$B$18,0)</x:f>
        <x:v>1020.0000000000036</x:v>
      </x:c>
      <x:c r="K78" t="n">
        <x:f>((IF(K$1-'Underlying Mechanics'!$B$8&lt;0,0,'Underlying Mechanics'!$B$22*'Underlying Mechanics'!$B$15*INDEX('Underlying Mechanics'!$B$31:$B$51,K$1-'Underlying Mechanics'!$B$8+1)*'Underlying Mechanics'!$B$5))*(1-$A78))-IF(K$1=0,'Underlying Mechanics'!$B$23*(1-$B78),0)-IF(K$1&gt;0,'Underlying Mechanics'!$B$22*'Underlying Mechanics'!$B$17,0)-IF(K$1&gt;0,'Underlying Mechanics'!$B$12*'Underlying Mechanics'!$B$18,0)</x:f>
        <x:v>11100</x:v>
      </x:c>
      <x:c r="L78" t="n">
        <x:f>((IF(L$1-'Underlying Mechanics'!$B$8&lt;0,0,'Underlying Mechanics'!$B$22*'Underlying Mechanics'!$B$15*INDEX('Underlying Mechanics'!$B$31:$B$51,L$1-'Underlying Mechanics'!$B$8+1)*'Underlying Mechanics'!$B$5))*(1-$A78))-IF(L$1=0,'Underlying Mechanics'!$B$23*(1-$B78),0)-IF(L$1&gt;0,'Underlying Mechanics'!$B$22*'Underlying Mechanics'!$B$17,0)-IF(L$1&gt;0,'Underlying Mechanics'!$B$12*'Underlying Mechanics'!$B$18,0)</x:f>
        <x:v>22860</x:v>
      </x:c>
      <x:c r="M78" t="n">
        <x:f>((IF(M$1-'Underlying Mechanics'!$B$8&lt;0,0,'Underlying Mechanics'!$B$22*'Underlying Mechanics'!$B$15*INDEX('Underlying Mechanics'!$B$31:$B$51,M$1-'Underlying Mechanics'!$B$8+1)*'Underlying Mechanics'!$B$5))*(1-$A78))-IF(M$1=0,'Underlying Mechanics'!$B$23*(1-$B78),0)-IF(M$1&gt;0,'Underlying Mechanics'!$B$22*'Underlying Mechanics'!$B$17,0)-IF(M$1&gt;0,'Underlying Mechanics'!$B$12*'Underlying Mechanics'!$B$18,0)</x:f>
        <x:v>34620.00000000001</x:v>
      </x:c>
      <x:c r="N78" t="n">
        <x:f>((IF(N$1-'Underlying Mechanics'!$B$8&lt;0,0,'Underlying Mechanics'!$B$22*'Underlying Mechanics'!$B$15*INDEX('Underlying Mechanics'!$B$31:$B$51,N$1-'Underlying Mechanics'!$B$8+1)*'Underlying Mechanics'!$B$5))*(1-$A78))-IF(N$1=0,'Underlying Mechanics'!$B$23*(1-$B78),0)-IF(N$1&gt;0,'Underlying Mechanics'!$B$22*'Underlying Mechanics'!$B$17,0)-IF(N$1&gt;0,'Underlying Mechanics'!$B$12*'Underlying Mechanics'!$B$18,0)</x:f>
        <x:v>44700</x:v>
      </x:c>
      <x:c r="O78" t="n">
        <x:f>((IF(O$1-'Underlying Mechanics'!$B$8&lt;0,0,'Underlying Mechanics'!$B$22*'Underlying Mechanics'!$B$15*INDEX('Underlying Mechanics'!$B$31:$B$51,O$1-'Underlying Mechanics'!$B$8+1)*'Underlying Mechanics'!$B$5))*(1-$A78))-IF(O$1=0,'Underlying Mechanics'!$B$23*(1-$B78),0)-IF(O$1&gt;0,'Underlying Mechanics'!$B$22*'Underlying Mechanics'!$B$17,0)-IF(O$1&gt;0,'Underlying Mechanics'!$B$12*'Underlying Mechanics'!$B$18,0)</x:f>
        <x:v>53100</x:v>
      </x:c>
      <x:c r="P78" t="n">
        <x:f>((IF(P$1-'Underlying Mechanics'!$B$8&lt;0,0,'Underlying Mechanics'!$B$22*'Underlying Mechanics'!$B$15*INDEX('Underlying Mechanics'!$B$31:$B$51,P$1-'Underlying Mechanics'!$B$8+1)*'Underlying Mechanics'!$B$5))*(1-$A78))-IF(P$1=0,'Underlying Mechanics'!$B$23*(1-$B78),0)-IF(P$1&gt;0,'Underlying Mechanics'!$B$22*'Underlying Mechanics'!$B$17,0)-IF(P$1&gt;0,'Underlying Mechanics'!$B$12*'Underlying Mechanics'!$B$18,0)</x:f>
        <x:v>61500</x:v>
      </x:c>
      <x:c r="Q78" t="n">
        <x:f>((IF(Q$1-'Underlying Mechanics'!$B$8&lt;0,0,'Underlying Mechanics'!$B$22*'Underlying Mechanics'!$B$15*INDEX('Underlying Mechanics'!$B$31:$B$51,Q$1-'Underlying Mechanics'!$B$8+1)*'Underlying Mechanics'!$B$5))*(1-$A78))-IF(Q$1=0,'Underlying Mechanics'!$B$23*(1-$B78),0)-IF(Q$1&gt;0,'Underlying Mechanics'!$B$22*'Underlying Mechanics'!$B$17,0)-IF(Q$1&gt;0,'Underlying Mechanics'!$B$12*'Underlying Mechanics'!$B$18,0)</x:f>
        <x:v>61500</x:v>
      </x:c>
      <x:c r="R78" t="n">
        <x:f>((IF(R$1-'Underlying Mechanics'!$B$8&lt;0,0,'Underlying Mechanics'!$B$22*'Underlying Mechanics'!$B$15*INDEX('Underlying Mechanics'!$B$31:$B$51,R$1-'Underlying Mechanics'!$B$8+1)*'Underlying Mechanics'!$B$5))*(1-$A78))-IF(R$1=0,'Underlying Mechanics'!$B$23*(1-$B78),0)-IF(R$1&gt;0,'Underlying Mechanics'!$B$22*'Underlying Mechanics'!$B$17,0)-IF(R$1&gt;0,'Underlying Mechanics'!$B$12*'Underlying Mechanics'!$B$18,0)</x:f>
        <x:v>61500</x:v>
      </x:c>
      <x:c r="S78" t="n">
        <x:f>((IF(S$1-'Underlying Mechanics'!$B$8&lt;0,0,'Underlying Mechanics'!$B$22*'Underlying Mechanics'!$B$15*INDEX('Underlying Mechanics'!$B$31:$B$51,S$1-'Underlying Mechanics'!$B$8+1)*'Underlying Mechanics'!$B$5))*(1-$A78))-IF(S$1=0,'Underlying Mechanics'!$B$23*(1-$B78),0)-IF(S$1&gt;0,'Underlying Mechanics'!$B$22*'Underlying Mechanics'!$B$17,0)-IF(S$1&gt;0,'Underlying Mechanics'!$B$12*'Underlying Mechanics'!$B$18,0)</x:f>
        <x:v>61500</x:v>
      </x:c>
      <x:c r="T78" t="n">
        <x:f>((IF(T$1-'Underlying Mechanics'!$B$8&lt;0,0,'Underlying Mechanics'!$B$22*'Underlying Mechanics'!$B$15*INDEX('Underlying Mechanics'!$B$31:$B$51,T$1-'Underlying Mechanics'!$B$8+1)*'Underlying Mechanics'!$B$5))*(1-$A78))-IF(T$1=0,'Underlying Mechanics'!$B$23*(1-$B78),0)-IF(T$1&gt;0,'Underlying Mechanics'!$B$22*'Underlying Mechanics'!$B$17,0)-IF(T$1&gt;0,'Underlying Mechanics'!$B$12*'Underlying Mechanics'!$B$18,0)</x:f>
        <x:v>61500</x:v>
      </x:c>
      <x:c r="U78" t="n">
        <x:f>((IF(U$1-'Underlying Mechanics'!$B$8&lt;0,0,'Underlying Mechanics'!$B$22*'Underlying Mechanics'!$B$15*INDEX('Underlying Mechanics'!$B$31:$B$51,U$1-'Underlying Mechanics'!$B$8+1)*'Underlying Mechanics'!$B$5))*(1-$A78))-IF(U$1=0,'Underlying Mechanics'!$B$23*(1-$B78),0)-IF(U$1&gt;0,'Underlying Mechanics'!$B$22*'Underlying Mechanics'!$B$17,0)-IF(U$1&gt;0,'Underlying Mechanics'!$B$12*'Underlying Mechanics'!$B$18,0)</x:f>
        <x:v>61500</x:v>
      </x:c>
      <x:c r="V78" t="n">
        <x:f>((IF(V$1-'Underlying Mechanics'!$B$8&lt;0,0,'Underlying Mechanics'!$B$22*'Underlying Mechanics'!$B$15*INDEX('Underlying Mechanics'!$B$31:$B$51,V$1-'Underlying Mechanics'!$B$8+1)*'Underlying Mechanics'!$B$5))*(1-$A78))-IF(V$1=0,'Underlying Mechanics'!$B$23*(1-$B78),0)-IF(V$1&gt;0,'Underlying Mechanics'!$B$22*'Underlying Mechanics'!$B$17,0)-IF(V$1&gt;0,'Underlying Mechanics'!$B$12*'Underlying Mechanics'!$B$18,0)</x:f>
        <x:v>61500</x:v>
      </x:c>
      <x:c r="W78" t="n">
        <x:f>((IF(W$1-'Underlying Mechanics'!$B$8&lt;0,0,'Underlying Mechanics'!$B$22*'Underlying Mechanics'!$B$15*INDEX('Underlying Mechanics'!$B$31:$B$51,W$1-'Underlying Mechanics'!$B$8+1)*'Underlying Mechanics'!$B$5))*(1-$A78))-IF(W$1=0,'Underlying Mechanics'!$B$23*(1-$B78),0)-IF(W$1&gt;0,'Underlying Mechanics'!$B$22*'Underlying Mechanics'!$B$17,0)-IF(W$1&gt;0,'Underlying Mechanics'!$B$12*'Underlying Mechanics'!$B$18,0)</x:f>
        <x:v>61500</x:v>
      </x:c>
      <x:c r="X78" t="n">
        <x:f>IFERROR(IRR(C78:W78),-1)</x:f>
        <x:v>0.12036965067960614</x:v>
      </x:c>
    </x:row>
    <x:row r="79">
      <x:c r="A79" t="n">
        <x:v>0.3</x:v>
      </x:c>
      <x:c r="B79" t="n">
        <x:v>0.7</x:v>
      </x:c>
      <x:c r="C79" t="n">
        <x:f>((IF(C$1-'Underlying Mechanics'!$B$8&lt;0,0,'Underlying Mechanics'!$B$22*'Underlying Mechanics'!$B$15*INDEX('Underlying Mechanics'!$B$31:$B$51,C$1-'Underlying Mechanics'!$B$8+1)*'Underlying Mechanics'!$B$5))*(1-$A79))-IF(C$1=0,'Underlying Mechanics'!$B$23*(1-$B79),0)-IF(C$1&gt;0,'Underlying Mechanics'!$B$22*'Underlying Mechanics'!$B$17,0)-IF(C$1&gt;0,'Underlying Mechanics'!$B$12*'Underlying Mechanics'!$B$18,0)</x:f>
        <x:v>-45000.00000000001</x:v>
      </x:c>
      <x:c r="D79" t="n">
        <x:f>((IF(D$1-'Underlying Mechanics'!$B$8&lt;0,0,'Underlying Mechanics'!$B$22*'Underlying Mechanics'!$B$15*INDEX('Underlying Mechanics'!$B$31:$B$51,D$1-'Underlying Mechanics'!$B$8+1)*'Underlying Mechanics'!$B$5))*(1-$A79))-IF(D$1=0,'Underlying Mechanics'!$B$23*(1-$B79),0)-IF(D$1&gt;0,'Underlying Mechanics'!$B$22*'Underlying Mechanics'!$B$17,0)-IF(D$1&gt;0,'Underlying Mechanics'!$B$12*'Underlying Mechanics'!$B$18,0)</x:f>
        <x:v>-22500</x:v>
      </x:c>
      <x:c r="E79" t="n">
        <x:f>((IF(E$1-'Underlying Mechanics'!$B$8&lt;0,0,'Underlying Mechanics'!$B$22*'Underlying Mechanics'!$B$15*INDEX('Underlying Mechanics'!$B$31:$B$51,E$1-'Underlying Mechanics'!$B$8+1)*'Underlying Mechanics'!$B$5))*(1-$A79))-IF(E$1=0,'Underlying Mechanics'!$B$23*(1-$B79),0)-IF(E$1&gt;0,'Underlying Mechanics'!$B$22*'Underlying Mechanics'!$B$17,0)-IF(E$1&gt;0,'Underlying Mechanics'!$B$12*'Underlying Mechanics'!$B$18,0)</x:f>
        <x:v>-22500</x:v>
      </x:c>
      <x:c r="F79" t="n">
        <x:f>((IF(F$1-'Underlying Mechanics'!$B$8&lt;0,0,'Underlying Mechanics'!$B$22*'Underlying Mechanics'!$B$15*INDEX('Underlying Mechanics'!$B$31:$B$51,F$1-'Underlying Mechanics'!$B$8+1)*'Underlying Mechanics'!$B$5))*(1-$A79))-IF(F$1=0,'Underlying Mechanics'!$B$23*(1-$B79),0)-IF(F$1&gt;0,'Underlying Mechanics'!$B$22*'Underlying Mechanics'!$B$17,0)-IF(F$1&gt;0,'Underlying Mechanics'!$B$12*'Underlying Mechanics'!$B$18,0)</x:f>
        <x:v>-20820</x:v>
      </x:c>
      <x:c r="G79" t="n">
        <x:f>((IF(G$1-'Underlying Mechanics'!$B$8&lt;0,0,'Underlying Mechanics'!$B$22*'Underlying Mechanics'!$B$15*INDEX('Underlying Mechanics'!$B$31:$B$51,G$1-'Underlying Mechanics'!$B$8+1)*'Underlying Mechanics'!$B$5))*(1-$A79))-IF(G$1=0,'Underlying Mechanics'!$B$23*(1-$B79),0)-IF(G$1&gt;0,'Underlying Mechanics'!$B$22*'Underlying Mechanics'!$B$17,0)-IF(G$1&gt;0,'Underlying Mechanics'!$B$12*'Underlying Mechanics'!$B$18,0)</x:f>
        <x:v>-18300</x:v>
      </x:c>
      <x:c r="H79" t="n">
        <x:f>((IF(H$1-'Underlying Mechanics'!$B$8&lt;0,0,'Underlying Mechanics'!$B$22*'Underlying Mechanics'!$B$15*INDEX('Underlying Mechanics'!$B$31:$B$51,H$1-'Underlying Mechanics'!$B$8+1)*'Underlying Mechanics'!$B$5))*(1-$A79))-IF(H$1=0,'Underlying Mechanics'!$B$23*(1-$B79),0)-IF(H$1&gt;0,'Underlying Mechanics'!$B$22*'Underlying Mechanics'!$B$17,0)-IF(H$1&gt;0,'Underlying Mechanics'!$B$12*'Underlying Mechanics'!$B$18,0)</x:f>
        <x:v>-14100</x:v>
      </x:c>
      <x:c r="I79" t="n">
        <x:f>((IF(I$1-'Underlying Mechanics'!$B$8&lt;0,0,'Underlying Mechanics'!$B$22*'Underlying Mechanics'!$B$15*INDEX('Underlying Mechanics'!$B$31:$B$51,I$1-'Underlying Mechanics'!$B$8+1)*'Underlying Mechanics'!$B$5))*(1-$A79))-IF(I$1=0,'Underlying Mechanics'!$B$23*(1-$B79),0)-IF(I$1&gt;0,'Underlying Mechanics'!$B$22*'Underlying Mechanics'!$B$17,0)-IF(I$1&gt;0,'Underlying Mechanics'!$B$12*'Underlying Mechanics'!$B$18,0)</x:f>
        <x:v>-7380.000000000002</x:v>
      </x:c>
      <x:c r="J79" t="n">
        <x:f>((IF(J$1-'Underlying Mechanics'!$B$8&lt;0,0,'Underlying Mechanics'!$B$22*'Underlying Mechanics'!$B$15*INDEX('Underlying Mechanics'!$B$31:$B$51,J$1-'Underlying Mechanics'!$B$8+1)*'Underlying Mechanics'!$B$5))*(1-$A79))-IF(J$1=0,'Underlying Mechanics'!$B$23*(1-$B79),0)-IF(J$1&gt;0,'Underlying Mechanics'!$B$22*'Underlying Mechanics'!$B$17,0)-IF(J$1&gt;0,'Underlying Mechanics'!$B$12*'Underlying Mechanics'!$B$18,0)</x:f>
        <x:v>1020.0000000000036</x:v>
      </x:c>
      <x:c r="K79" t="n">
        <x:f>((IF(K$1-'Underlying Mechanics'!$B$8&lt;0,0,'Underlying Mechanics'!$B$22*'Underlying Mechanics'!$B$15*INDEX('Underlying Mechanics'!$B$31:$B$51,K$1-'Underlying Mechanics'!$B$8+1)*'Underlying Mechanics'!$B$5))*(1-$A79))-IF(K$1=0,'Underlying Mechanics'!$B$23*(1-$B79),0)-IF(K$1&gt;0,'Underlying Mechanics'!$B$22*'Underlying Mechanics'!$B$17,0)-IF(K$1&gt;0,'Underlying Mechanics'!$B$12*'Underlying Mechanics'!$B$18,0)</x:f>
        <x:v>11100</x:v>
      </x:c>
      <x:c r="L79" t="n">
        <x:f>((IF(L$1-'Underlying Mechanics'!$B$8&lt;0,0,'Underlying Mechanics'!$B$22*'Underlying Mechanics'!$B$15*INDEX('Underlying Mechanics'!$B$31:$B$51,L$1-'Underlying Mechanics'!$B$8+1)*'Underlying Mechanics'!$B$5))*(1-$A79))-IF(L$1=0,'Underlying Mechanics'!$B$23*(1-$B79),0)-IF(L$1&gt;0,'Underlying Mechanics'!$B$22*'Underlying Mechanics'!$B$17,0)-IF(L$1&gt;0,'Underlying Mechanics'!$B$12*'Underlying Mechanics'!$B$18,0)</x:f>
        <x:v>22860</x:v>
      </x:c>
      <x:c r="M79" t="n">
        <x:f>((IF(M$1-'Underlying Mechanics'!$B$8&lt;0,0,'Underlying Mechanics'!$B$22*'Underlying Mechanics'!$B$15*INDEX('Underlying Mechanics'!$B$31:$B$51,M$1-'Underlying Mechanics'!$B$8+1)*'Underlying Mechanics'!$B$5))*(1-$A79))-IF(M$1=0,'Underlying Mechanics'!$B$23*(1-$B79),0)-IF(M$1&gt;0,'Underlying Mechanics'!$B$22*'Underlying Mechanics'!$B$17,0)-IF(M$1&gt;0,'Underlying Mechanics'!$B$12*'Underlying Mechanics'!$B$18,0)</x:f>
        <x:v>34620.00000000001</x:v>
      </x:c>
      <x:c r="N79" t="n">
        <x:f>((IF(N$1-'Underlying Mechanics'!$B$8&lt;0,0,'Underlying Mechanics'!$B$22*'Underlying Mechanics'!$B$15*INDEX('Underlying Mechanics'!$B$31:$B$51,N$1-'Underlying Mechanics'!$B$8+1)*'Underlying Mechanics'!$B$5))*(1-$A79))-IF(N$1=0,'Underlying Mechanics'!$B$23*(1-$B79),0)-IF(N$1&gt;0,'Underlying Mechanics'!$B$22*'Underlying Mechanics'!$B$17,0)-IF(N$1&gt;0,'Underlying Mechanics'!$B$12*'Underlying Mechanics'!$B$18,0)</x:f>
        <x:v>44700</x:v>
      </x:c>
      <x:c r="O79" t="n">
        <x:f>((IF(O$1-'Underlying Mechanics'!$B$8&lt;0,0,'Underlying Mechanics'!$B$22*'Underlying Mechanics'!$B$15*INDEX('Underlying Mechanics'!$B$31:$B$51,O$1-'Underlying Mechanics'!$B$8+1)*'Underlying Mechanics'!$B$5))*(1-$A79))-IF(O$1=0,'Underlying Mechanics'!$B$23*(1-$B79),0)-IF(O$1&gt;0,'Underlying Mechanics'!$B$22*'Underlying Mechanics'!$B$17,0)-IF(O$1&gt;0,'Underlying Mechanics'!$B$12*'Underlying Mechanics'!$B$18,0)</x:f>
        <x:v>53100</x:v>
      </x:c>
      <x:c r="P79" t="n">
        <x:f>((IF(P$1-'Underlying Mechanics'!$B$8&lt;0,0,'Underlying Mechanics'!$B$22*'Underlying Mechanics'!$B$15*INDEX('Underlying Mechanics'!$B$31:$B$51,P$1-'Underlying Mechanics'!$B$8+1)*'Underlying Mechanics'!$B$5))*(1-$A79))-IF(P$1=0,'Underlying Mechanics'!$B$23*(1-$B79),0)-IF(P$1&gt;0,'Underlying Mechanics'!$B$22*'Underlying Mechanics'!$B$17,0)-IF(P$1&gt;0,'Underlying Mechanics'!$B$12*'Underlying Mechanics'!$B$18,0)</x:f>
        <x:v>61500</x:v>
      </x:c>
      <x:c r="Q79" t="n">
        <x:f>((IF(Q$1-'Underlying Mechanics'!$B$8&lt;0,0,'Underlying Mechanics'!$B$22*'Underlying Mechanics'!$B$15*INDEX('Underlying Mechanics'!$B$31:$B$51,Q$1-'Underlying Mechanics'!$B$8+1)*'Underlying Mechanics'!$B$5))*(1-$A79))-IF(Q$1=0,'Underlying Mechanics'!$B$23*(1-$B79),0)-IF(Q$1&gt;0,'Underlying Mechanics'!$B$22*'Underlying Mechanics'!$B$17,0)-IF(Q$1&gt;0,'Underlying Mechanics'!$B$12*'Underlying Mechanics'!$B$18,0)</x:f>
        <x:v>61500</x:v>
      </x:c>
      <x:c r="R79" t="n">
        <x:f>((IF(R$1-'Underlying Mechanics'!$B$8&lt;0,0,'Underlying Mechanics'!$B$22*'Underlying Mechanics'!$B$15*INDEX('Underlying Mechanics'!$B$31:$B$51,R$1-'Underlying Mechanics'!$B$8+1)*'Underlying Mechanics'!$B$5))*(1-$A79))-IF(R$1=0,'Underlying Mechanics'!$B$23*(1-$B79),0)-IF(R$1&gt;0,'Underlying Mechanics'!$B$22*'Underlying Mechanics'!$B$17,0)-IF(R$1&gt;0,'Underlying Mechanics'!$B$12*'Underlying Mechanics'!$B$18,0)</x:f>
        <x:v>61500</x:v>
      </x:c>
      <x:c r="S79" t="n">
        <x:f>((IF(S$1-'Underlying Mechanics'!$B$8&lt;0,0,'Underlying Mechanics'!$B$22*'Underlying Mechanics'!$B$15*INDEX('Underlying Mechanics'!$B$31:$B$51,S$1-'Underlying Mechanics'!$B$8+1)*'Underlying Mechanics'!$B$5))*(1-$A79))-IF(S$1=0,'Underlying Mechanics'!$B$23*(1-$B79),0)-IF(S$1&gt;0,'Underlying Mechanics'!$B$22*'Underlying Mechanics'!$B$17,0)-IF(S$1&gt;0,'Underlying Mechanics'!$B$12*'Underlying Mechanics'!$B$18,0)</x:f>
        <x:v>61500</x:v>
      </x:c>
      <x:c r="T79" t="n">
        <x:f>((IF(T$1-'Underlying Mechanics'!$B$8&lt;0,0,'Underlying Mechanics'!$B$22*'Underlying Mechanics'!$B$15*INDEX('Underlying Mechanics'!$B$31:$B$51,T$1-'Underlying Mechanics'!$B$8+1)*'Underlying Mechanics'!$B$5))*(1-$A79))-IF(T$1=0,'Underlying Mechanics'!$B$23*(1-$B79),0)-IF(T$1&gt;0,'Underlying Mechanics'!$B$22*'Underlying Mechanics'!$B$17,0)-IF(T$1&gt;0,'Underlying Mechanics'!$B$12*'Underlying Mechanics'!$B$18,0)</x:f>
        <x:v>61500</x:v>
      </x:c>
      <x:c r="U79" t="n">
        <x:f>((IF(U$1-'Underlying Mechanics'!$B$8&lt;0,0,'Underlying Mechanics'!$B$22*'Underlying Mechanics'!$B$15*INDEX('Underlying Mechanics'!$B$31:$B$51,U$1-'Underlying Mechanics'!$B$8+1)*'Underlying Mechanics'!$B$5))*(1-$A79))-IF(U$1=0,'Underlying Mechanics'!$B$23*(1-$B79),0)-IF(U$1&gt;0,'Underlying Mechanics'!$B$22*'Underlying Mechanics'!$B$17,0)-IF(U$1&gt;0,'Underlying Mechanics'!$B$12*'Underlying Mechanics'!$B$18,0)</x:f>
        <x:v>61500</x:v>
      </x:c>
      <x:c r="V79" t="n">
        <x:f>((IF(V$1-'Underlying Mechanics'!$B$8&lt;0,0,'Underlying Mechanics'!$B$22*'Underlying Mechanics'!$B$15*INDEX('Underlying Mechanics'!$B$31:$B$51,V$1-'Underlying Mechanics'!$B$8+1)*'Underlying Mechanics'!$B$5))*(1-$A79))-IF(V$1=0,'Underlying Mechanics'!$B$23*(1-$B79),0)-IF(V$1&gt;0,'Underlying Mechanics'!$B$22*'Underlying Mechanics'!$B$17,0)-IF(V$1&gt;0,'Underlying Mechanics'!$B$12*'Underlying Mechanics'!$B$18,0)</x:f>
        <x:v>61500</x:v>
      </x:c>
      <x:c r="W79" t="n">
        <x:f>((IF(W$1-'Underlying Mechanics'!$B$8&lt;0,0,'Underlying Mechanics'!$B$22*'Underlying Mechanics'!$B$15*INDEX('Underlying Mechanics'!$B$31:$B$51,W$1-'Underlying Mechanics'!$B$8+1)*'Underlying Mechanics'!$B$5))*(1-$A79))-IF(W$1=0,'Underlying Mechanics'!$B$23*(1-$B79),0)-IF(W$1&gt;0,'Underlying Mechanics'!$B$22*'Underlying Mechanics'!$B$17,0)-IF(W$1&gt;0,'Underlying Mechanics'!$B$12*'Underlying Mechanics'!$B$18,0)</x:f>
        <x:v>61500</x:v>
      </x:c>
      <x:c r="X79" t="n">
        <x:f>IFERROR(IRR(C79:W79),-1)</x:f>
        <x:v>0.12598944330564715</x:v>
      </x:c>
    </x:row>
    <x:row r="80">
      <x:c r="A80" t="n">
        <x:v>0.3</x:v>
      </x:c>
      <x:c r="B80" t="n">
        <x:v>0.75</x:v>
      </x:c>
      <x:c r="C80" t="n">
        <x:f>((IF(C$1-'Underlying Mechanics'!$B$8&lt;0,0,'Underlying Mechanics'!$B$22*'Underlying Mechanics'!$B$15*INDEX('Underlying Mechanics'!$B$31:$B$51,C$1-'Underlying Mechanics'!$B$8+1)*'Underlying Mechanics'!$B$5))*(1-$A80))-IF(C$1=0,'Underlying Mechanics'!$B$23*(1-$B80),0)-IF(C$1&gt;0,'Underlying Mechanics'!$B$22*'Underlying Mechanics'!$B$17,0)-IF(C$1&gt;0,'Underlying Mechanics'!$B$12*'Underlying Mechanics'!$B$18,0)</x:f>
        <x:v>-37500</x:v>
      </x:c>
      <x:c r="D80" t="n">
        <x:f>((IF(D$1-'Underlying Mechanics'!$B$8&lt;0,0,'Underlying Mechanics'!$B$22*'Underlying Mechanics'!$B$15*INDEX('Underlying Mechanics'!$B$31:$B$51,D$1-'Underlying Mechanics'!$B$8+1)*'Underlying Mechanics'!$B$5))*(1-$A80))-IF(D$1=0,'Underlying Mechanics'!$B$23*(1-$B80),0)-IF(D$1&gt;0,'Underlying Mechanics'!$B$22*'Underlying Mechanics'!$B$17,0)-IF(D$1&gt;0,'Underlying Mechanics'!$B$12*'Underlying Mechanics'!$B$18,0)</x:f>
        <x:v>-22500</x:v>
      </x:c>
      <x:c r="E80" t="n">
        <x:f>((IF(E$1-'Underlying Mechanics'!$B$8&lt;0,0,'Underlying Mechanics'!$B$22*'Underlying Mechanics'!$B$15*INDEX('Underlying Mechanics'!$B$31:$B$51,E$1-'Underlying Mechanics'!$B$8+1)*'Underlying Mechanics'!$B$5))*(1-$A80))-IF(E$1=0,'Underlying Mechanics'!$B$23*(1-$B80),0)-IF(E$1&gt;0,'Underlying Mechanics'!$B$22*'Underlying Mechanics'!$B$17,0)-IF(E$1&gt;0,'Underlying Mechanics'!$B$12*'Underlying Mechanics'!$B$18,0)</x:f>
        <x:v>-22500</x:v>
      </x:c>
      <x:c r="F80" t="n">
        <x:f>((IF(F$1-'Underlying Mechanics'!$B$8&lt;0,0,'Underlying Mechanics'!$B$22*'Underlying Mechanics'!$B$15*INDEX('Underlying Mechanics'!$B$31:$B$51,F$1-'Underlying Mechanics'!$B$8+1)*'Underlying Mechanics'!$B$5))*(1-$A80))-IF(F$1=0,'Underlying Mechanics'!$B$23*(1-$B80),0)-IF(F$1&gt;0,'Underlying Mechanics'!$B$22*'Underlying Mechanics'!$B$17,0)-IF(F$1&gt;0,'Underlying Mechanics'!$B$12*'Underlying Mechanics'!$B$18,0)</x:f>
        <x:v>-20820</x:v>
      </x:c>
      <x:c r="G80" t="n">
        <x:f>((IF(G$1-'Underlying Mechanics'!$B$8&lt;0,0,'Underlying Mechanics'!$B$22*'Underlying Mechanics'!$B$15*INDEX('Underlying Mechanics'!$B$31:$B$51,G$1-'Underlying Mechanics'!$B$8+1)*'Underlying Mechanics'!$B$5))*(1-$A80))-IF(G$1=0,'Underlying Mechanics'!$B$23*(1-$B80),0)-IF(G$1&gt;0,'Underlying Mechanics'!$B$22*'Underlying Mechanics'!$B$17,0)-IF(G$1&gt;0,'Underlying Mechanics'!$B$12*'Underlying Mechanics'!$B$18,0)</x:f>
        <x:v>-18300</x:v>
      </x:c>
      <x:c r="H80" t="n">
        <x:f>((IF(H$1-'Underlying Mechanics'!$B$8&lt;0,0,'Underlying Mechanics'!$B$22*'Underlying Mechanics'!$B$15*INDEX('Underlying Mechanics'!$B$31:$B$51,H$1-'Underlying Mechanics'!$B$8+1)*'Underlying Mechanics'!$B$5))*(1-$A80))-IF(H$1=0,'Underlying Mechanics'!$B$23*(1-$B80),0)-IF(H$1&gt;0,'Underlying Mechanics'!$B$22*'Underlying Mechanics'!$B$17,0)-IF(H$1&gt;0,'Underlying Mechanics'!$B$12*'Underlying Mechanics'!$B$18,0)</x:f>
        <x:v>-14100</x:v>
      </x:c>
      <x:c r="I80" t="n">
        <x:f>((IF(I$1-'Underlying Mechanics'!$B$8&lt;0,0,'Underlying Mechanics'!$B$22*'Underlying Mechanics'!$B$15*INDEX('Underlying Mechanics'!$B$31:$B$51,I$1-'Underlying Mechanics'!$B$8+1)*'Underlying Mechanics'!$B$5))*(1-$A80))-IF(I$1=0,'Underlying Mechanics'!$B$23*(1-$B80),0)-IF(I$1&gt;0,'Underlying Mechanics'!$B$22*'Underlying Mechanics'!$B$17,0)-IF(I$1&gt;0,'Underlying Mechanics'!$B$12*'Underlying Mechanics'!$B$18,0)</x:f>
        <x:v>-7380.000000000002</x:v>
      </x:c>
      <x:c r="J80" t="n">
        <x:f>((IF(J$1-'Underlying Mechanics'!$B$8&lt;0,0,'Underlying Mechanics'!$B$22*'Underlying Mechanics'!$B$15*INDEX('Underlying Mechanics'!$B$31:$B$51,J$1-'Underlying Mechanics'!$B$8+1)*'Underlying Mechanics'!$B$5))*(1-$A80))-IF(J$1=0,'Underlying Mechanics'!$B$23*(1-$B80),0)-IF(J$1&gt;0,'Underlying Mechanics'!$B$22*'Underlying Mechanics'!$B$17,0)-IF(J$1&gt;0,'Underlying Mechanics'!$B$12*'Underlying Mechanics'!$B$18,0)</x:f>
        <x:v>1020.0000000000036</x:v>
      </x:c>
      <x:c r="K80" t="n">
        <x:f>((IF(K$1-'Underlying Mechanics'!$B$8&lt;0,0,'Underlying Mechanics'!$B$22*'Underlying Mechanics'!$B$15*INDEX('Underlying Mechanics'!$B$31:$B$51,K$1-'Underlying Mechanics'!$B$8+1)*'Underlying Mechanics'!$B$5))*(1-$A80))-IF(K$1=0,'Underlying Mechanics'!$B$23*(1-$B80),0)-IF(K$1&gt;0,'Underlying Mechanics'!$B$22*'Underlying Mechanics'!$B$17,0)-IF(K$1&gt;0,'Underlying Mechanics'!$B$12*'Underlying Mechanics'!$B$18,0)</x:f>
        <x:v>11100</x:v>
      </x:c>
      <x:c r="L80" t="n">
        <x:f>((IF(L$1-'Underlying Mechanics'!$B$8&lt;0,0,'Underlying Mechanics'!$B$22*'Underlying Mechanics'!$B$15*INDEX('Underlying Mechanics'!$B$31:$B$51,L$1-'Underlying Mechanics'!$B$8+1)*'Underlying Mechanics'!$B$5))*(1-$A80))-IF(L$1=0,'Underlying Mechanics'!$B$23*(1-$B80),0)-IF(L$1&gt;0,'Underlying Mechanics'!$B$22*'Underlying Mechanics'!$B$17,0)-IF(L$1&gt;0,'Underlying Mechanics'!$B$12*'Underlying Mechanics'!$B$18,0)</x:f>
        <x:v>22860</x:v>
      </x:c>
      <x:c r="M80" t="n">
        <x:f>((IF(M$1-'Underlying Mechanics'!$B$8&lt;0,0,'Underlying Mechanics'!$B$22*'Underlying Mechanics'!$B$15*INDEX('Underlying Mechanics'!$B$31:$B$51,M$1-'Underlying Mechanics'!$B$8+1)*'Underlying Mechanics'!$B$5))*(1-$A80))-IF(M$1=0,'Underlying Mechanics'!$B$23*(1-$B80),0)-IF(M$1&gt;0,'Underlying Mechanics'!$B$22*'Underlying Mechanics'!$B$17,0)-IF(M$1&gt;0,'Underlying Mechanics'!$B$12*'Underlying Mechanics'!$B$18,0)</x:f>
        <x:v>34620.00000000001</x:v>
      </x:c>
      <x:c r="N80" t="n">
        <x:f>((IF(N$1-'Underlying Mechanics'!$B$8&lt;0,0,'Underlying Mechanics'!$B$22*'Underlying Mechanics'!$B$15*INDEX('Underlying Mechanics'!$B$31:$B$51,N$1-'Underlying Mechanics'!$B$8+1)*'Underlying Mechanics'!$B$5))*(1-$A80))-IF(N$1=0,'Underlying Mechanics'!$B$23*(1-$B80),0)-IF(N$1&gt;0,'Underlying Mechanics'!$B$22*'Underlying Mechanics'!$B$17,0)-IF(N$1&gt;0,'Underlying Mechanics'!$B$12*'Underlying Mechanics'!$B$18,0)</x:f>
        <x:v>44700</x:v>
      </x:c>
      <x:c r="O80" t="n">
        <x:f>((IF(O$1-'Underlying Mechanics'!$B$8&lt;0,0,'Underlying Mechanics'!$B$22*'Underlying Mechanics'!$B$15*INDEX('Underlying Mechanics'!$B$31:$B$51,O$1-'Underlying Mechanics'!$B$8+1)*'Underlying Mechanics'!$B$5))*(1-$A80))-IF(O$1=0,'Underlying Mechanics'!$B$23*(1-$B80),0)-IF(O$1&gt;0,'Underlying Mechanics'!$B$22*'Underlying Mechanics'!$B$17,0)-IF(O$1&gt;0,'Underlying Mechanics'!$B$12*'Underlying Mechanics'!$B$18,0)</x:f>
        <x:v>53100</x:v>
      </x:c>
      <x:c r="P80" t="n">
        <x:f>((IF(P$1-'Underlying Mechanics'!$B$8&lt;0,0,'Underlying Mechanics'!$B$22*'Underlying Mechanics'!$B$15*INDEX('Underlying Mechanics'!$B$31:$B$51,P$1-'Underlying Mechanics'!$B$8+1)*'Underlying Mechanics'!$B$5))*(1-$A80))-IF(P$1=0,'Underlying Mechanics'!$B$23*(1-$B80),0)-IF(P$1&gt;0,'Underlying Mechanics'!$B$22*'Underlying Mechanics'!$B$17,0)-IF(P$1&gt;0,'Underlying Mechanics'!$B$12*'Underlying Mechanics'!$B$18,0)</x:f>
        <x:v>61500</x:v>
      </x:c>
      <x:c r="Q80" t="n">
        <x:f>((IF(Q$1-'Underlying Mechanics'!$B$8&lt;0,0,'Underlying Mechanics'!$B$22*'Underlying Mechanics'!$B$15*INDEX('Underlying Mechanics'!$B$31:$B$51,Q$1-'Underlying Mechanics'!$B$8+1)*'Underlying Mechanics'!$B$5))*(1-$A80))-IF(Q$1=0,'Underlying Mechanics'!$B$23*(1-$B80),0)-IF(Q$1&gt;0,'Underlying Mechanics'!$B$22*'Underlying Mechanics'!$B$17,0)-IF(Q$1&gt;0,'Underlying Mechanics'!$B$12*'Underlying Mechanics'!$B$18,0)</x:f>
        <x:v>61500</x:v>
      </x:c>
      <x:c r="R80" t="n">
        <x:f>((IF(R$1-'Underlying Mechanics'!$B$8&lt;0,0,'Underlying Mechanics'!$B$22*'Underlying Mechanics'!$B$15*INDEX('Underlying Mechanics'!$B$31:$B$51,R$1-'Underlying Mechanics'!$B$8+1)*'Underlying Mechanics'!$B$5))*(1-$A80))-IF(R$1=0,'Underlying Mechanics'!$B$23*(1-$B80),0)-IF(R$1&gt;0,'Underlying Mechanics'!$B$22*'Underlying Mechanics'!$B$17,0)-IF(R$1&gt;0,'Underlying Mechanics'!$B$12*'Underlying Mechanics'!$B$18,0)</x:f>
        <x:v>61500</x:v>
      </x:c>
      <x:c r="S80" t="n">
        <x:f>((IF(S$1-'Underlying Mechanics'!$B$8&lt;0,0,'Underlying Mechanics'!$B$22*'Underlying Mechanics'!$B$15*INDEX('Underlying Mechanics'!$B$31:$B$51,S$1-'Underlying Mechanics'!$B$8+1)*'Underlying Mechanics'!$B$5))*(1-$A80))-IF(S$1=0,'Underlying Mechanics'!$B$23*(1-$B80),0)-IF(S$1&gt;0,'Underlying Mechanics'!$B$22*'Underlying Mechanics'!$B$17,0)-IF(S$1&gt;0,'Underlying Mechanics'!$B$12*'Underlying Mechanics'!$B$18,0)</x:f>
        <x:v>61500</x:v>
      </x:c>
      <x:c r="T80" t="n">
        <x:f>((IF(T$1-'Underlying Mechanics'!$B$8&lt;0,0,'Underlying Mechanics'!$B$22*'Underlying Mechanics'!$B$15*INDEX('Underlying Mechanics'!$B$31:$B$51,T$1-'Underlying Mechanics'!$B$8+1)*'Underlying Mechanics'!$B$5))*(1-$A80))-IF(T$1=0,'Underlying Mechanics'!$B$23*(1-$B80),0)-IF(T$1&gt;0,'Underlying Mechanics'!$B$22*'Underlying Mechanics'!$B$17,0)-IF(T$1&gt;0,'Underlying Mechanics'!$B$12*'Underlying Mechanics'!$B$18,0)</x:f>
        <x:v>61500</x:v>
      </x:c>
      <x:c r="U80" t="n">
        <x:f>((IF(U$1-'Underlying Mechanics'!$B$8&lt;0,0,'Underlying Mechanics'!$B$22*'Underlying Mechanics'!$B$15*INDEX('Underlying Mechanics'!$B$31:$B$51,U$1-'Underlying Mechanics'!$B$8+1)*'Underlying Mechanics'!$B$5))*(1-$A80))-IF(U$1=0,'Underlying Mechanics'!$B$23*(1-$B80),0)-IF(U$1&gt;0,'Underlying Mechanics'!$B$22*'Underlying Mechanics'!$B$17,0)-IF(U$1&gt;0,'Underlying Mechanics'!$B$12*'Underlying Mechanics'!$B$18,0)</x:f>
        <x:v>61500</x:v>
      </x:c>
      <x:c r="V80" t="n">
        <x:f>((IF(V$1-'Underlying Mechanics'!$B$8&lt;0,0,'Underlying Mechanics'!$B$22*'Underlying Mechanics'!$B$15*INDEX('Underlying Mechanics'!$B$31:$B$51,V$1-'Underlying Mechanics'!$B$8+1)*'Underlying Mechanics'!$B$5))*(1-$A80))-IF(V$1=0,'Underlying Mechanics'!$B$23*(1-$B80),0)-IF(V$1&gt;0,'Underlying Mechanics'!$B$22*'Underlying Mechanics'!$B$17,0)-IF(V$1&gt;0,'Underlying Mechanics'!$B$12*'Underlying Mechanics'!$B$18,0)</x:f>
        <x:v>61500</x:v>
      </x:c>
      <x:c r="W80" t="n">
        <x:f>((IF(W$1-'Underlying Mechanics'!$B$8&lt;0,0,'Underlying Mechanics'!$B$22*'Underlying Mechanics'!$B$15*INDEX('Underlying Mechanics'!$B$31:$B$51,W$1-'Underlying Mechanics'!$B$8+1)*'Underlying Mechanics'!$B$5))*(1-$A80))-IF(W$1=0,'Underlying Mechanics'!$B$23*(1-$B80),0)-IF(W$1&gt;0,'Underlying Mechanics'!$B$22*'Underlying Mechanics'!$B$17,0)-IF(W$1&gt;0,'Underlying Mechanics'!$B$12*'Underlying Mechanics'!$B$18,0)</x:f>
        <x:v>61500</x:v>
      </x:c>
      <x:c r="X80" t="n">
        <x:f>IFERROR(IRR(C80:W80),-1)</x:f>
        <x:v>0.13213241146541027</x:v>
      </x:c>
    </x:row>
    <x:row r="81">
      <x:c r="A81" t="n">
        <x:v>0.3</x:v>
      </x:c>
      <x:c r="B81" t="n">
        <x:v>0.8</x:v>
      </x:c>
      <x:c r="C81" t="n">
        <x:f>((IF(C$1-'Underlying Mechanics'!$B$8&lt;0,0,'Underlying Mechanics'!$B$22*'Underlying Mechanics'!$B$15*INDEX('Underlying Mechanics'!$B$31:$B$51,C$1-'Underlying Mechanics'!$B$8+1)*'Underlying Mechanics'!$B$5))*(1-$A81))-IF(C$1=0,'Underlying Mechanics'!$B$23*(1-$B81),0)-IF(C$1&gt;0,'Underlying Mechanics'!$B$22*'Underlying Mechanics'!$B$17,0)-IF(C$1&gt;0,'Underlying Mechanics'!$B$12*'Underlying Mechanics'!$B$18,0)</x:f>
        <x:v>-29999.999999999993</x:v>
      </x:c>
      <x:c r="D81" t="n">
        <x:f>((IF(D$1-'Underlying Mechanics'!$B$8&lt;0,0,'Underlying Mechanics'!$B$22*'Underlying Mechanics'!$B$15*INDEX('Underlying Mechanics'!$B$31:$B$51,D$1-'Underlying Mechanics'!$B$8+1)*'Underlying Mechanics'!$B$5))*(1-$A81))-IF(D$1=0,'Underlying Mechanics'!$B$23*(1-$B81),0)-IF(D$1&gt;0,'Underlying Mechanics'!$B$22*'Underlying Mechanics'!$B$17,0)-IF(D$1&gt;0,'Underlying Mechanics'!$B$12*'Underlying Mechanics'!$B$18,0)</x:f>
        <x:v>-22500</x:v>
      </x:c>
      <x:c r="E81" t="n">
        <x:f>((IF(E$1-'Underlying Mechanics'!$B$8&lt;0,0,'Underlying Mechanics'!$B$22*'Underlying Mechanics'!$B$15*INDEX('Underlying Mechanics'!$B$31:$B$51,E$1-'Underlying Mechanics'!$B$8+1)*'Underlying Mechanics'!$B$5))*(1-$A81))-IF(E$1=0,'Underlying Mechanics'!$B$23*(1-$B81),0)-IF(E$1&gt;0,'Underlying Mechanics'!$B$22*'Underlying Mechanics'!$B$17,0)-IF(E$1&gt;0,'Underlying Mechanics'!$B$12*'Underlying Mechanics'!$B$18,0)</x:f>
        <x:v>-22500</x:v>
      </x:c>
      <x:c r="F81" t="n">
        <x:f>((IF(F$1-'Underlying Mechanics'!$B$8&lt;0,0,'Underlying Mechanics'!$B$22*'Underlying Mechanics'!$B$15*INDEX('Underlying Mechanics'!$B$31:$B$51,F$1-'Underlying Mechanics'!$B$8+1)*'Underlying Mechanics'!$B$5))*(1-$A81))-IF(F$1=0,'Underlying Mechanics'!$B$23*(1-$B81),0)-IF(F$1&gt;0,'Underlying Mechanics'!$B$22*'Underlying Mechanics'!$B$17,0)-IF(F$1&gt;0,'Underlying Mechanics'!$B$12*'Underlying Mechanics'!$B$18,0)</x:f>
        <x:v>-20820</x:v>
      </x:c>
      <x:c r="G81" t="n">
        <x:f>((IF(G$1-'Underlying Mechanics'!$B$8&lt;0,0,'Underlying Mechanics'!$B$22*'Underlying Mechanics'!$B$15*INDEX('Underlying Mechanics'!$B$31:$B$51,G$1-'Underlying Mechanics'!$B$8+1)*'Underlying Mechanics'!$B$5))*(1-$A81))-IF(G$1=0,'Underlying Mechanics'!$B$23*(1-$B81),0)-IF(G$1&gt;0,'Underlying Mechanics'!$B$22*'Underlying Mechanics'!$B$17,0)-IF(G$1&gt;0,'Underlying Mechanics'!$B$12*'Underlying Mechanics'!$B$18,0)</x:f>
        <x:v>-18300</x:v>
      </x:c>
      <x:c r="H81" t="n">
        <x:f>((IF(H$1-'Underlying Mechanics'!$B$8&lt;0,0,'Underlying Mechanics'!$B$22*'Underlying Mechanics'!$B$15*INDEX('Underlying Mechanics'!$B$31:$B$51,H$1-'Underlying Mechanics'!$B$8+1)*'Underlying Mechanics'!$B$5))*(1-$A81))-IF(H$1=0,'Underlying Mechanics'!$B$23*(1-$B81),0)-IF(H$1&gt;0,'Underlying Mechanics'!$B$22*'Underlying Mechanics'!$B$17,0)-IF(H$1&gt;0,'Underlying Mechanics'!$B$12*'Underlying Mechanics'!$B$18,0)</x:f>
        <x:v>-14100</x:v>
      </x:c>
      <x:c r="I81" t="n">
        <x:f>((IF(I$1-'Underlying Mechanics'!$B$8&lt;0,0,'Underlying Mechanics'!$B$22*'Underlying Mechanics'!$B$15*INDEX('Underlying Mechanics'!$B$31:$B$51,I$1-'Underlying Mechanics'!$B$8+1)*'Underlying Mechanics'!$B$5))*(1-$A81))-IF(I$1=0,'Underlying Mechanics'!$B$23*(1-$B81),0)-IF(I$1&gt;0,'Underlying Mechanics'!$B$22*'Underlying Mechanics'!$B$17,0)-IF(I$1&gt;0,'Underlying Mechanics'!$B$12*'Underlying Mechanics'!$B$18,0)</x:f>
        <x:v>-7380.000000000002</x:v>
      </x:c>
      <x:c r="J81" t="n">
        <x:f>((IF(J$1-'Underlying Mechanics'!$B$8&lt;0,0,'Underlying Mechanics'!$B$22*'Underlying Mechanics'!$B$15*INDEX('Underlying Mechanics'!$B$31:$B$51,J$1-'Underlying Mechanics'!$B$8+1)*'Underlying Mechanics'!$B$5))*(1-$A81))-IF(J$1=0,'Underlying Mechanics'!$B$23*(1-$B81),0)-IF(J$1&gt;0,'Underlying Mechanics'!$B$22*'Underlying Mechanics'!$B$17,0)-IF(J$1&gt;0,'Underlying Mechanics'!$B$12*'Underlying Mechanics'!$B$18,0)</x:f>
        <x:v>1020.0000000000036</x:v>
      </x:c>
      <x:c r="K81" t="n">
        <x:f>((IF(K$1-'Underlying Mechanics'!$B$8&lt;0,0,'Underlying Mechanics'!$B$22*'Underlying Mechanics'!$B$15*INDEX('Underlying Mechanics'!$B$31:$B$51,K$1-'Underlying Mechanics'!$B$8+1)*'Underlying Mechanics'!$B$5))*(1-$A81))-IF(K$1=0,'Underlying Mechanics'!$B$23*(1-$B81),0)-IF(K$1&gt;0,'Underlying Mechanics'!$B$22*'Underlying Mechanics'!$B$17,0)-IF(K$1&gt;0,'Underlying Mechanics'!$B$12*'Underlying Mechanics'!$B$18,0)</x:f>
        <x:v>11100</x:v>
      </x:c>
      <x:c r="L81" t="n">
        <x:f>((IF(L$1-'Underlying Mechanics'!$B$8&lt;0,0,'Underlying Mechanics'!$B$22*'Underlying Mechanics'!$B$15*INDEX('Underlying Mechanics'!$B$31:$B$51,L$1-'Underlying Mechanics'!$B$8+1)*'Underlying Mechanics'!$B$5))*(1-$A81))-IF(L$1=0,'Underlying Mechanics'!$B$23*(1-$B81),0)-IF(L$1&gt;0,'Underlying Mechanics'!$B$22*'Underlying Mechanics'!$B$17,0)-IF(L$1&gt;0,'Underlying Mechanics'!$B$12*'Underlying Mechanics'!$B$18,0)</x:f>
        <x:v>22860</x:v>
      </x:c>
      <x:c r="M81" t="n">
        <x:f>((IF(M$1-'Underlying Mechanics'!$B$8&lt;0,0,'Underlying Mechanics'!$B$22*'Underlying Mechanics'!$B$15*INDEX('Underlying Mechanics'!$B$31:$B$51,M$1-'Underlying Mechanics'!$B$8+1)*'Underlying Mechanics'!$B$5))*(1-$A81))-IF(M$1=0,'Underlying Mechanics'!$B$23*(1-$B81),0)-IF(M$1&gt;0,'Underlying Mechanics'!$B$22*'Underlying Mechanics'!$B$17,0)-IF(M$1&gt;0,'Underlying Mechanics'!$B$12*'Underlying Mechanics'!$B$18,0)</x:f>
        <x:v>34620.00000000001</x:v>
      </x:c>
      <x:c r="N81" t="n">
        <x:f>((IF(N$1-'Underlying Mechanics'!$B$8&lt;0,0,'Underlying Mechanics'!$B$22*'Underlying Mechanics'!$B$15*INDEX('Underlying Mechanics'!$B$31:$B$51,N$1-'Underlying Mechanics'!$B$8+1)*'Underlying Mechanics'!$B$5))*(1-$A81))-IF(N$1=0,'Underlying Mechanics'!$B$23*(1-$B81),0)-IF(N$1&gt;0,'Underlying Mechanics'!$B$22*'Underlying Mechanics'!$B$17,0)-IF(N$1&gt;0,'Underlying Mechanics'!$B$12*'Underlying Mechanics'!$B$18,0)</x:f>
        <x:v>44700</x:v>
      </x:c>
      <x:c r="O81" t="n">
        <x:f>((IF(O$1-'Underlying Mechanics'!$B$8&lt;0,0,'Underlying Mechanics'!$B$22*'Underlying Mechanics'!$B$15*INDEX('Underlying Mechanics'!$B$31:$B$51,O$1-'Underlying Mechanics'!$B$8+1)*'Underlying Mechanics'!$B$5))*(1-$A81))-IF(O$1=0,'Underlying Mechanics'!$B$23*(1-$B81),0)-IF(O$1&gt;0,'Underlying Mechanics'!$B$22*'Underlying Mechanics'!$B$17,0)-IF(O$1&gt;0,'Underlying Mechanics'!$B$12*'Underlying Mechanics'!$B$18,0)</x:f>
        <x:v>53100</x:v>
      </x:c>
      <x:c r="P81" t="n">
        <x:f>((IF(P$1-'Underlying Mechanics'!$B$8&lt;0,0,'Underlying Mechanics'!$B$22*'Underlying Mechanics'!$B$15*INDEX('Underlying Mechanics'!$B$31:$B$51,P$1-'Underlying Mechanics'!$B$8+1)*'Underlying Mechanics'!$B$5))*(1-$A81))-IF(P$1=0,'Underlying Mechanics'!$B$23*(1-$B81),0)-IF(P$1&gt;0,'Underlying Mechanics'!$B$22*'Underlying Mechanics'!$B$17,0)-IF(P$1&gt;0,'Underlying Mechanics'!$B$12*'Underlying Mechanics'!$B$18,0)</x:f>
        <x:v>61500</x:v>
      </x:c>
      <x:c r="Q81" t="n">
        <x:f>((IF(Q$1-'Underlying Mechanics'!$B$8&lt;0,0,'Underlying Mechanics'!$B$22*'Underlying Mechanics'!$B$15*INDEX('Underlying Mechanics'!$B$31:$B$51,Q$1-'Underlying Mechanics'!$B$8+1)*'Underlying Mechanics'!$B$5))*(1-$A81))-IF(Q$1=0,'Underlying Mechanics'!$B$23*(1-$B81),0)-IF(Q$1&gt;0,'Underlying Mechanics'!$B$22*'Underlying Mechanics'!$B$17,0)-IF(Q$1&gt;0,'Underlying Mechanics'!$B$12*'Underlying Mechanics'!$B$18,0)</x:f>
        <x:v>61500</x:v>
      </x:c>
      <x:c r="R81" t="n">
        <x:f>((IF(R$1-'Underlying Mechanics'!$B$8&lt;0,0,'Underlying Mechanics'!$B$22*'Underlying Mechanics'!$B$15*INDEX('Underlying Mechanics'!$B$31:$B$51,R$1-'Underlying Mechanics'!$B$8+1)*'Underlying Mechanics'!$B$5))*(1-$A81))-IF(R$1=0,'Underlying Mechanics'!$B$23*(1-$B81),0)-IF(R$1&gt;0,'Underlying Mechanics'!$B$22*'Underlying Mechanics'!$B$17,0)-IF(R$1&gt;0,'Underlying Mechanics'!$B$12*'Underlying Mechanics'!$B$18,0)</x:f>
        <x:v>61500</x:v>
      </x:c>
      <x:c r="S81" t="n">
        <x:f>((IF(S$1-'Underlying Mechanics'!$B$8&lt;0,0,'Underlying Mechanics'!$B$22*'Underlying Mechanics'!$B$15*INDEX('Underlying Mechanics'!$B$31:$B$51,S$1-'Underlying Mechanics'!$B$8+1)*'Underlying Mechanics'!$B$5))*(1-$A81))-IF(S$1=0,'Underlying Mechanics'!$B$23*(1-$B81),0)-IF(S$1&gt;0,'Underlying Mechanics'!$B$22*'Underlying Mechanics'!$B$17,0)-IF(S$1&gt;0,'Underlying Mechanics'!$B$12*'Underlying Mechanics'!$B$18,0)</x:f>
        <x:v>61500</x:v>
      </x:c>
      <x:c r="T81" t="n">
        <x:f>((IF(T$1-'Underlying Mechanics'!$B$8&lt;0,0,'Underlying Mechanics'!$B$22*'Underlying Mechanics'!$B$15*INDEX('Underlying Mechanics'!$B$31:$B$51,T$1-'Underlying Mechanics'!$B$8+1)*'Underlying Mechanics'!$B$5))*(1-$A81))-IF(T$1=0,'Underlying Mechanics'!$B$23*(1-$B81),0)-IF(T$1&gt;0,'Underlying Mechanics'!$B$22*'Underlying Mechanics'!$B$17,0)-IF(T$1&gt;0,'Underlying Mechanics'!$B$12*'Underlying Mechanics'!$B$18,0)</x:f>
        <x:v>61500</x:v>
      </x:c>
      <x:c r="U81" t="n">
        <x:f>((IF(U$1-'Underlying Mechanics'!$B$8&lt;0,0,'Underlying Mechanics'!$B$22*'Underlying Mechanics'!$B$15*INDEX('Underlying Mechanics'!$B$31:$B$51,U$1-'Underlying Mechanics'!$B$8+1)*'Underlying Mechanics'!$B$5))*(1-$A81))-IF(U$1=0,'Underlying Mechanics'!$B$23*(1-$B81),0)-IF(U$1&gt;0,'Underlying Mechanics'!$B$22*'Underlying Mechanics'!$B$17,0)-IF(U$1&gt;0,'Underlying Mechanics'!$B$12*'Underlying Mechanics'!$B$18,0)</x:f>
        <x:v>61500</x:v>
      </x:c>
      <x:c r="V81" t="n">
        <x:f>((IF(V$1-'Underlying Mechanics'!$B$8&lt;0,0,'Underlying Mechanics'!$B$22*'Underlying Mechanics'!$B$15*INDEX('Underlying Mechanics'!$B$31:$B$51,V$1-'Underlying Mechanics'!$B$8+1)*'Underlying Mechanics'!$B$5))*(1-$A81))-IF(V$1=0,'Underlying Mechanics'!$B$23*(1-$B81),0)-IF(V$1&gt;0,'Underlying Mechanics'!$B$22*'Underlying Mechanics'!$B$17,0)-IF(V$1&gt;0,'Underlying Mechanics'!$B$12*'Underlying Mechanics'!$B$18,0)</x:f>
        <x:v>61500</x:v>
      </x:c>
      <x:c r="W81" t="n">
        <x:f>((IF(W$1-'Underlying Mechanics'!$B$8&lt;0,0,'Underlying Mechanics'!$B$22*'Underlying Mechanics'!$B$15*INDEX('Underlying Mechanics'!$B$31:$B$51,W$1-'Underlying Mechanics'!$B$8+1)*'Underlying Mechanics'!$B$5))*(1-$A81))-IF(W$1=0,'Underlying Mechanics'!$B$23*(1-$B81),0)-IF(W$1&gt;0,'Underlying Mechanics'!$B$22*'Underlying Mechanics'!$B$17,0)-IF(W$1&gt;0,'Underlying Mechanics'!$B$12*'Underlying Mechanics'!$B$18,0)</x:f>
        <x:v>61500</x:v>
      </x:c>
      <x:c r="X81" t="n">
        <x:f>IFERROR(IRR(C81:W81),-1)</x:f>
        <x:v>0.13890408880809335</x:v>
      </x:c>
    </x:row>
    <x:row r="82">
      <x:c r="A82" t="n">
        <x:v>0.3</x:v>
      </x:c>
      <x:c r="B82" t="n">
        <x:v>0.85</x:v>
      </x:c>
      <x:c r="C82" t="n">
        <x:f>((IF(C$1-'Underlying Mechanics'!$B$8&lt;0,0,'Underlying Mechanics'!$B$22*'Underlying Mechanics'!$B$15*INDEX('Underlying Mechanics'!$B$31:$B$51,C$1-'Underlying Mechanics'!$B$8+1)*'Underlying Mechanics'!$B$5))*(1-$A82))-IF(C$1=0,'Underlying Mechanics'!$B$23*(1-$B82),0)-IF(C$1&gt;0,'Underlying Mechanics'!$B$22*'Underlying Mechanics'!$B$17,0)-IF(C$1&gt;0,'Underlying Mechanics'!$B$12*'Underlying Mechanics'!$B$18,0)</x:f>
        <x:v>-22500.000000000004</x:v>
      </x:c>
      <x:c r="D82" t="n">
        <x:f>((IF(D$1-'Underlying Mechanics'!$B$8&lt;0,0,'Underlying Mechanics'!$B$22*'Underlying Mechanics'!$B$15*INDEX('Underlying Mechanics'!$B$31:$B$51,D$1-'Underlying Mechanics'!$B$8+1)*'Underlying Mechanics'!$B$5))*(1-$A82))-IF(D$1=0,'Underlying Mechanics'!$B$23*(1-$B82),0)-IF(D$1&gt;0,'Underlying Mechanics'!$B$22*'Underlying Mechanics'!$B$17,0)-IF(D$1&gt;0,'Underlying Mechanics'!$B$12*'Underlying Mechanics'!$B$18,0)</x:f>
        <x:v>-22500</x:v>
      </x:c>
      <x:c r="E82" t="n">
        <x:f>((IF(E$1-'Underlying Mechanics'!$B$8&lt;0,0,'Underlying Mechanics'!$B$22*'Underlying Mechanics'!$B$15*INDEX('Underlying Mechanics'!$B$31:$B$51,E$1-'Underlying Mechanics'!$B$8+1)*'Underlying Mechanics'!$B$5))*(1-$A82))-IF(E$1=0,'Underlying Mechanics'!$B$23*(1-$B82),0)-IF(E$1&gt;0,'Underlying Mechanics'!$B$22*'Underlying Mechanics'!$B$17,0)-IF(E$1&gt;0,'Underlying Mechanics'!$B$12*'Underlying Mechanics'!$B$18,0)</x:f>
        <x:v>-22500</x:v>
      </x:c>
      <x:c r="F82" t="n">
        <x:f>((IF(F$1-'Underlying Mechanics'!$B$8&lt;0,0,'Underlying Mechanics'!$B$22*'Underlying Mechanics'!$B$15*INDEX('Underlying Mechanics'!$B$31:$B$51,F$1-'Underlying Mechanics'!$B$8+1)*'Underlying Mechanics'!$B$5))*(1-$A82))-IF(F$1=0,'Underlying Mechanics'!$B$23*(1-$B82),0)-IF(F$1&gt;0,'Underlying Mechanics'!$B$22*'Underlying Mechanics'!$B$17,0)-IF(F$1&gt;0,'Underlying Mechanics'!$B$12*'Underlying Mechanics'!$B$18,0)</x:f>
        <x:v>-20820</x:v>
      </x:c>
      <x:c r="G82" t="n">
        <x:f>((IF(G$1-'Underlying Mechanics'!$B$8&lt;0,0,'Underlying Mechanics'!$B$22*'Underlying Mechanics'!$B$15*INDEX('Underlying Mechanics'!$B$31:$B$51,G$1-'Underlying Mechanics'!$B$8+1)*'Underlying Mechanics'!$B$5))*(1-$A82))-IF(G$1=0,'Underlying Mechanics'!$B$23*(1-$B82),0)-IF(G$1&gt;0,'Underlying Mechanics'!$B$22*'Underlying Mechanics'!$B$17,0)-IF(G$1&gt;0,'Underlying Mechanics'!$B$12*'Underlying Mechanics'!$B$18,0)</x:f>
        <x:v>-18300</x:v>
      </x:c>
      <x:c r="H82" t="n">
        <x:f>((IF(H$1-'Underlying Mechanics'!$B$8&lt;0,0,'Underlying Mechanics'!$B$22*'Underlying Mechanics'!$B$15*INDEX('Underlying Mechanics'!$B$31:$B$51,H$1-'Underlying Mechanics'!$B$8+1)*'Underlying Mechanics'!$B$5))*(1-$A82))-IF(H$1=0,'Underlying Mechanics'!$B$23*(1-$B82),0)-IF(H$1&gt;0,'Underlying Mechanics'!$B$22*'Underlying Mechanics'!$B$17,0)-IF(H$1&gt;0,'Underlying Mechanics'!$B$12*'Underlying Mechanics'!$B$18,0)</x:f>
        <x:v>-14100</x:v>
      </x:c>
      <x:c r="I82" t="n">
        <x:f>((IF(I$1-'Underlying Mechanics'!$B$8&lt;0,0,'Underlying Mechanics'!$B$22*'Underlying Mechanics'!$B$15*INDEX('Underlying Mechanics'!$B$31:$B$51,I$1-'Underlying Mechanics'!$B$8+1)*'Underlying Mechanics'!$B$5))*(1-$A82))-IF(I$1=0,'Underlying Mechanics'!$B$23*(1-$B82),0)-IF(I$1&gt;0,'Underlying Mechanics'!$B$22*'Underlying Mechanics'!$B$17,0)-IF(I$1&gt;0,'Underlying Mechanics'!$B$12*'Underlying Mechanics'!$B$18,0)</x:f>
        <x:v>-7380.000000000002</x:v>
      </x:c>
      <x:c r="J82" t="n">
        <x:f>((IF(J$1-'Underlying Mechanics'!$B$8&lt;0,0,'Underlying Mechanics'!$B$22*'Underlying Mechanics'!$B$15*INDEX('Underlying Mechanics'!$B$31:$B$51,J$1-'Underlying Mechanics'!$B$8+1)*'Underlying Mechanics'!$B$5))*(1-$A82))-IF(J$1=0,'Underlying Mechanics'!$B$23*(1-$B82),0)-IF(J$1&gt;0,'Underlying Mechanics'!$B$22*'Underlying Mechanics'!$B$17,0)-IF(J$1&gt;0,'Underlying Mechanics'!$B$12*'Underlying Mechanics'!$B$18,0)</x:f>
        <x:v>1020.0000000000036</x:v>
      </x:c>
      <x:c r="K82" t="n">
        <x:f>((IF(K$1-'Underlying Mechanics'!$B$8&lt;0,0,'Underlying Mechanics'!$B$22*'Underlying Mechanics'!$B$15*INDEX('Underlying Mechanics'!$B$31:$B$51,K$1-'Underlying Mechanics'!$B$8+1)*'Underlying Mechanics'!$B$5))*(1-$A82))-IF(K$1=0,'Underlying Mechanics'!$B$23*(1-$B82),0)-IF(K$1&gt;0,'Underlying Mechanics'!$B$22*'Underlying Mechanics'!$B$17,0)-IF(K$1&gt;0,'Underlying Mechanics'!$B$12*'Underlying Mechanics'!$B$18,0)</x:f>
        <x:v>11100</x:v>
      </x:c>
      <x:c r="L82" t="n">
        <x:f>((IF(L$1-'Underlying Mechanics'!$B$8&lt;0,0,'Underlying Mechanics'!$B$22*'Underlying Mechanics'!$B$15*INDEX('Underlying Mechanics'!$B$31:$B$51,L$1-'Underlying Mechanics'!$B$8+1)*'Underlying Mechanics'!$B$5))*(1-$A82))-IF(L$1=0,'Underlying Mechanics'!$B$23*(1-$B82),0)-IF(L$1&gt;0,'Underlying Mechanics'!$B$22*'Underlying Mechanics'!$B$17,0)-IF(L$1&gt;0,'Underlying Mechanics'!$B$12*'Underlying Mechanics'!$B$18,0)</x:f>
        <x:v>22860</x:v>
      </x:c>
      <x:c r="M82" t="n">
        <x:f>((IF(M$1-'Underlying Mechanics'!$B$8&lt;0,0,'Underlying Mechanics'!$B$22*'Underlying Mechanics'!$B$15*INDEX('Underlying Mechanics'!$B$31:$B$51,M$1-'Underlying Mechanics'!$B$8+1)*'Underlying Mechanics'!$B$5))*(1-$A82))-IF(M$1=0,'Underlying Mechanics'!$B$23*(1-$B82),0)-IF(M$1&gt;0,'Underlying Mechanics'!$B$22*'Underlying Mechanics'!$B$17,0)-IF(M$1&gt;0,'Underlying Mechanics'!$B$12*'Underlying Mechanics'!$B$18,0)</x:f>
        <x:v>34620.00000000001</x:v>
      </x:c>
      <x:c r="N82" t="n">
        <x:f>((IF(N$1-'Underlying Mechanics'!$B$8&lt;0,0,'Underlying Mechanics'!$B$22*'Underlying Mechanics'!$B$15*INDEX('Underlying Mechanics'!$B$31:$B$51,N$1-'Underlying Mechanics'!$B$8+1)*'Underlying Mechanics'!$B$5))*(1-$A82))-IF(N$1=0,'Underlying Mechanics'!$B$23*(1-$B82),0)-IF(N$1&gt;0,'Underlying Mechanics'!$B$22*'Underlying Mechanics'!$B$17,0)-IF(N$1&gt;0,'Underlying Mechanics'!$B$12*'Underlying Mechanics'!$B$18,0)</x:f>
        <x:v>44700</x:v>
      </x:c>
      <x:c r="O82" t="n">
        <x:f>((IF(O$1-'Underlying Mechanics'!$B$8&lt;0,0,'Underlying Mechanics'!$B$22*'Underlying Mechanics'!$B$15*INDEX('Underlying Mechanics'!$B$31:$B$51,O$1-'Underlying Mechanics'!$B$8+1)*'Underlying Mechanics'!$B$5))*(1-$A82))-IF(O$1=0,'Underlying Mechanics'!$B$23*(1-$B82),0)-IF(O$1&gt;0,'Underlying Mechanics'!$B$22*'Underlying Mechanics'!$B$17,0)-IF(O$1&gt;0,'Underlying Mechanics'!$B$12*'Underlying Mechanics'!$B$18,0)</x:f>
        <x:v>53100</x:v>
      </x:c>
      <x:c r="P82" t="n">
        <x:f>((IF(P$1-'Underlying Mechanics'!$B$8&lt;0,0,'Underlying Mechanics'!$B$22*'Underlying Mechanics'!$B$15*INDEX('Underlying Mechanics'!$B$31:$B$51,P$1-'Underlying Mechanics'!$B$8+1)*'Underlying Mechanics'!$B$5))*(1-$A82))-IF(P$1=0,'Underlying Mechanics'!$B$23*(1-$B82),0)-IF(P$1&gt;0,'Underlying Mechanics'!$B$22*'Underlying Mechanics'!$B$17,0)-IF(P$1&gt;0,'Underlying Mechanics'!$B$12*'Underlying Mechanics'!$B$18,0)</x:f>
        <x:v>61500</x:v>
      </x:c>
      <x:c r="Q82" t="n">
        <x:f>((IF(Q$1-'Underlying Mechanics'!$B$8&lt;0,0,'Underlying Mechanics'!$B$22*'Underlying Mechanics'!$B$15*INDEX('Underlying Mechanics'!$B$31:$B$51,Q$1-'Underlying Mechanics'!$B$8+1)*'Underlying Mechanics'!$B$5))*(1-$A82))-IF(Q$1=0,'Underlying Mechanics'!$B$23*(1-$B82),0)-IF(Q$1&gt;0,'Underlying Mechanics'!$B$22*'Underlying Mechanics'!$B$17,0)-IF(Q$1&gt;0,'Underlying Mechanics'!$B$12*'Underlying Mechanics'!$B$18,0)</x:f>
        <x:v>61500</x:v>
      </x:c>
      <x:c r="R82" t="n">
        <x:f>((IF(R$1-'Underlying Mechanics'!$B$8&lt;0,0,'Underlying Mechanics'!$B$22*'Underlying Mechanics'!$B$15*INDEX('Underlying Mechanics'!$B$31:$B$51,R$1-'Underlying Mechanics'!$B$8+1)*'Underlying Mechanics'!$B$5))*(1-$A82))-IF(R$1=0,'Underlying Mechanics'!$B$23*(1-$B82),0)-IF(R$1&gt;0,'Underlying Mechanics'!$B$22*'Underlying Mechanics'!$B$17,0)-IF(R$1&gt;0,'Underlying Mechanics'!$B$12*'Underlying Mechanics'!$B$18,0)</x:f>
        <x:v>61500</x:v>
      </x:c>
      <x:c r="S82" t="n">
        <x:f>((IF(S$1-'Underlying Mechanics'!$B$8&lt;0,0,'Underlying Mechanics'!$B$22*'Underlying Mechanics'!$B$15*INDEX('Underlying Mechanics'!$B$31:$B$51,S$1-'Underlying Mechanics'!$B$8+1)*'Underlying Mechanics'!$B$5))*(1-$A82))-IF(S$1=0,'Underlying Mechanics'!$B$23*(1-$B82),0)-IF(S$1&gt;0,'Underlying Mechanics'!$B$22*'Underlying Mechanics'!$B$17,0)-IF(S$1&gt;0,'Underlying Mechanics'!$B$12*'Underlying Mechanics'!$B$18,0)</x:f>
        <x:v>61500</x:v>
      </x:c>
      <x:c r="T82" t="n">
        <x:f>((IF(T$1-'Underlying Mechanics'!$B$8&lt;0,0,'Underlying Mechanics'!$B$22*'Underlying Mechanics'!$B$15*INDEX('Underlying Mechanics'!$B$31:$B$51,T$1-'Underlying Mechanics'!$B$8+1)*'Underlying Mechanics'!$B$5))*(1-$A82))-IF(T$1=0,'Underlying Mechanics'!$B$23*(1-$B82),0)-IF(T$1&gt;0,'Underlying Mechanics'!$B$22*'Underlying Mechanics'!$B$17,0)-IF(T$1&gt;0,'Underlying Mechanics'!$B$12*'Underlying Mechanics'!$B$18,0)</x:f>
        <x:v>61500</x:v>
      </x:c>
      <x:c r="U82" t="n">
        <x:f>((IF(U$1-'Underlying Mechanics'!$B$8&lt;0,0,'Underlying Mechanics'!$B$22*'Underlying Mechanics'!$B$15*INDEX('Underlying Mechanics'!$B$31:$B$51,U$1-'Underlying Mechanics'!$B$8+1)*'Underlying Mechanics'!$B$5))*(1-$A82))-IF(U$1=0,'Underlying Mechanics'!$B$23*(1-$B82),0)-IF(U$1&gt;0,'Underlying Mechanics'!$B$22*'Underlying Mechanics'!$B$17,0)-IF(U$1&gt;0,'Underlying Mechanics'!$B$12*'Underlying Mechanics'!$B$18,0)</x:f>
        <x:v>61500</x:v>
      </x:c>
      <x:c r="V82" t="n">
        <x:f>((IF(V$1-'Underlying Mechanics'!$B$8&lt;0,0,'Underlying Mechanics'!$B$22*'Underlying Mechanics'!$B$15*INDEX('Underlying Mechanics'!$B$31:$B$51,V$1-'Underlying Mechanics'!$B$8+1)*'Underlying Mechanics'!$B$5))*(1-$A82))-IF(V$1=0,'Underlying Mechanics'!$B$23*(1-$B82),0)-IF(V$1&gt;0,'Underlying Mechanics'!$B$22*'Underlying Mechanics'!$B$17,0)-IF(V$1&gt;0,'Underlying Mechanics'!$B$12*'Underlying Mechanics'!$B$18,0)</x:f>
        <x:v>61500</x:v>
      </x:c>
      <x:c r="W82" t="n">
        <x:f>((IF(W$1-'Underlying Mechanics'!$B$8&lt;0,0,'Underlying Mechanics'!$B$22*'Underlying Mechanics'!$B$15*INDEX('Underlying Mechanics'!$B$31:$B$51,W$1-'Underlying Mechanics'!$B$8+1)*'Underlying Mechanics'!$B$5))*(1-$A82))-IF(W$1=0,'Underlying Mechanics'!$B$23*(1-$B82),0)-IF(W$1&gt;0,'Underlying Mechanics'!$B$22*'Underlying Mechanics'!$B$17,0)-IF(W$1&gt;0,'Underlying Mechanics'!$B$12*'Underlying Mechanics'!$B$18,0)</x:f>
        <x:v>61500</x:v>
      </x:c>
      <x:c r="X82" t="n">
        <x:f>IFERROR(IRR(C82:W82),-1)</x:f>
        <x:v>0.1464457447871358</x:v>
      </x:c>
    </x:row>
    <x:row r="83">
      <x:c r="A83" t="n">
        <x:v>0.3</x:v>
      </x:c>
      <x:c r="B83" t="n">
        <x:v>0.9</x:v>
      </x:c>
      <x:c r="C83" t="n">
        <x:f>((IF(C$1-'Underlying Mechanics'!$B$8&lt;0,0,'Underlying Mechanics'!$B$22*'Underlying Mechanics'!$B$15*INDEX('Underlying Mechanics'!$B$31:$B$51,C$1-'Underlying Mechanics'!$B$8+1)*'Underlying Mechanics'!$B$5))*(1-$A83))-IF(C$1=0,'Underlying Mechanics'!$B$23*(1-$B83),0)-IF(C$1&gt;0,'Underlying Mechanics'!$B$22*'Underlying Mechanics'!$B$17,0)-IF(C$1&gt;0,'Underlying Mechanics'!$B$12*'Underlying Mechanics'!$B$18,0)</x:f>
        <x:v>-14999.999999999996</x:v>
      </x:c>
      <x:c r="D83" t="n">
        <x:f>((IF(D$1-'Underlying Mechanics'!$B$8&lt;0,0,'Underlying Mechanics'!$B$22*'Underlying Mechanics'!$B$15*INDEX('Underlying Mechanics'!$B$31:$B$51,D$1-'Underlying Mechanics'!$B$8+1)*'Underlying Mechanics'!$B$5))*(1-$A83))-IF(D$1=0,'Underlying Mechanics'!$B$23*(1-$B83),0)-IF(D$1&gt;0,'Underlying Mechanics'!$B$22*'Underlying Mechanics'!$B$17,0)-IF(D$1&gt;0,'Underlying Mechanics'!$B$12*'Underlying Mechanics'!$B$18,0)</x:f>
        <x:v>-22500</x:v>
      </x:c>
      <x:c r="E83" t="n">
        <x:f>((IF(E$1-'Underlying Mechanics'!$B$8&lt;0,0,'Underlying Mechanics'!$B$22*'Underlying Mechanics'!$B$15*INDEX('Underlying Mechanics'!$B$31:$B$51,E$1-'Underlying Mechanics'!$B$8+1)*'Underlying Mechanics'!$B$5))*(1-$A83))-IF(E$1=0,'Underlying Mechanics'!$B$23*(1-$B83),0)-IF(E$1&gt;0,'Underlying Mechanics'!$B$22*'Underlying Mechanics'!$B$17,0)-IF(E$1&gt;0,'Underlying Mechanics'!$B$12*'Underlying Mechanics'!$B$18,0)</x:f>
        <x:v>-22500</x:v>
      </x:c>
      <x:c r="F83" t="n">
        <x:f>((IF(F$1-'Underlying Mechanics'!$B$8&lt;0,0,'Underlying Mechanics'!$B$22*'Underlying Mechanics'!$B$15*INDEX('Underlying Mechanics'!$B$31:$B$51,F$1-'Underlying Mechanics'!$B$8+1)*'Underlying Mechanics'!$B$5))*(1-$A83))-IF(F$1=0,'Underlying Mechanics'!$B$23*(1-$B83),0)-IF(F$1&gt;0,'Underlying Mechanics'!$B$22*'Underlying Mechanics'!$B$17,0)-IF(F$1&gt;0,'Underlying Mechanics'!$B$12*'Underlying Mechanics'!$B$18,0)</x:f>
        <x:v>-20820</x:v>
      </x:c>
      <x:c r="G83" t="n">
        <x:f>((IF(G$1-'Underlying Mechanics'!$B$8&lt;0,0,'Underlying Mechanics'!$B$22*'Underlying Mechanics'!$B$15*INDEX('Underlying Mechanics'!$B$31:$B$51,G$1-'Underlying Mechanics'!$B$8+1)*'Underlying Mechanics'!$B$5))*(1-$A83))-IF(G$1=0,'Underlying Mechanics'!$B$23*(1-$B83),0)-IF(G$1&gt;0,'Underlying Mechanics'!$B$22*'Underlying Mechanics'!$B$17,0)-IF(G$1&gt;0,'Underlying Mechanics'!$B$12*'Underlying Mechanics'!$B$18,0)</x:f>
        <x:v>-18300</x:v>
      </x:c>
      <x:c r="H83" t="n">
        <x:f>((IF(H$1-'Underlying Mechanics'!$B$8&lt;0,0,'Underlying Mechanics'!$B$22*'Underlying Mechanics'!$B$15*INDEX('Underlying Mechanics'!$B$31:$B$51,H$1-'Underlying Mechanics'!$B$8+1)*'Underlying Mechanics'!$B$5))*(1-$A83))-IF(H$1=0,'Underlying Mechanics'!$B$23*(1-$B83),0)-IF(H$1&gt;0,'Underlying Mechanics'!$B$22*'Underlying Mechanics'!$B$17,0)-IF(H$1&gt;0,'Underlying Mechanics'!$B$12*'Underlying Mechanics'!$B$18,0)</x:f>
        <x:v>-14100</x:v>
      </x:c>
      <x:c r="I83" t="n">
        <x:f>((IF(I$1-'Underlying Mechanics'!$B$8&lt;0,0,'Underlying Mechanics'!$B$22*'Underlying Mechanics'!$B$15*INDEX('Underlying Mechanics'!$B$31:$B$51,I$1-'Underlying Mechanics'!$B$8+1)*'Underlying Mechanics'!$B$5))*(1-$A83))-IF(I$1=0,'Underlying Mechanics'!$B$23*(1-$B83),0)-IF(I$1&gt;0,'Underlying Mechanics'!$B$22*'Underlying Mechanics'!$B$17,0)-IF(I$1&gt;0,'Underlying Mechanics'!$B$12*'Underlying Mechanics'!$B$18,0)</x:f>
        <x:v>-7380.000000000002</x:v>
      </x:c>
      <x:c r="J83" t="n">
        <x:f>((IF(J$1-'Underlying Mechanics'!$B$8&lt;0,0,'Underlying Mechanics'!$B$22*'Underlying Mechanics'!$B$15*INDEX('Underlying Mechanics'!$B$31:$B$51,J$1-'Underlying Mechanics'!$B$8+1)*'Underlying Mechanics'!$B$5))*(1-$A83))-IF(J$1=0,'Underlying Mechanics'!$B$23*(1-$B83),0)-IF(J$1&gt;0,'Underlying Mechanics'!$B$22*'Underlying Mechanics'!$B$17,0)-IF(J$1&gt;0,'Underlying Mechanics'!$B$12*'Underlying Mechanics'!$B$18,0)</x:f>
        <x:v>1020.0000000000036</x:v>
      </x:c>
      <x:c r="K83" t="n">
        <x:f>((IF(K$1-'Underlying Mechanics'!$B$8&lt;0,0,'Underlying Mechanics'!$B$22*'Underlying Mechanics'!$B$15*INDEX('Underlying Mechanics'!$B$31:$B$51,K$1-'Underlying Mechanics'!$B$8+1)*'Underlying Mechanics'!$B$5))*(1-$A83))-IF(K$1=0,'Underlying Mechanics'!$B$23*(1-$B83),0)-IF(K$1&gt;0,'Underlying Mechanics'!$B$22*'Underlying Mechanics'!$B$17,0)-IF(K$1&gt;0,'Underlying Mechanics'!$B$12*'Underlying Mechanics'!$B$18,0)</x:f>
        <x:v>11100</x:v>
      </x:c>
      <x:c r="L83" t="n">
        <x:f>((IF(L$1-'Underlying Mechanics'!$B$8&lt;0,0,'Underlying Mechanics'!$B$22*'Underlying Mechanics'!$B$15*INDEX('Underlying Mechanics'!$B$31:$B$51,L$1-'Underlying Mechanics'!$B$8+1)*'Underlying Mechanics'!$B$5))*(1-$A83))-IF(L$1=0,'Underlying Mechanics'!$B$23*(1-$B83),0)-IF(L$1&gt;0,'Underlying Mechanics'!$B$22*'Underlying Mechanics'!$B$17,0)-IF(L$1&gt;0,'Underlying Mechanics'!$B$12*'Underlying Mechanics'!$B$18,0)</x:f>
        <x:v>22860</x:v>
      </x:c>
      <x:c r="M83" t="n">
        <x:f>((IF(M$1-'Underlying Mechanics'!$B$8&lt;0,0,'Underlying Mechanics'!$B$22*'Underlying Mechanics'!$B$15*INDEX('Underlying Mechanics'!$B$31:$B$51,M$1-'Underlying Mechanics'!$B$8+1)*'Underlying Mechanics'!$B$5))*(1-$A83))-IF(M$1=0,'Underlying Mechanics'!$B$23*(1-$B83),0)-IF(M$1&gt;0,'Underlying Mechanics'!$B$22*'Underlying Mechanics'!$B$17,0)-IF(M$1&gt;0,'Underlying Mechanics'!$B$12*'Underlying Mechanics'!$B$18,0)</x:f>
        <x:v>34620.00000000001</x:v>
      </x:c>
      <x:c r="N83" t="n">
        <x:f>((IF(N$1-'Underlying Mechanics'!$B$8&lt;0,0,'Underlying Mechanics'!$B$22*'Underlying Mechanics'!$B$15*INDEX('Underlying Mechanics'!$B$31:$B$51,N$1-'Underlying Mechanics'!$B$8+1)*'Underlying Mechanics'!$B$5))*(1-$A83))-IF(N$1=0,'Underlying Mechanics'!$B$23*(1-$B83),0)-IF(N$1&gt;0,'Underlying Mechanics'!$B$22*'Underlying Mechanics'!$B$17,0)-IF(N$1&gt;0,'Underlying Mechanics'!$B$12*'Underlying Mechanics'!$B$18,0)</x:f>
        <x:v>44700</x:v>
      </x:c>
      <x:c r="O83" t="n">
        <x:f>((IF(O$1-'Underlying Mechanics'!$B$8&lt;0,0,'Underlying Mechanics'!$B$22*'Underlying Mechanics'!$B$15*INDEX('Underlying Mechanics'!$B$31:$B$51,O$1-'Underlying Mechanics'!$B$8+1)*'Underlying Mechanics'!$B$5))*(1-$A83))-IF(O$1=0,'Underlying Mechanics'!$B$23*(1-$B83),0)-IF(O$1&gt;0,'Underlying Mechanics'!$B$22*'Underlying Mechanics'!$B$17,0)-IF(O$1&gt;0,'Underlying Mechanics'!$B$12*'Underlying Mechanics'!$B$18,0)</x:f>
        <x:v>53100</x:v>
      </x:c>
      <x:c r="P83" t="n">
        <x:f>((IF(P$1-'Underlying Mechanics'!$B$8&lt;0,0,'Underlying Mechanics'!$B$22*'Underlying Mechanics'!$B$15*INDEX('Underlying Mechanics'!$B$31:$B$51,P$1-'Underlying Mechanics'!$B$8+1)*'Underlying Mechanics'!$B$5))*(1-$A83))-IF(P$1=0,'Underlying Mechanics'!$B$23*(1-$B83),0)-IF(P$1&gt;0,'Underlying Mechanics'!$B$22*'Underlying Mechanics'!$B$17,0)-IF(P$1&gt;0,'Underlying Mechanics'!$B$12*'Underlying Mechanics'!$B$18,0)</x:f>
        <x:v>61500</x:v>
      </x:c>
      <x:c r="Q83" t="n">
        <x:f>((IF(Q$1-'Underlying Mechanics'!$B$8&lt;0,0,'Underlying Mechanics'!$B$22*'Underlying Mechanics'!$B$15*INDEX('Underlying Mechanics'!$B$31:$B$51,Q$1-'Underlying Mechanics'!$B$8+1)*'Underlying Mechanics'!$B$5))*(1-$A83))-IF(Q$1=0,'Underlying Mechanics'!$B$23*(1-$B83),0)-IF(Q$1&gt;0,'Underlying Mechanics'!$B$22*'Underlying Mechanics'!$B$17,0)-IF(Q$1&gt;0,'Underlying Mechanics'!$B$12*'Underlying Mechanics'!$B$18,0)</x:f>
        <x:v>61500</x:v>
      </x:c>
      <x:c r="R83" t="n">
        <x:f>((IF(R$1-'Underlying Mechanics'!$B$8&lt;0,0,'Underlying Mechanics'!$B$22*'Underlying Mechanics'!$B$15*INDEX('Underlying Mechanics'!$B$31:$B$51,R$1-'Underlying Mechanics'!$B$8+1)*'Underlying Mechanics'!$B$5))*(1-$A83))-IF(R$1=0,'Underlying Mechanics'!$B$23*(1-$B83),0)-IF(R$1&gt;0,'Underlying Mechanics'!$B$22*'Underlying Mechanics'!$B$17,0)-IF(R$1&gt;0,'Underlying Mechanics'!$B$12*'Underlying Mechanics'!$B$18,0)</x:f>
        <x:v>61500</x:v>
      </x:c>
      <x:c r="S83" t="n">
        <x:f>((IF(S$1-'Underlying Mechanics'!$B$8&lt;0,0,'Underlying Mechanics'!$B$22*'Underlying Mechanics'!$B$15*INDEX('Underlying Mechanics'!$B$31:$B$51,S$1-'Underlying Mechanics'!$B$8+1)*'Underlying Mechanics'!$B$5))*(1-$A83))-IF(S$1=0,'Underlying Mechanics'!$B$23*(1-$B83),0)-IF(S$1&gt;0,'Underlying Mechanics'!$B$22*'Underlying Mechanics'!$B$17,0)-IF(S$1&gt;0,'Underlying Mechanics'!$B$12*'Underlying Mechanics'!$B$18,0)</x:f>
        <x:v>61500</x:v>
      </x:c>
      <x:c r="T83" t="n">
        <x:f>((IF(T$1-'Underlying Mechanics'!$B$8&lt;0,0,'Underlying Mechanics'!$B$22*'Underlying Mechanics'!$B$15*INDEX('Underlying Mechanics'!$B$31:$B$51,T$1-'Underlying Mechanics'!$B$8+1)*'Underlying Mechanics'!$B$5))*(1-$A83))-IF(T$1=0,'Underlying Mechanics'!$B$23*(1-$B83),0)-IF(T$1&gt;0,'Underlying Mechanics'!$B$22*'Underlying Mechanics'!$B$17,0)-IF(T$1&gt;0,'Underlying Mechanics'!$B$12*'Underlying Mechanics'!$B$18,0)</x:f>
        <x:v>61500</x:v>
      </x:c>
      <x:c r="U83" t="n">
        <x:f>((IF(U$1-'Underlying Mechanics'!$B$8&lt;0,0,'Underlying Mechanics'!$B$22*'Underlying Mechanics'!$B$15*INDEX('Underlying Mechanics'!$B$31:$B$51,U$1-'Underlying Mechanics'!$B$8+1)*'Underlying Mechanics'!$B$5))*(1-$A83))-IF(U$1=0,'Underlying Mechanics'!$B$23*(1-$B83),0)-IF(U$1&gt;0,'Underlying Mechanics'!$B$22*'Underlying Mechanics'!$B$17,0)-IF(U$1&gt;0,'Underlying Mechanics'!$B$12*'Underlying Mechanics'!$B$18,0)</x:f>
        <x:v>61500</x:v>
      </x:c>
      <x:c r="V83" t="n">
        <x:f>((IF(V$1-'Underlying Mechanics'!$B$8&lt;0,0,'Underlying Mechanics'!$B$22*'Underlying Mechanics'!$B$15*INDEX('Underlying Mechanics'!$B$31:$B$51,V$1-'Underlying Mechanics'!$B$8+1)*'Underlying Mechanics'!$B$5))*(1-$A83))-IF(V$1=0,'Underlying Mechanics'!$B$23*(1-$B83),0)-IF(V$1&gt;0,'Underlying Mechanics'!$B$22*'Underlying Mechanics'!$B$17,0)-IF(V$1&gt;0,'Underlying Mechanics'!$B$12*'Underlying Mechanics'!$B$18,0)</x:f>
        <x:v>61500</x:v>
      </x:c>
      <x:c r="W83" t="n">
        <x:f>((IF(W$1-'Underlying Mechanics'!$B$8&lt;0,0,'Underlying Mechanics'!$B$22*'Underlying Mechanics'!$B$15*INDEX('Underlying Mechanics'!$B$31:$B$51,W$1-'Underlying Mechanics'!$B$8+1)*'Underlying Mechanics'!$B$5))*(1-$A83))-IF(W$1=0,'Underlying Mechanics'!$B$23*(1-$B83),0)-IF(W$1&gt;0,'Underlying Mechanics'!$B$22*'Underlying Mechanics'!$B$17,0)-IF(W$1&gt;0,'Underlying Mechanics'!$B$12*'Underlying Mechanics'!$B$18,0)</x:f>
        <x:v>61500</x:v>
      </x:c>
      <x:c r="X83" t="n">
        <x:f>IFERROR(IRR(C83:W83),-1)</x:f>
        <x:v>0.15495276780478462</x:v>
      </x:c>
    </x:row>
    <x:row r="84">
      <x:c r="A84" t="n">
        <x:v>0.3</x:v>
      </x:c>
      <x:c r="B84" t="n">
        <x:v>0.95</x:v>
      </x:c>
      <x:c r="C84" t="n">
        <x:f>((IF(C$1-'Underlying Mechanics'!$B$8&lt;0,0,'Underlying Mechanics'!$B$22*'Underlying Mechanics'!$B$15*INDEX('Underlying Mechanics'!$B$31:$B$51,C$1-'Underlying Mechanics'!$B$8+1)*'Underlying Mechanics'!$B$5))*(1-$A84))-IF(C$1=0,'Underlying Mechanics'!$B$23*(1-$B84),0)-IF(C$1&gt;0,'Underlying Mechanics'!$B$22*'Underlying Mechanics'!$B$17,0)-IF(C$1&gt;0,'Underlying Mechanics'!$B$12*'Underlying Mechanics'!$B$18,0)</x:f>
        <x:v>-7500.000000000006</x:v>
      </x:c>
      <x:c r="D84" t="n">
        <x:f>((IF(D$1-'Underlying Mechanics'!$B$8&lt;0,0,'Underlying Mechanics'!$B$22*'Underlying Mechanics'!$B$15*INDEX('Underlying Mechanics'!$B$31:$B$51,D$1-'Underlying Mechanics'!$B$8+1)*'Underlying Mechanics'!$B$5))*(1-$A84))-IF(D$1=0,'Underlying Mechanics'!$B$23*(1-$B84),0)-IF(D$1&gt;0,'Underlying Mechanics'!$B$22*'Underlying Mechanics'!$B$17,0)-IF(D$1&gt;0,'Underlying Mechanics'!$B$12*'Underlying Mechanics'!$B$18,0)</x:f>
        <x:v>-22500</x:v>
      </x:c>
      <x:c r="E84" t="n">
        <x:f>((IF(E$1-'Underlying Mechanics'!$B$8&lt;0,0,'Underlying Mechanics'!$B$22*'Underlying Mechanics'!$B$15*INDEX('Underlying Mechanics'!$B$31:$B$51,E$1-'Underlying Mechanics'!$B$8+1)*'Underlying Mechanics'!$B$5))*(1-$A84))-IF(E$1=0,'Underlying Mechanics'!$B$23*(1-$B84),0)-IF(E$1&gt;0,'Underlying Mechanics'!$B$22*'Underlying Mechanics'!$B$17,0)-IF(E$1&gt;0,'Underlying Mechanics'!$B$12*'Underlying Mechanics'!$B$18,0)</x:f>
        <x:v>-22500</x:v>
      </x:c>
      <x:c r="F84" t="n">
        <x:f>((IF(F$1-'Underlying Mechanics'!$B$8&lt;0,0,'Underlying Mechanics'!$B$22*'Underlying Mechanics'!$B$15*INDEX('Underlying Mechanics'!$B$31:$B$51,F$1-'Underlying Mechanics'!$B$8+1)*'Underlying Mechanics'!$B$5))*(1-$A84))-IF(F$1=0,'Underlying Mechanics'!$B$23*(1-$B84),0)-IF(F$1&gt;0,'Underlying Mechanics'!$B$22*'Underlying Mechanics'!$B$17,0)-IF(F$1&gt;0,'Underlying Mechanics'!$B$12*'Underlying Mechanics'!$B$18,0)</x:f>
        <x:v>-20820</x:v>
      </x:c>
      <x:c r="G84" t="n">
        <x:f>((IF(G$1-'Underlying Mechanics'!$B$8&lt;0,0,'Underlying Mechanics'!$B$22*'Underlying Mechanics'!$B$15*INDEX('Underlying Mechanics'!$B$31:$B$51,G$1-'Underlying Mechanics'!$B$8+1)*'Underlying Mechanics'!$B$5))*(1-$A84))-IF(G$1=0,'Underlying Mechanics'!$B$23*(1-$B84),0)-IF(G$1&gt;0,'Underlying Mechanics'!$B$22*'Underlying Mechanics'!$B$17,0)-IF(G$1&gt;0,'Underlying Mechanics'!$B$12*'Underlying Mechanics'!$B$18,0)</x:f>
        <x:v>-18300</x:v>
      </x:c>
      <x:c r="H84" t="n">
        <x:f>((IF(H$1-'Underlying Mechanics'!$B$8&lt;0,0,'Underlying Mechanics'!$B$22*'Underlying Mechanics'!$B$15*INDEX('Underlying Mechanics'!$B$31:$B$51,H$1-'Underlying Mechanics'!$B$8+1)*'Underlying Mechanics'!$B$5))*(1-$A84))-IF(H$1=0,'Underlying Mechanics'!$B$23*(1-$B84),0)-IF(H$1&gt;0,'Underlying Mechanics'!$B$22*'Underlying Mechanics'!$B$17,0)-IF(H$1&gt;0,'Underlying Mechanics'!$B$12*'Underlying Mechanics'!$B$18,0)</x:f>
        <x:v>-14100</x:v>
      </x:c>
      <x:c r="I84" t="n">
        <x:f>((IF(I$1-'Underlying Mechanics'!$B$8&lt;0,0,'Underlying Mechanics'!$B$22*'Underlying Mechanics'!$B$15*INDEX('Underlying Mechanics'!$B$31:$B$51,I$1-'Underlying Mechanics'!$B$8+1)*'Underlying Mechanics'!$B$5))*(1-$A84))-IF(I$1=0,'Underlying Mechanics'!$B$23*(1-$B84),0)-IF(I$1&gt;0,'Underlying Mechanics'!$B$22*'Underlying Mechanics'!$B$17,0)-IF(I$1&gt;0,'Underlying Mechanics'!$B$12*'Underlying Mechanics'!$B$18,0)</x:f>
        <x:v>-7380.000000000002</x:v>
      </x:c>
      <x:c r="J84" t="n">
        <x:f>((IF(J$1-'Underlying Mechanics'!$B$8&lt;0,0,'Underlying Mechanics'!$B$22*'Underlying Mechanics'!$B$15*INDEX('Underlying Mechanics'!$B$31:$B$51,J$1-'Underlying Mechanics'!$B$8+1)*'Underlying Mechanics'!$B$5))*(1-$A84))-IF(J$1=0,'Underlying Mechanics'!$B$23*(1-$B84),0)-IF(J$1&gt;0,'Underlying Mechanics'!$B$22*'Underlying Mechanics'!$B$17,0)-IF(J$1&gt;0,'Underlying Mechanics'!$B$12*'Underlying Mechanics'!$B$18,0)</x:f>
        <x:v>1020.0000000000036</x:v>
      </x:c>
      <x:c r="K84" t="n">
        <x:f>((IF(K$1-'Underlying Mechanics'!$B$8&lt;0,0,'Underlying Mechanics'!$B$22*'Underlying Mechanics'!$B$15*INDEX('Underlying Mechanics'!$B$31:$B$51,K$1-'Underlying Mechanics'!$B$8+1)*'Underlying Mechanics'!$B$5))*(1-$A84))-IF(K$1=0,'Underlying Mechanics'!$B$23*(1-$B84),0)-IF(K$1&gt;0,'Underlying Mechanics'!$B$22*'Underlying Mechanics'!$B$17,0)-IF(K$1&gt;0,'Underlying Mechanics'!$B$12*'Underlying Mechanics'!$B$18,0)</x:f>
        <x:v>11100</x:v>
      </x:c>
      <x:c r="L84" t="n">
        <x:f>((IF(L$1-'Underlying Mechanics'!$B$8&lt;0,0,'Underlying Mechanics'!$B$22*'Underlying Mechanics'!$B$15*INDEX('Underlying Mechanics'!$B$31:$B$51,L$1-'Underlying Mechanics'!$B$8+1)*'Underlying Mechanics'!$B$5))*(1-$A84))-IF(L$1=0,'Underlying Mechanics'!$B$23*(1-$B84),0)-IF(L$1&gt;0,'Underlying Mechanics'!$B$22*'Underlying Mechanics'!$B$17,0)-IF(L$1&gt;0,'Underlying Mechanics'!$B$12*'Underlying Mechanics'!$B$18,0)</x:f>
        <x:v>22860</x:v>
      </x:c>
      <x:c r="M84" t="n">
        <x:f>((IF(M$1-'Underlying Mechanics'!$B$8&lt;0,0,'Underlying Mechanics'!$B$22*'Underlying Mechanics'!$B$15*INDEX('Underlying Mechanics'!$B$31:$B$51,M$1-'Underlying Mechanics'!$B$8+1)*'Underlying Mechanics'!$B$5))*(1-$A84))-IF(M$1=0,'Underlying Mechanics'!$B$23*(1-$B84),0)-IF(M$1&gt;0,'Underlying Mechanics'!$B$22*'Underlying Mechanics'!$B$17,0)-IF(M$1&gt;0,'Underlying Mechanics'!$B$12*'Underlying Mechanics'!$B$18,0)</x:f>
        <x:v>34620.00000000001</x:v>
      </x:c>
      <x:c r="N84" t="n">
        <x:f>((IF(N$1-'Underlying Mechanics'!$B$8&lt;0,0,'Underlying Mechanics'!$B$22*'Underlying Mechanics'!$B$15*INDEX('Underlying Mechanics'!$B$31:$B$51,N$1-'Underlying Mechanics'!$B$8+1)*'Underlying Mechanics'!$B$5))*(1-$A84))-IF(N$1=0,'Underlying Mechanics'!$B$23*(1-$B84),0)-IF(N$1&gt;0,'Underlying Mechanics'!$B$22*'Underlying Mechanics'!$B$17,0)-IF(N$1&gt;0,'Underlying Mechanics'!$B$12*'Underlying Mechanics'!$B$18,0)</x:f>
        <x:v>44700</x:v>
      </x:c>
      <x:c r="O84" t="n">
        <x:f>((IF(O$1-'Underlying Mechanics'!$B$8&lt;0,0,'Underlying Mechanics'!$B$22*'Underlying Mechanics'!$B$15*INDEX('Underlying Mechanics'!$B$31:$B$51,O$1-'Underlying Mechanics'!$B$8+1)*'Underlying Mechanics'!$B$5))*(1-$A84))-IF(O$1=0,'Underlying Mechanics'!$B$23*(1-$B84),0)-IF(O$1&gt;0,'Underlying Mechanics'!$B$22*'Underlying Mechanics'!$B$17,0)-IF(O$1&gt;0,'Underlying Mechanics'!$B$12*'Underlying Mechanics'!$B$18,0)</x:f>
        <x:v>53100</x:v>
      </x:c>
      <x:c r="P84" t="n">
        <x:f>((IF(P$1-'Underlying Mechanics'!$B$8&lt;0,0,'Underlying Mechanics'!$B$22*'Underlying Mechanics'!$B$15*INDEX('Underlying Mechanics'!$B$31:$B$51,P$1-'Underlying Mechanics'!$B$8+1)*'Underlying Mechanics'!$B$5))*(1-$A84))-IF(P$1=0,'Underlying Mechanics'!$B$23*(1-$B84),0)-IF(P$1&gt;0,'Underlying Mechanics'!$B$22*'Underlying Mechanics'!$B$17,0)-IF(P$1&gt;0,'Underlying Mechanics'!$B$12*'Underlying Mechanics'!$B$18,0)</x:f>
        <x:v>61500</x:v>
      </x:c>
      <x:c r="Q84" t="n">
        <x:f>((IF(Q$1-'Underlying Mechanics'!$B$8&lt;0,0,'Underlying Mechanics'!$B$22*'Underlying Mechanics'!$B$15*INDEX('Underlying Mechanics'!$B$31:$B$51,Q$1-'Underlying Mechanics'!$B$8+1)*'Underlying Mechanics'!$B$5))*(1-$A84))-IF(Q$1=0,'Underlying Mechanics'!$B$23*(1-$B84),0)-IF(Q$1&gt;0,'Underlying Mechanics'!$B$22*'Underlying Mechanics'!$B$17,0)-IF(Q$1&gt;0,'Underlying Mechanics'!$B$12*'Underlying Mechanics'!$B$18,0)</x:f>
        <x:v>61500</x:v>
      </x:c>
      <x:c r="R84" t="n">
        <x:f>((IF(R$1-'Underlying Mechanics'!$B$8&lt;0,0,'Underlying Mechanics'!$B$22*'Underlying Mechanics'!$B$15*INDEX('Underlying Mechanics'!$B$31:$B$51,R$1-'Underlying Mechanics'!$B$8+1)*'Underlying Mechanics'!$B$5))*(1-$A84))-IF(R$1=0,'Underlying Mechanics'!$B$23*(1-$B84),0)-IF(R$1&gt;0,'Underlying Mechanics'!$B$22*'Underlying Mechanics'!$B$17,0)-IF(R$1&gt;0,'Underlying Mechanics'!$B$12*'Underlying Mechanics'!$B$18,0)</x:f>
        <x:v>61500</x:v>
      </x:c>
      <x:c r="S84" t="n">
        <x:f>((IF(S$1-'Underlying Mechanics'!$B$8&lt;0,0,'Underlying Mechanics'!$B$22*'Underlying Mechanics'!$B$15*INDEX('Underlying Mechanics'!$B$31:$B$51,S$1-'Underlying Mechanics'!$B$8+1)*'Underlying Mechanics'!$B$5))*(1-$A84))-IF(S$1=0,'Underlying Mechanics'!$B$23*(1-$B84),0)-IF(S$1&gt;0,'Underlying Mechanics'!$B$22*'Underlying Mechanics'!$B$17,0)-IF(S$1&gt;0,'Underlying Mechanics'!$B$12*'Underlying Mechanics'!$B$18,0)</x:f>
        <x:v>61500</x:v>
      </x:c>
      <x:c r="T84" t="n">
        <x:f>((IF(T$1-'Underlying Mechanics'!$B$8&lt;0,0,'Underlying Mechanics'!$B$22*'Underlying Mechanics'!$B$15*INDEX('Underlying Mechanics'!$B$31:$B$51,T$1-'Underlying Mechanics'!$B$8+1)*'Underlying Mechanics'!$B$5))*(1-$A84))-IF(T$1=0,'Underlying Mechanics'!$B$23*(1-$B84),0)-IF(T$1&gt;0,'Underlying Mechanics'!$B$22*'Underlying Mechanics'!$B$17,0)-IF(T$1&gt;0,'Underlying Mechanics'!$B$12*'Underlying Mechanics'!$B$18,0)</x:f>
        <x:v>61500</x:v>
      </x:c>
      <x:c r="U84" t="n">
        <x:f>((IF(U$1-'Underlying Mechanics'!$B$8&lt;0,0,'Underlying Mechanics'!$B$22*'Underlying Mechanics'!$B$15*INDEX('Underlying Mechanics'!$B$31:$B$51,U$1-'Underlying Mechanics'!$B$8+1)*'Underlying Mechanics'!$B$5))*(1-$A84))-IF(U$1=0,'Underlying Mechanics'!$B$23*(1-$B84),0)-IF(U$1&gt;0,'Underlying Mechanics'!$B$22*'Underlying Mechanics'!$B$17,0)-IF(U$1&gt;0,'Underlying Mechanics'!$B$12*'Underlying Mechanics'!$B$18,0)</x:f>
        <x:v>61500</x:v>
      </x:c>
      <x:c r="V84" t="n">
        <x:f>((IF(V$1-'Underlying Mechanics'!$B$8&lt;0,0,'Underlying Mechanics'!$B$22*'Underlying Mechanics'!$B$15*INDEX('Underlying Mechanics'!$B$31:$B$51,V$1-'Underlying Mechanics'!$B$8+1)*'Underlying Mechanics'!$B$5))*(1-$A84))-IF(V$1=0,'Underlying Mechanics'!$B$23*(1-$B84),0)-IF(V$1&gt;0,'Underlying Mechanics'!$B$22*'Underlying Mechanics'!$B$17,0)-IF(V$1&gt;0,'Underlying Mechanics'!$B$12*'Underlying Mechanics'!$B$18,0)</x:f>
        <x:v>61500</x:v>
      </x:c>
      <x:c r="W84" t="n">
        <x:f>((IF(W$1-'Underlying Mechanics'!$B$8&lt;0,0,'Underlying Mechanics'!$B$22*'Underlying Mechanics'!$B$15*INDEX('Underlying Mechanics'!$B$31:$B$51,W$1-'Underlying Mechanics'!$B$8+1)*'Underlying Mechanics'!$B$5))*(1-$A84))-IF(W$1=0,'Underlying Mechanics'!$B$23*(1-$B84),0)-IF(W$1&gt;0,'Underlying Mechanics'!$B$22*'Underlying Mechanics'!$B$17,0)-IF(W$1&gt;0,'Underlying Mechanics'!$B$12*'Underlying Mechanics'!$B$18,0)</x:f>
        <x:v>61500</x:v>
      </x:c>
      <x:c r="X84" t="n">
        <x:f>IFERROR(IRR(C84:W84),-1)</x:f>
        <x:v>0.16470678742573358</x:v>
      </x:c>
    </x:row>
    <x:row r="85">
      <x:c r="A85" t="n">
        <x:v>0.3</x:v>
      </x:c>
      <x:c r="B85" t="n">
        <x:v>1</x:v>
      </x:c>
      <x:c r="C85" t="n">
        <x:f>((IF(C$1-'Underlying Mechanics'!$B$8&lt;0,0,'Underlying Mechanics'!$B$22*'Underlying Mechanics'!$B$15*INDEX('Underlying Mechanics'!$B$31:$B$51,C$1-'Underlying Mechanics'!$B$8+1)*'Underlying Mechanics'!$B$5))*(1-$A85))-IF(C$1=0,'Underlying Mechanics'!$B$23*(1-$B85),0)-IF(C$1&gt;0,'Underlying Mechanics'!$B$22*'Underlying Mechanics'!$B$17,0)-IF(C$1&gt;0,'Underlying Mechanics'!$B$12*'Underlying Mechanics'!$B$18,0)</x:f>
        <x:v>0</x:v>
      </x:c>
      <x:c r="D85" t="n">
        <x:f>((IF(D$1-'Underlying Mechanics'!$B$8&lt;0,0,'Underlying Mechanics'!$B$22*'Underlying Mechanics'!$B$15*INDEX('Underlying Mechanics'!$B$31:$B$51,D$1-'Underlying Mechanics'!$B$8+1)*'Underlying Mechanics'!$B$5))*(1-$A85))-IF(D$1=0,'Underlying Mechanics'!$B$23*(1-$B85),0)-IF(D$1&gt;0,'Underlying Mechanics'!$B$22*'Underlying Mechanics'!$B$17,0)-IF(D$1&gt;0,'Underlying Mechanics'!$B$12*'Underlying Mechanics'!$B$18,0)</x:f>
        <x:v>-22500</x:v>
      </x:c>
      <x:c r="E85" t="n">
        <x:f>((IF(E$1-'Underlying Mechanics'!$B$8&lt;0,0,'Underlying Mechanics'!$B$22*'Underlying Mechanics'!$B$15*INDEX('Underlying Mechanics'!$B$31:$B$51,E$1-'Underlying Mechanics'!$B$8+1)*'Underlying Mechanics'!$B$5))*(1-$A85))-IF(E$1=0,'Underlying Mechanics'!$B$23*(1-$B85),0)-IF(E$1&gt;0,'Underlying Mechanics'!$B$22*'Underlying Mechanics'!$B$17,0)-IF(E$1&gt;0,'Underlying Mechanics'!$B$12*'Underlying Mechanics'!$B$18,0)</x:f>
        <x:v>-22500</x:v>
      </x:c>
      <x:c r="F85" t="n">
        <x:f>((IF(F$1-'Underlying Mechanics'!$B$8&lt;0,0,'Underlying Mechanics'!$B$22*'Underlying Mechanics'!$B$15*INDEX('Underlying Mechanics'!$B$31:$B$51,F$1-'Underlying Mechanics'!$B$8+1)*'Underlying Mechanics'!$B$5))*(1-$A85))-IF(F$1=0,'Underlying Mechanics'!$B$23*(1-$B85),0)-IF(F$1&gt;0,'Underlying Mechanics'!$B$22*'Underlying Mechanics'!$B$17,0)-IF(F$1&gt;0,'Underlying Mechanics'!$B$12*'Underlying Mechanics'!$B$18,0)</x:f>
        <x:v>-20820</x:v>
      </x:c>
      <x:c r="G85" t="n">
        <x:f>((IF(G$1-'Underlying Mechanics'!$B$8&lt;0,0,'Underlying Mechanics'!$B$22*'Underlying Mechanics'!$B$15*INDEX('Underlying Mechanics'!$B$31:$B$51,G$1-'Underlying Mechanics'!$B$8+1)*'Underlying Mechanics'!$B$5))*(1-$A85))-IF(G$1=0,'Underlying Mechanics'!$B$23*(1-$B85),0)-IF(G$1&gt;0,'Underlying Mechanics'!$B$22*'Underlying Mechanics'!$B$17,0)-IF(G$1&gt;0,'Underlying Mechanics'!$B$12*'Underlying Mechanics'!$B$18,0)</x:f>
        <x:v>-18300</x:v>
      </x:c>
      <x:c r="H85" t="n">
        <x:f>((IF(H$1-'Underlying Mechanics'!$B$8&lt;0,0,'Underlying Mechanics'!$B$22*'Underlying Mechanics'!$B$15*INDEX('Underlying Mechanics'!$B$31:$B$51,H$1-'Underlying Mechanics'!$B$8+1)*'Underlying Mechanics'!$B$5))*(1-$A85))-IF(H$1=0,'Underlying Mechanics'!$B$23*(1-$B85),0)-IF(H$1&gt;0,'Underlying Mechanics'!$B$22*'Underlying Mechanics'!$B$17,0)-IF(H$1&gt;0,'Underlying Mechanics'!$B$12*'Underlying Mechanics'!$B$18,0)</x:f>
        <x:v>-14100</x:v>
      </x:c>
      <x:c r="I85" t="n">
        <x:f>((IF(I$1-'Underlying Mechanics'!$B$8&lt;0,0,'Underlying Mechanics'!$B$22*'Underlying Mechanics'!$B$15*INDEX('Underlying Mechanics'!$B$31:$B$51,I$1-'Underlying Mechanics'!$B$8+1)*'Underlying Mechanics'!$B$5))*(1-$A85))-IF(I$1=0,'Underlying Mechanics'!$B$23*(1-$B85),0)-IF(I$1&gt;0,'Underlying Mechanics'!$B$22*'Underlying Mechanics'!$B$17,0)-IF(I$1&gt;0,'Underlying Mechanics'!$B$12*'Underlying Mechanics'!$B$18,0)</x:f>
        <x:v>-7380.000000000002</x:v>
      </x:c>
      <x:c r="J85" t="n">
        <x:f>((IF(J$1-'Underlying Mechanics'!$B$8&lt;0,0,'Underlying Mechanics'!$B$22*'Underlying Mechanics'!$B$15*INDEX('Underlying Mechanics'!$B$31:$B$51,J$1-'Underlying Mechanics'!$B$8+1)*'Underlying Mechanics'!$B$5))*(1-$A85))-IF(J$1=0,'Underlying Mechanics'!$B$23*(1-$B85),0)-IF(J$1&gt;0,'Underlying Mechanics'!$B$22*'Underlying Mechanics'!$B$17,0)-IF(J$1&gt;0,'Underlying Mechanics'!$B$12*'Underlying Mechanics'!$B$18,0)</x:f>
        <x:v>1020.0000000000036</x:v>
      </x:c>
      <x:c r="K85" t="n">
        <x:f>((IF(K$1-'Underlying Mechanics'!$B$8&lt;0,0,'Underlying Mechanics'!$B$22*'Underlying Mechanics'!$B$15*INDEX('Underlying Mechanics'!$B$31:$B$51,K$1-'Underlying Mechanics'!$B$8+1)*'Underlying Mechanics'!$B$5))*(1-$A85))-IF(K$1=0,'Underlying Mechanics'!$B$23*(1-$B85),0)-IF(K$1&gt;0,'Underlying Mechanics'!$B$22*'Underlying Mechanics'!$B$17,0)-IF(K$1&gt;0,'Underlying Mechanics'!$B$12*'Underlying Mechanics'!$B$18,0)</x:f>
        <x:v>11100</x:v>
      </x:c>
      <x:c r="L85" t="n">
        <x:f>((IF(L$1-'Underlying Mechanics'!$B$8&lt;0,0,'Underlying Mechanics'!$B$22*'Underlying Mechanics'!$B$15*INDEX('Underlying Mechanics'!$B$31:$B$51,L$1-'Underlying Mechanics'!$B$8+1)*'Underlying Mechanics'!$B$5))*(1-$A85))-IF(L$1=0,'Underlying Mechanics'!$B$23*(1-$B85),0)-IF(L$1&gt;0,'Underlying Mechanics'!$B$22*'Underlying Mechanics'!$B$17,0)-IF(L$1&gt;0,'Underlying Mechanics'!$B$12*'Underlying Mechanics'!$B$18,0)</x:f>
        <x:v>22860</x:v>
      </x:c>
      <x:c r="M85" t="n">
        <x:f>((IF(M$1-'Underlying Mechanics'!$B$8&lt;0,0,'Underlying Mechanics'!$B$22*'Underlying Mechanics'!$B$15*INDEX('Underlying Mechanics'!$B$31:$B$51,M$1-'Underlying Mechanics'!$B$8+1)*'Underlying Mechanics'!$B$5))*(1-$A85))-IF(M$1=0,'Underlying Mechanics'!$B$23*(1-$B85),0)-IF(M$1&gt;0,'Underlying Mechanics'!$B$22*'Underlying Mechanics'!$B$17,0)-IF(M$1&gt;0,'Underlying Mechanics'!$B$12*'Underlying Mechanics'!$B$18,0)</x:f>
        <x:v>34620.00000000001</x:v>
      </x:c>
      <x:c r="N85" t="n">
        <x:f>((IF(N$1-'Underlying Mechanics'!$B$8&lt;0,0,'Underlying Mechanics'!$B$22*'Underlying Mechanics'!$B$15*INDEX('Underlying Mechanics'!$B$31:$B$51,N$1-'Underlying Mechanics'!$B$8+1)*'Underlying Mechanics'!$B$5))*(1-$A85))-IF(N$1=0,'Underlying Mechanics'!$B$23*(1-$B85),0)-IF(N$1&gt;0,'Underlying Mechanics'!$B$22*'Underlying Mechanics'!$B$17,0)-IF(N$1&gt;0,'Underlying Mechanics'!$B$12*'Underlying Mechanics'!$B$18,0)</x:f>
        <x:v>44700</x:v>
      </x:c>
      <x:c r="O85" t="n">
        <x:f>((IF(O$1-'Underlying Mechanics'!$B$8&lt;0,0,'Underlying Mechanics'!$B$22*'Underlying Mechanics'!$B$15*INDEX('Underlying Mechanics'!$B$31:$B$51,O$1-'Underlying Mechanics'!$B$8+1)*'Underlying Mechanics'!$B$5))*(1-$A85))-IF(O$1=0,'Underlying Mechanics'!$B$23*(1-$B85),0)-IF(O$1&gt;0,'Underlying Mechanics'!$B$22*'Underlying Mechanics'!$B$17,0)-IF(O$1&gt;0,'Underlying Mechanics'!$B$12*'Underlying Mechanics'!$B$18,0)</x:f>
        <x:v>53100</x:v>
      </x:c>
      <x:c r="P85" t="n">
        <x:f>((IF(P$1-'Underlying Mechanics'!$B$8&lt;0,0,'Underlying Mechanics'!$B$22*'Underlying Mechanics'!$B$15*INDEX('Underlying Mechanics'!$B$31:$B$51,P$1-'Underlying Mechanics'!$B$8+1)*'Underlying Mechanics'!$B$5))*(1-$A85))-IF(P$1=0,'Underlying Mechanics'!$B$23*(1-$B85),0)-IF(P$1&gt;0,'Underlying Mechanics'!$B$22*'Underlying Mechanics'!$B$17,0)-IF(P$1&gt;0,'Underlying Mechanics'!$B$12*'Underlying Mechanics'!$B$18,0)</x:f>
        <x:v>61500</x:v>
      </x:c>
      <x:c r="Q85" t="n">
        <x:f>((IF(Q$1-'Underlying Mechanics'!$B$8&lt;0,0,'Underlying Mechanics'!$B$22*'Underlying Mechanics'!$B$15*INDEX('Underlying Mechanics'!$B$31:$B$51,Q$1-'Underlying Mechanics'!$B$8+1)*'Underlying Mechanics'!$B$5))*(1-$A85))-IF(Q$1=0,'Underlying Mechanics'!$B$23*(1-$B85),0)-IF(Q$1&gt;0,'Underlying Mechanics'!$B$22*'Underlying Mechanics'!$B$17,0)-IF(Q$1&gt;0,'Underlying Mechanics'!$B$12*'Underlying Mechanics'!$B$18,0)</x:f>
        <x:v>61500</x:v>
      </x:c>
      <x:c r="R85" t="n">
        <x:f>((IF(R$1-'Underlying Mechanics'!$B$8&lt;0,0,'Underlying Mechanics'!$B$22*'Underlying Mechanics'!$B$15*INDEX('Underlying Mechanics'!$B$31:$B$51,R$1-'Underlying Mechanics'!$B$8+1)*'Underlying Mechanics'!$B$5))*(1-$A85))-IF(R$1=0,'Underlying Mechanics'!$B$23*(1-$B85),0)-IF(R$1&gt;0,'Underlying Mechanics'!$B$22*'Underlying Mechanics'!$B$17,0)-IF(R$1&gt;0,'Underlying Mechanics'!$B$12*'Underlying Mechanics'!$B$18,0)</x:f>
        <x:v>61500</x:v>
      </x:c>
      <x:c r="S85" t="n">
        <x:f>((IF(S$1-'Underlying Mechanics'!$B$8&lt;0,0,'Underlying Mechanics'!$B$22*'Underlying Mechanics'!$B$15*INDEX('Underlying Mechanics'!$B$31:$B$51,S$1-'Underlying Mechanics'!$B$8+1)*'Underlying Mechanics'!$B$5))*(1-$A85))-IF(S$1=0,'Underlying Mechanics'!$B$23*(1-$B85),0)-IF(S$1&gt;0,'Underlying Mechanics'!$B$22*'Underlying Mechanics'!$B$17,0)-IF(S$1&gt;0,'Underlying Mechanics'!$B$12*'Underlying Mechanics'!$B$18,0)</x:f>
        <x:v>61500</x:v>
      </x:c>
      <x:c r="T85" t="n">
        <x:f>((IF(T$1-'Underlying Mechanics'!$B$8&lt;0,0,'Underlying Mechanics'!$B$22*'Underlying Mechanics'!$B$15*INDEX('Underlying Mechanics'!$B$31:$B$51,T$1-'Underlying Mechanics'!$B$8+1)*'Underlying Mechanics'!$B$5))*(1-$A85))-IF(T$1=0,'Underlying Mechanics'!$B$23*(1-$B85),0)-IF(T$1&gt;0,'Underlying Mechanics'!$B$22*'Underlying Mechanics'!$B$17,0)-IF(T$1&gt;0,'Underlying Mechanics'!$B$12*'Underlying Mechanics'!$B$18,0)</x:f>
        <x:v>61500</x:v>
      </x:c>
      <x:c r="U85" t="n">
        <x:f>((IF(U$1-'Underlying Mechanics'!$B$8&lt;0,0,'Underlying Mechanics'!$B$22*'Underlying Mechanics'!$B$15*INDEX('Underlying Mechanics'!$B$31:$B$51,U$1-'Underlying Mechanics'!$B$8+1)*'Underlying Mechanics'!$B$5))*(1-$A85))-IF(U$1=0,'Underlying Mechanics'!$B$23*(1-$B85),0)-IF(U$1&gt;0,'Underlying Mechanics'!$B$22*'Underlying Mechanics'!$B$17,0)-IF(U$1&gt;0,'Underlying Mechanics'!$B$12*'Underlying Mechanics'!$B$18,0)</x:f>
        <x:v>61500</x:v>
      </x:c>
      <x:c r="V85" t="n">
        <x:f>((IF(V$1-'Underlying Mechanics'!$B$8&lt;0,0,'Underlying Mechanics'!$B$22*'Underlying Mechanics'!$B$15*INDEX('Underlying Mechanics'!$B$31:$B$51,V$1-'Underlying Mechanics'!$B$8+1)*'Underlying Mechanics'!$B$5))*(1-$A85))-IF(V$1=0,'Underlying Mechanics'!$B$23*(1-$B85),0)-IF(V$1&gt;0,'Underlying Mechanics'!$B$22*'Underlying Mechanics'!$B$17,0)-IF(V$1&gt;0,'Underlying Mechanics'!$B$12*'Underlying Mechanics'!$B$18,0)</x:f>
        <x:v>61500</x:v>
      </x:c>
      <x:c r="W85" t="n">
        <x:f>((IF(W$1-'Underlying Mechanics'!$B$8&lt;0,0,'Underlying Mechanics'!$B$22*'Underlying Mechanics'!$B$15*INDEX('Underlying Mechanics'!$B$31:$B$51,W$1-'Underlying Mechanics'!$B$8+1)*'Underlying Mechanics'!$B$5))*(1-$A85))-IF(W$1=0,'Underlying Mechanics'!$B$23*(1-$B85),0)-IF(W$1&gt;0,'Underlying Mechanics'!$B$22*'Underlying Mechanics'!$B$17,0)-IF(W$1&gt;0,'Underlying Mechanics'!$B$12*'Underlying Mechanics'!$B$18,0)</x:f>
        <x:v>61500</x:v>
      </x:c>
      <x:c r="X85" t="n">
        <x:f>IFERROR(IRR(C85:W85),-1)</x:f>
        <x:v>0.17613622357668912</x:v>
      </x:c>
    </x:row>
    <x:row r="86">
      <x:c r="A86" t="n">
        <x:v>0.4</x:v>
      </x:c>
      <x:c r="B86" t="n">
        <x:v>0</x:v>
      </x:c>
      <x:c r="C86" t="n">
        <x:f>((IF(C$1-'Underlying Mechanics'!$B$8&lt;0,0,'Underlying Mechanics'!$B$22*'Underlying Mechanics'!$B$15*INDEX('Underlying Mechanics'!$B$31:$B$51,C$1-'Underlying Mechanics'!$B$8+1)*'Underlying Mechanics'!$B$5))*(1-$A86))-IF(C$1=0,'Underlying Mechanics'!$B$23*(1-$B86),0)-IF(C$1&gt;0,'Underlying Mechanics'!$B$22*'Underlying Mechanics'!$B$17,0)-IF(C$1&gt;0,'Underlying Mechanics'!$B$12*'Underlying Mechanics'!$B$18,0)</x:f>
        <x:v>-150000</x:v>
      </x:c>
      <x:c r="D86" t="n">
        <x:f>((IF(D$1-'Underlying Mechanics'!$B$8&lt;0,0,'Underlying Mechanics'!$B$22*'Underlying Mechanics'!$B$15*INDEX('Underlying Mechanics'!$B$31:$B$51,D$1-'Underlying Mechanics'!$B$8+1)*'Underlying Mechanics'!$B$5))*(1-$A86))-IF(D$1=0,'Underlying Mechanics'!$B$23*(1-$B86),0)-IF(D$1&gt;0,'Underlying Mechanics'!$B$22*'Underlying Mechanics'!$B$17,0)-IF(D$1&gt;0,'Underlying Mechanics'!$B$12*'Underlying Mechanics'!$B$18,0)</x:f>
        <x:v>-22500</x:v>
      </x:c>
      <x:c r="E86" t="n">
        <x:f>((IF(E$1-'Underlying Mechanics'!$B$8&lt;0,0,'Underlying Mechanics'!$B$22*'Underlying Mechanics'!$B$15*INDEX('Underlying Mechanics'!$B$31:$B$51,E$1-'Underlying Mechanics'!$B$8+1)*'Underlying Mechanics'!$B$5))*(1-$A86))-IF(E$1=0,'Underlying Mechanics'!$B$23*(1-$B86),0)-IF(E$1&gt;0,'Underlying Mechanics'!$B$22*'Underlying Mechanics'!$B$17,0)-IF(E$1&gt;0,'Underlying Mechanics'!$B$12*'Underlying Mechanics'!$B$18,0)</x:f>
        <x:v>-22500</x:v>
      </x:c>
      <x:c r="F86" t="n">
        <x:f>((IF(F$1-'Underlying Mechanics'!$B$8&lt;0,0,'Underlying Mechanics'!$B$22*'Underlying Mechanics'!$B$15*INDEX('Underlying Mechanics'!$B$31:$B$51,F$1-'Underlying Mechanics'!$B$8+1)*'Underlying Mechanics'!$B$5))*(1-$A86))-IF(F$1=0,'Underlying Mechanics'!$B$23*(1-$B86),0)-IF(F$1&gt;0,'Underlying Mechanics'!$B$22*'Underlying Mechanics'!$B$17,0)-IF(F$1&gt;0,'Underlying Mechanics'!$B$12*'Underlying Mechanics'!$B$18,0)</x:f>
        <x:v>-21060</x:v>
      </x:c>
      <x:c r="G86" t="n">
        <x:f>((IF(G$1-'Underlying Mechanics'!$B$8&lt;0,0,'Underlying Mechanics'!$B$22*'Underlying Mechanics'!$B$15*INDEX('Underlying Mechanics'!$B$31:$B$51,G$1-'Underlying Mechanics'!$B$8+1)*'Underlying Mechanics'!$B$5))*(1-$A86))-IF(G$1=0,'Underlying Mechanics'!$B$23*(1-$B86),0)-IF(G$1&gt;0,'Underlying Mechanics'!$B$22*'Underlying Mechanics'!$B$17,0)-IF(G$1&gt;0,'Underlying Mechanics'!$B$12*'Underlying Mechanics'!$B$18,0)</x:f>
        <x:v>-18900</x:v>
      </x:c>
      <x:c r="H86" t="n">
        <x:f>((IF(H$1-'Underlying Mechanics'!$B$8&lt;0,0,'Underlying Mechanics'!$B$22*'Underlying Mechanics'!$B$15*INDEX('Underlying Mechanics'!$B$31:$B$51,H$1-'Underlying Mechanics'!$B$8+1)*'Underlying Mechanics'!$B$5))*(1-$A86))-IF(H$1=0,'Underlying Mechanics'!$B$23*(1-$B86),0)-IF(H$1&gt;0,'Underlying Mechanics'!$B$22*'Underlying Mechanics'!$B$17,0)-IF(H$1&gt;0,'Underlying Mechanics'!$B$12*'Underlying Mechanics'!$B$18,0)</x:f>
        <x:v>-15300</x:v>
      </x:c>
      <x:c r="I86" t="n">
        <x:f>((IF(I$1-'Underlying Mechanics'!$B$8&lt;0,0,'Underlying Mechanics'!$B$22*'Underlying Mechanics'!$B$15*INDEX('Underlying Mechanics'!$B$31:$B$51,I$1-'Underlying Mechanics'!$B$8+1)*'Underlying Mechanics'!$B$5))*(1-$A86))-IF(I$1=0,'Underlying Mechanics'!$B$23*(1-$B86),0)-IF(I$1&gt;0,'Underlying Mechanics'!$B$22*'Underlying Mechanics'!$B$17,0)-IF(I$1&gt;0,'Underlying Mechanics'!$B$12*'Underlying Mechanics'!$B$18,0)</x:f>
        <x:v>-9540</x:v>
      </x:c>
      <x:c r="J86" t="n">
        <x:f>((IF(J$1-'Underlying Mechanics'!$B$8&lt;0,0,'Underlying Mechanics'!$B$22*'Underlying Mechanics'!$B$15*INDEX('Underlying Mechanics'!$B$31:$B$51,J$1-'Underlying Mechanics'!$B$8+1)*'Underlying Mechanics'!$B$5))*(1-$A86))-IF(J$1=0,'Underlying Mechanics'!$B$23*(1-$B86),0)-IF(J$1&gt;0,'Underlying Mechanics'!$B$22*'Underlying Mechanics'!$B$17,0)-IF(J$1&gt;0,'Underlying Mechanics'!$B$12*'Underlying Mechanics'!$B$18,0)</x:f>
        <x:v>-2339.9999999999964</x:v>
      </x:c>
      <x:c r="K86" t="n">
        <x:f>((IF(K$1-'Underlying Mechanics'!$B$8&lt;0,0,'Underlying Mechanics'!$B$22*'Underlying Mechanics'!$B$15*INDEX('Underlying Mechanics'!$B$31:$B$51,K$1-'Underlying Mechanics'!$B$8+1)*'Underlying Mechanics'!$B$5))*(1-$A86))-IF(K$1=0,'Underlying Mechanics'!$B$23*(1-$B86),0)-IF(K$1&gt;0,'Underlying Mechanics'!$B$22*'Underlying Mechanics'!$B$17,0)-IF(K$1&gt;0,'Underlying Mechanics'!$B$12*'Underlying Mechanics'!$B$18,0)</x:f>
        <x:v>6300</x:v>
      </x:c>
      <x:c r="L86" t="n">
        <x:f>((IF(L$1-'Underlying Mechanics'!$B$8&lt;0,0,'Underlying Mechanics'!$B$22*'Underlying Mechanics'!$B$15*INDEX('Underlying Mechanics'!$B$31:$B$51,L$1-'Underlying Mechanics'!$B$8+1)*'Underlying Mechanics'!$B$5))*(1-$A86))-IF(L$1=0,'Underlying Mechanics'!$B$23*(1-$B86),0)-IF(L$1&gt;0,'Underlying Mechanics'!$B$22*'Underlying Mechanics'!$B$17,0)-IF(L$1&gt;0,'Underlying Mechanics'!$B$12*'Underlying Mechanics'!$B$18,0)</x:f>
        <x:v>16380</x:v>
      </x:c>
      <x:c r="M86" t="n">
        <x:f>((IF(M$1-'Underlying Mechanics'!$B$8&lt;0,0,'Underlying Mechanics'!$B$22*'Underlying Mechanics'!$B$15*INDEX('Underlying Mechanics'!$B$31:$B$51,M$1-'Underlying Mechanics'!$B$8+1)*'Underlying Mechanics'!$B$5))*(1-$A86))-IF(M$1=0,'Underlying Mechanics'!$B$23*(1-$B86),0)-IF(M$1&gt;0,'Underlying Mechanics'!$B$22*'Underlying Mechanics'!$B$17,0)-IF(M$1&gt;0,'Underlying Mechanics'!$B$12*'Underlying Mechanics'!$B$18,0)</x:f>
        <x:v>26460.000000000007</x:v>
      </x:c>
      <x:c r="N86" t="n">
        <x:f>((IF(N$1-'Underlying Mechanics'!$B$8&lt;0,0,'Underlying Mechanics'!$B$22*'Underlying Mechanics'!$B$15*INDEX('Underlying Mechanics'!$B$31:$B$51,N$1-'Underlying Mechanics'!$B$8+1)*'Underlying Mechanics'!$B$5))*(1-$A86))-IF(N$1=0,'Underlying Mechanics'!$B$23*(1-$B86),0)-IF(N$1&gt;0,'Underlying Mechanics'!$B$22*'Underlying Mechanics'!$B$17,0)-IF(N$1&gt;0,'Underlying Mechanics'!$B$12*'Underlying Mechanics'!$B$18,0)</x:f>
        <x:v>35100</x:v>
      </x:c>
      <x:c r="O86" t="n">
        <x:f>((IF(O$1-'Underlying Mechanics'!$B$8&lt;0,0,'Underlying Mechanics'!$B$22*'Underlying Mechanics'!$B$15*INDEX('Underlying Mechanics'!$B$31:$B$51,O$1-'Underlying Mechanics'!$B$8+1)*'Underlying Mechanics'!$B$5))*(1-$A86))-IF(O$1=0,'Underlying Mechanics'!$B$23*(1-$B86),0)-IF(O$1&gt;0,'Underlying Mechanics'!$B$22*'Underlying Mechanics'!$B$17,0)-IF(O$1&gt;0,'Underlying Mechanics'!$B$12*'Underlying Mechanics'!$B$18,0)</x:f>
        <x:v>42300</x:v>
      </x:c>
      <x:c r="P86" t="n">
        <x:f>((IF(P$1-'Underlying Mechanics'!$B$8&lt;0,0,'Underlying Mechanics'!$B$22*'Underlying Mechanics'!$B$15*INDEX('Underlying Mechanics'!$B$31:$B$51,P$1-'Underlying Mechanics'!$B$8+1)*'Underlying Mechanics'!$B$5))*(1-$A86))-IF(P$1=0,'Underlying Mechanics'!$B$23*(1-$B86),0)-IF(P$1&gt;0,'Underlying Mechanics'!$B$22*'Underlying Mechanics'!$B$17,0)-IF(P$1&gt;0,'Underlying Mechanics'!$B$12*'Underlying Mechanics'!$B$18,0)</x:f>
        <x:v>49500</x:v>
      </x:c>
      <x:c r="Q86" t="n">
        <x:f>((IF(Q$1-'Underlying Mechanics'!$B$8&lt;0,0,'Underlying Mechanics'!$B$22*'Underlying Mechanics'!$B$15*INDEX('Underlying Mechanics'!$B$31:$B$51,Q$1-'Underlying Mechanics'!$B$8+1)*'Underlying Mechanics'!$B$5))*(1-$A86))-IF(Q$1=0,'Underlying Mechanics'!$B$23*(1-$B86),0)-IF(Q$1&gt;0,'Underlying Mechanics'!$B$22*'Underlying Mechanics'!$B$17,0)-IF(Q$1&gt;0,'Underlying Mechanics'!$B$12*'Underlying Mechanics'!$B$18,0)</x:f>
        <x:v>49500</x:v>
      </x:c>
      <x:c r="R86" t="n">
        <x:f>((IF(R$1-'Underlying Mechanics'!$B$8&lt;0,0,'Underlying Mechanics'!$B$22*'Underlying Mechanics'!$B$15*INDEX('Underlying Mechanics'!$B$31:$B$51,R$1-'Underlying Mechanics'!$B$8+1)*'Underlying Mechanics'!$B$5))*(1-$A86))-IF(R$1=0,'Underlying Mechanics'!$B$23*(1-$B86),0)-IF(R$1&gt;0,'Underlying Mechanics'!$B$22*'Underlying Mechanics'!$B$17,0)-IF(R$1&gt;0,'Underlying Mechanics'!$B$12*'Underlying Mechanics'!$B$18,0)</x:f>
        <x:v>49500</x:v>
      </x:c>
      <x:c r="S86" t="n">
        <x:f>((IF(S$1-'Underlying Mechanics'!$B$8&lt;0,0,'Underlying Mechanics'!$B$22*'Underlying Mechanics'!$B$15*INDEX('Underlying Mechanics'!$B$31:$B$51,S$1-'Underlying Mechanics'!$B$8+1)*'Underlying Mechanics'!$B$5))*(1-$A86))-IF(S$1=0,'Underlying Mechanics'!$B$23*(1-$B86),0)-IF(S$1&gt;0,'Underlying Mechanics'!$B$22*'Underlying Mechanics'!$B$17,0)-IF(S$1&gt;0,'Underlying Mechanics'!$B$12*'Underlying Mechanics'!$B$18,0)</x:f>
        <x:v>49500</x:v>
      </x:c>
      <x:c r="T86" t="n">
        <x:f>((IF(T$1-'Underlying Mechanics'!$B$8&lt;0,0,'Underlying Mechanics'!$B$22*'Underlying Mechanics'!$B$15*INDEX('Underlying Mechanics'!$B$31:$B$51,T$1-'Underlying Mechanics'!$B$8+1)*'Underlying Mechanics'!$B$5))*(1-$A86))-IF(T$1=0,'Underlying Mechanics'!$B$23*(1-$B86),0)-IF(T$1&gt;0,'Underlying Mechanics'!$B$22*'Underlying Mechanics'!$B$17,0)-IF(T$1&gt;0,'Underlying Mechanics'!$B$12*'Underlying Mechanics'!$B$18,0)</x:f>
        <x:v>49500</x:v>
      </x:c>
      <x:c r="U86" t="n">
        <x:f>((IF(U$1-'Underlying Mechanics'!$B$8&lt;0,0,'Underlying Mechanics'!$B$22*'Underlying Mechanics'!$B$15*INDEX('Underlying Mechanics'!$B$31:$B$51,U$1-'Underlying Mechanics'!$B$8+1)*'Underlying Mechanics'!$B$5))*(1-$A86))-IF(U$1=0,'Underlying Mechanics'!$B$23*(1-$B86),0)-IF(U$1&gt;0,'Underlying Mechanics'!$B$22*'Underlying Mechanics'!$B$17,0)-IF(U$1&gt;0,'Underlying Mechanics'!$B$12*'Underlying Mechanics'!$B$18,0)</x:f>
        <x:v>49500</x:v>
      </x:c>
      <x:c r="V86" t="n">
        <x:f>((IF(V$1-'Underlying Mechanics'!$B$8&lt;0,0,'Underlying Mechanics'!$B$22*'Underlying Mechanics'!$B$15*INDEX('Underlying Mechanics'!$B$31:$B$51,V$1-'Underlying Mechanics'!$B$8+1)*'Underlying Mechanics'!$B$5))*(1-$A86))-IF(V$1=0,'Underlying Mechanics'!$B$23*(1-$B86),0)-IF(V$1&gt;0,'Underlying Mechanics'!$B$22*'Underlying Mechanics'!$B$17,0)-IF(V$1&gt;0,'Underlying Mechanics'!$B$12*'Underlying Mechanics'!$B$18,0)</x:f>
        <x:v>49500</x:v>
      </x:c>
      <x:c r="W86" t="n">
        <x:f>((IF(W$1-'Underlying Mechanics'!$B$8&lt;0,0,'Underlying Mechanics'!$B$22*'Underlying Mechanics'!$B$15*INDEX('Underlying Mechanics'!$B$31:$B$51,W$1-'Underlying Mechanics'!$B$8+1)*'Underlying Mechanics'!$B$5))*(1-$A86))-IF(W$1=0,'Underlying Mechanics'!$B$23*(1-$B86),0)-IF(W$1&gt;0,'Underlying Mechanics'!$B$22*'Underlying Mechanics'!$B$17,0)-IF(W$1&gt;0,'Underlying Mechanics'!$B$12*'Underlying Mechanics'!$B$18,0)</x:f>
        <x:v>49500</x:v>
      </x:c>
      <x:c r="X86" t="n">
        <x:f>IFERROR(IRR(C86:W86),-1)</x:f>
        <x:v>0.05218277297796935</x:v>
      </x:c>
    </x:row>
    <x:row r="87">
      <x:c r="A87" t="n">
        <x:v>0.4</x:v>
      </x:c>
      <x:c r="B87" t="n">
        <x:v>0.05</x:v>
      </x:c>
      <x:c r="C87" t="n">
        <x:f>((IF(C$1-'Underlying Mechanics'!$B$8&lt;0,0,'Underlying Mechanics'!$B$22*'Underlying Mechanics'!$B$15*INDEX('Underlying Mechanics'!$B$31:$B$51,C$1-'Underlying Mechanics'!$B$8+1)*'Underlying Mechanics'!$B$5))*(1-$A87))-IF(C$1=0,'Underlying Mechanics'!$B$23*(1-$B87),0)-IF(C$1&gt;0,'Underlying Mechanics'!$B$22*'Underlying Mechanics'!$B$17,0)-IF(C$1&gt;0,'Underlying Mechanics'!$B$12*'Underlying Mechanics'!$B$18,0)</x:f>
        <x:v>-142500</x:v>
      </x:c>
      <x:c r="D87" t="n">
        <x:f>((IF(D$1-'Underlying Mechanics'!$B$8&lt;0,0,'Underlying Mechanics'!$B$22*'Underlying Mechanics'!$B$15*INDEX('Underlying Mechanics'!$B$31:$B$51,D$1-'Underlying Mechanics'!$B$8+1)*'Underlying Mechanics'!$B$5))*(1-$A87))-IF(D$1=0,'Underlying Mechanics'!$B$23*(1-$B87),0)-IF(D$1&gt;0,'Underlying Mechanics'!$B$22*'Underlying Mechanics'!$B$17,0)-IF(D$1&gt;0,'Underlying Mechanics'!$B$12*'Underlying Mechanics'!$B$18,0)</x:f>
        <x:v>-22500</x:v>
      </x:c>
      <x:c r="E87" t="n">
        <x:f>((IF(E$1-'Underlying Mechanics'!$B$8&lt;0,0,'Underlying Mechanics'!$B$22*'Underlying Mechanics'!$B$15*INDEX('Underlying Mechanics'!$B$31:$B$51,E$1-'Underlying Mechanics'!$B$8+1)*'Underlying Mechanics'!$B$5))*(1-$A87))-IF(E$1=0,'Underlying Mechanics'!$B$23*(1-$B87),0)-IF(E$1&gt;0,'Underlying Mechanics'!$B$22*'Underlying Mechanics'!$B$17,0)-IF(E$1&gt;0,'Underlying Mechanics'!$B$12*'Underlying Mechanics'!$B$18,0)</x:f>
        <x:v>-22500</x:v>
      </x:c>
      <x:c r="F87" t="n">
        <x:f>((IF(F$1-'Underlying Mechanics'!$B$8&lt;0,0,'Underlying Mechanics'!$B$22*'Underlying Mechanics'!$B$15*INDEX('Underlying Mechanics'!$B$31:$B$51,F$1-'Underlying Mechanics'!$B$8+1)*'Underlying Mechanics'!$B$5))*(1-$A87))-IF(F$1=0,'Underlying Mechanics'!$B$23*(1-$B87),0)-IF(F$1&gt;0,'Underlying Mechanics'!$B$22*'Underlying Mechanics'!$B$17,0)-IF(F$1&gt;0,'Underlying Mechanics'!$B$12*'Underlying Mechanics'!$B$18,0)</x:f>
        <x:v>-21060</x:v>
      </x:c>
      <x:c r="G87" t="n">
        <x:f>((IF(G$1-'Underlying Mechanics'!$B$8&lt;0,0,'Underlying Mechanics'!$B$22*'Underlying Mechanics'!$B$15*INDEX('Underlying Mechanics'!$B$31:$B$51,G$1-'Underlying Mechanics'!$B$8+1)*'Underlying Mechanics'!$B$5))*(1-$A87))-IF(G$1=0,'Underlying Mechanics'!$B$23*(1-$B87),0)-IF(G$1&gt;0,'Underlying Mechanics'!$B$22*'Underlying Mechanics'!$B$17,0)-IF(G$1&gt;0,'Underlying Mechanics'!$B$12*'Underlying Mechanics'!$B$18,0)</x:f>
        <x:v>-18900</x:v>
      </x:c>
      <x:c r="H87" t="n">
        <x:f>((IF(H$1-'Underlying Mechanics'!$B$8&lt;0,0,'Underlying Mechanics'!$B$22*'Underlying Mechanics'!$B$15*INDEX('Underlying Mechanics'!$B$31:$B$51,H$1-'Underlying Mechanics'!$B$8+1)*'Underlying Mechanics'!$B$5))*(1-$A87))-IF(H$1=0,'Underlying Mechanics'!$B$23*(1-$B87),0)-IF(H$1&gt;0,'Underlying Mechanics'!$B$22*'Underlying Mechanics'!$B$17,0)-IF(H$1&gt;0,'Underlying Mechanics'!$B$12*'Underlying Mechanics'!$B$18,0)</x:f>
        <x:v>-15300</x:v>
      </x:c>
      <x:c r="I87" t="n">
        <x:f>((IF(I$1-'Underlying Mechanics'!$B$8&lt;0,0,'Underlying Mechanics'!$B$22*'Underlying Mechanics'!$B$15*INDEX('Underlying Mechanics'!$B$31:$B$51,I$1-'Underlying Mechanics'!$B$8+1)*'Underlying Mechanics'!$B$5))*(1-$A87))-IF(I$1=0,'Underlying Mechanics'!$B$23*(1-$B87),0)-IF(I$1&gt;0,'Underlying Mechanics'!$B$22*'Underlying Mechanics'!$B$17,0)-IF(I$1&gt;0,'Underlying Mechanics'!$B$12*'Underlying Mechanics'!$B$18,0)</x:f>
        <x:v>-9540</x:v>
      </x:c>
      <x:c r="J87" t="n">
        <x:f>((IF(J$1-'Underlying Mechanics'!$B$8&lt;0,0,'Underlying Mechanics'!$B$22*'Underlying Mechanics'!$B$15*INDEX('Underlying Mechanics'!$B$31:$B$51,J$1-'Underlying Mechanics'!$B$8+1)*'Underlying Mechanics'!$B$5))*(1-$A87))-IF(J$1=0,'Underlying Mechanics'!$B$23*(1-$B87),0)-IF(J$1&gt;0,'Underlying Mechanics'!$B$22*'Underlying Mechanics'!$B$17,0)-IF(J$1&gt;0,'Underlying Mechanics'!$B$12*'Underlying Mechanics'!$B$18,0)</x:f>
        <x:v>-2339.9999999999964</x:v>
      </x:c>
      <x:c r="K87" t="n">
        <x:f>((IF(K$1-'Underlying Mechanics'!$B$8&lt;0,0,'Underlying Mechanics'!$B$22*'Underlying Mechanics'!$B$15*INDEX('Underlying Mechanics'!$B$31:$B$51,K$1-'Underlying Mechanics'!$B$8+1)*'Underlying Mechanics'!$B$5))*(1-$A87))-IF(K$1=0,'Underlying Mechanics'!$B$23*(1-$B87),0)-IF(K$1&gt;0,'Underlying Mechanics'!$B$22*'Underlying Mechanics'!$B$17,0)-IF(K$1&gt;0,'Underlying Mechanics'!$B$12*'Underlying Mechanics'!$B$18,0)</x:f>
        <x:v>6300</x:v>
      </x:c>
      <x:c r="L87" t="n">
        <x:f>((IF(L$1-'Underlying Mechanics'!$B$8&lt;0,0,'Underlying Mechanics'!$B$22*'Underlying Mechanics'!$B$15*INDEX('Underlying Mechanics'!$B$31:$B$51,L$1-'Underlying Mechanics'!$B$8+1)*'Underlying Mechanics'!$B$5))*(1-$A87))-IF(L$1=0,'Underlying Mechanics'!$B$23*(1-$B87),0)-IF(L$1&gt;0,'Underlying Mechanics'!$B$22*'Underlying Mechanics'!$B$17,0)-IF(L$1&gt;0,'Underlying Mechanics'!$B$12*'Underlying Mechanics'!$B$18,0)</x:f>
        <x:v>16380</x:v>
      </x:c>
      <x:c r="M87" t="n">
        <x:f>((IF(M$1-'Underlying Mechanics'!$B$8&lt;0,0,'Underlying Mechanics'!$B$22*'Underlying Mechanics'!$B$15*INDEX('Underlying Mechanics'!$B$31:$B$51,M$1-'Underlying Mechanics'!$B$8+1)*'Underlying Mechanics'!$B$5))*(1-$A87))-IF(M$1=0,'Underlying Mechanics'!$B$23*(1-$B87),0)-IF(M$1&gt;0,'Underlying Mechanics'!$B$22*'Underlying Mechanics'!$B$17,0)-IF(M$1&gt;0,'Underlying Mechanics'!$B$12*'Underlying Mechanics'!$B$18,0)</x:f>
        <x:v>26460.000000000007</x:v>
      </x:c>
      <x:c r="N87" t="n">
        <x:f>((IF(N$1-'Underlying Mechanics'!$B$8&lt;0,0,'Underlying Mechanics'!$B$22*'Underlying Mechanics'!$B$15*INDEX('Underlying Mechanics'!$B$31:$B$51,N$1-'Underlying Mechanics'!$B$8+1)*'Underlying Mechanics'!$B$5))*(1-$A87))-IF(N$1=0,'Underlying Mechanics'!$B$23*(1-$B87),0)-IF(N$1&gt;0,'Underlying Mechanics'!$B$22*'Underlying Mechanics'!$B$17,0)-IF(N$1&gt;0,'Underlying Mechanics'!$B$12*'Underlying Mechanics'!$B$18,0)</x:f>
        <x:v>35100</x:v>
      </x:c>
      <x:c r="O87" t="n">
        <x:f>((IF(O$1-'Underlying Mechanics'!$B$8&lt;0,0,'Underlying Mechanics'!$B$22*'Underlying Mechanics'!$B$15*INDEX('Underlying Mechanics'!$B$31:$B$51,O$1-'Underlying Mechanics'!$B$8+1)*'Underlying Mechanics'!$B$5))*(1-$A87))-IF(O$1=0,'Underlying Mechanics'!$B$23*(1-$B87),0)-IF(O$1&gt;0,'Underlying Mechanics'!$B$22*'Underlying Mechanics'!$B$17,0)-IF(O$1&gt;0,'Underlying Mechanics'!$B$12*'Underlying Mechanics'!$B$18,0)</x:f>
        <x:v>42300</x:v>
      </x:c>
      <x:c r="P87" t="n">
        <x:f>((IF(P$1-'Underlying Mechanics'!$B$8&lt;0,0,'Underlying Mechanics'!$B$22*'Underlying Mechanics'!$B$15*INDEX('Underlying Mechanics'!$B$31:$B$51,P$1-'Underlying Mechanics'!$B$8+1)*'Underlying Mechanics'!$B$5))*(1-$A87))-IF(P$1=0,'Underlying Mechanics'!$B$23*(1-$B87),0)-IF(P$1&gt;0,'Underlying Mechanics'!$B$22*'Underlying Mechanics'!$B$17,0)-IF(P$1&gt;0,'Underlying Mechanics'!$B$12*'Underlying Mechanics'!$B$18,0)</x:f>
        <x:v>49500</x:v>
      </x:c>
      <x:c r="Q87" t="n">
        <x:f>((IF(Q$1-'Underlying Mechanics'!$B$8&lt;0,0,'Underlying Mechanics'!$B$22*'Underlying Mechanics'!$B$15*INDEX('Underlying Mechanics'!$B$31:$B$51,Q$1-'Underlying Mechanics'!$B$8+1)*'Underlying Mechanics'!$B$5))*(1-$A87))-IF(Q$1=0,'Underlying Mechanics'!$B$23*(1-$B87),0)-IF(Q$1&gt;0,'Underlying Mechanics'!$B$22*'Underlying Mechanics'!$B$17,0)-IF(Q$1&gt;0,'Underlying Mechanics'!$B$12*'Underlying Mechanics'!$B$18,0)</x:f>
        <x:v>49500</x:v>
      </x:c>
      <x:c r="R87" t="n">
        <x:f>((IF(R$1-'Underlying Mechanics'!$B$8&lt;0,0,'Underlying Mechanics'!$B$22*'Underlying Mechanics'!$B$15*INDEX('Underlying Mechanics'!$B$31:$B$51,R$1-'Underlying Mechanics'!$B$8+1)*'Underlying Mechanics'!$B$5))*(1-$A87))-IF(R$1=0,'Underlying Mechanics'!$B$23*(1-$B87),0)-IF(R$1&gt;0,'Underlying Mechanics'!$B$22*'Underlying Mechanics'!$B$17,0)-IF(R$1&gt;0,'Underlying Mechanics'!$B$12*'Underlying Mechanics'!$B$18,0)</x:f>
        <x:v>49500</x:v>
      </x:c>
      <x:c r="S87" t="n">
        <x:f>((IF(S$1-'Underlying Mechanics'!$B$8&lt;0,0,'Underlying Mechanics'!$B$22*'Underlying Mechanics'!$B$15*INDEX('Underlying Mechanics'!$B$31:$B$51,S$1-'Underlying Mechanics'!$B$8+1)*'Underlying Mechanics'!$B$5))*(1-$A87))-IF(S$1=0,'Underlying Mechanics'!$B$23*(1-$B87),0)-IF(S$1&gt;0,'Underlying Mechanics'!$B$22*'Underlying Mechanics'!$B$17,0)-IF(S$1&gt;0,'Underlying Mechanics'!$B$12*'Underlying Mechanics'!$B$18,0)</x:f>
        <x:v>49500</x:v>
      </x:c>
      <x:c r="T87" t="n">
        <x:f>((IF(T$1-'Underlying Mechanics'!$B$8&lt;0,0,'Underlying Mechanics'!$B$22*'Underlying Mechanics'!$B$15*INDEX('Underlying Mechanics'!$B$31:$B$51,T$1-'Underlying Mechanics'!$B$8+1)*'Underlying Mechanics'!$B$5))*(1-$A87))-IF(T$1=0,'Underlying Mechanics'!$B$23*(1-$B87),0)-IF(T$1&gt;0,'Underlying Mechanics'!$B$22*'Underlying Mechanics'!$B$17,0)-IF(T$1&gt;0,'Underlying Mechanics'!$B$12*'Underlying Mechanics'!$B$18,0)</x:f>
        <x:v>49500</x:v>
      </x:c>
      <x:c r="U87" t="n">
        <x:f>((IF(U$1-'Underlying Mechanics'!$B$8&lt;0,0,'Underlying Mechanics'!$B$22*'Underlying Mechanics'!$B$15*INDEX('Underlying Mechanics'!$B$31:$B$51,U$1-'Underlying Mechanics'!$B$8+1)*'Underlying Mechanics'!$B$5))*(1-$A87))-IF(U$1=0,'Underlying Mechanics'!$B$23*(1-$B87),0)-IF(U$1&gt;0,'Underlying Mechanics'!$B$22*'Underlying Mechanics'!$B$17,0)-IF(U$1&gt;0,'Underlying Mechanics'!$B$12*'Underlying Mechanics'!$B$18,0)</x:f>
        <x:v>49500</x:v>
      </x:c>
      <x:c r="V87" t="n">
        <x:f>((IF(V$1-'Underlying Mechanics'!$B$8&lt;0,0,'Underlying Mechanics'!$B$22*'Underlying Mechanics'!$B$15*INDEX('Underlying Mechanics'!$B$31:$B$51,V$1-'Underlying Mechanics'!$B$8+1)*'Underlying Mechanics'!$B$5))*(1-$A87))-IF(V$1=0,'Underlying Mechanics'!$B$23*(1-$B87),0)-IF(V$1&gt;0,'Underlying Mechanics'!$B$22*'Underlying Mechanics'!$B$17,0)-IF(V$1&gt;0,'Underlying Mechanics'!$B$12*'Underlying Mechanics'!$B$18,0)</x:f>
        <x:v>49500</x:v>
      </x:c>
      <x:c r="W87" t="n">
        <x:f>((IF(W$1-'Underlying Mechanics'!$B$8&lt;0,0,'Underlying Mechanics'!$B$22*'Underlying Mechanics'!$B$15*INDEX('Underlying Mechanics'!$B$31:$B$51,W$1-'Underlying Mechanics'!$B$8+1)*'Underlying Mechanics'!$B$5))*(1-$A87))-IF(W$1=0,'Underlying Mechanics'!$B$23*(1-$B87),0)-IF(W$1&gt;0,'Underlying Mechanics'!$B$22*'Underlying Mechanics'!$B$17,0)-IF(W$1&gt;0,'Underlying Mechanics'!$B$12*'Underlying Mechanics'!$B$18,0)</x:f>
        <x:v>49500</x:v>
      </x:c>
      <x:c r="X87" t="n">
        <x:f>IFERROR(IRR(C87:W87),-1)</x:f>
        <x:v>0.05463185103675368</x:v>
      </x:c>
    </x:row>
    <x:row r="88">
      <x:c r="A88" t="n">
        <x:v>0.4</x:v>
      </x:c>
      <x:c r="B88" t="n">
        <x:v>0.1</x:v>
      </x:c>
      <x:c r="C88" t="n">
        <x:f>((IF(C$1-'Underlying Mechanics'!$B$8&lt;0,0,'Underlying Mechanics'!$B$22*'Underlying Mechanics'!$B$15*INDEX('Underlying Mechanics'!$B$31:$B$51,C$1-'Underlying Mechanics'!$B$8+1)*'Underlying Mechanics'!$B$5))*(1-$A88))-IF(C$1=0,'Underlying Mechanics'!$B$23*(1-$B88),0)-IF(C$1&gt;0,'Underlying Mechanics'!$B$22*'Underlying Mechanics'!$B$17,0)-IF(C$1&gt;0,'Underlying Mechanics'!$B$12*'Underlying Mechanics'!$B$18,0)</x:f>
        <x:v>-135000</x:v>
      </x:c>
      <x:c r="D88" t="n">
        <x:f>((IF(D$1-'Underlying Mechanics'!$B$8&lt;0,0,'Underlying Mechanics'!$B$22*'Underlying Mechanics'!$B$15*INDEX('Underlying Mechanics'!$B$31:$B$51,D$1-'Underlying Mechanics'!$B$8+1)*'Underlying Mechanics'!$B$5))*(1-$A88))-IF(D$1=0,'Underlying Mechanics'!$B$23*(1-$B88),0)-IF(D$1&gt;0,'Underlying Mechanics'!$B$22*'Underlying Mechanics'!$B$17,0)-IF(D$1&gt;0,'Underlying Mechanics'!$B$12*'Underlying Mechanics'!$B$18,0)</x:f>
        <x:v>-22500</x:v>
      </x:c>
      <x:c r="E88" t="n">
        <x:f>((IF(E$1-'Underlying Mechanics'!$B$8&lt;0,0,'Underlying Mechanics'!$B$22*'Underlying Mechanics'!$B$15*INDEX('Underlying Mechanics'!$B$31:$B$51,E$1-'Underlying Mechanics'!$B$8+1)*'Underlying Mechanics'!$B$5))*(1-$A88))-IF(E$1=0,'Underlying Mechanics'!$B$23*(1-$B88),0)-IF(E$1&gt;0,'Underlying Mechanics'!$B$22*'Underlying Mechanics'!$B$17,0)-IF(E$1&gt;0,'Underlying Mechanics'!$B$12*'Underlying Mechanics'!$B$18,0)</x:f>
        <x:v>-22500</x:v>
      </x:c>
      <x:c r="F88" t="n">
        <x:f>((IF(F$1-'Underlying Mechanics'!$B$8&lt;0,0,'Underlying Mechanics'!$B$22*'Underlying Mechanics'!$B$15*INDEX('Underlying Mechanics'!$B$31:$B$51,F$1-'Underlying Mechanics'!$B$8+1)*'Underlying Mechanics'!$B$5))*(1-$A88))-IF(F$1=0,'Underlying Mechanics'!$B$23*(1-$B88),0)-IF(F$1&gt;0,'Underlying Mechanics'!$B$22*'Underlying Mechanics'!$B$17,0)-IF(F$1&gt;0,'Underlying Mechanics'!$B$12*'Underlying Mechanics'!$B$18,0)</x:f>
        <x:v>-21060</x:v>
      </x:c>
      <x:c r="G88" t="n">
        <x:f>((IF(G$1-'Underlying Mechanics'!$B$8&lt;0,0,'Underlying Mechanics'!$B$22*'Underlying Mechanics'!$B$15*INDEX('Underlying Mechanics'!$B$31:$B$51,G$1-'Underlying Mechanics'!$B$8+1)*'Underlying Mechanics'!$B$5))*(1-$A88))-IF(G$1=0,'Underlying Mechanics'!$B$23*(1-$B88),0)-IF(G$1&gt;0,'Underlying Mechanics'!$B$22*'Underlying Mechanics'!$B$17,0)-IF(G$1&gt;0,'Underlying Mechanics'!$B$12*'Underlying Mechanics'!$B$18,0)</x:f>
        <x:v>-18900</x:v>
      </x:c>
      <x:c r="H88" t="n">
        <x:f>((IF(H$1-'Underlying Mechanics'!$B$8&lt;0,0,'Underlying Mechanics'!$B$22*'Underlying Mechanics'!$B$15*INDEX('Underlying Mechanics'!$B$31:$B$51,H$1-'Underlying Mechanics'!$B$8+1)*'Underlying Mechanics'!$B$5))*(1-$A88))-IF(H$1=0,'Underlying Mechanics'!$B$23*(1-$B88),0)-IF(H$1&gt;0,'Underlying Mechanics'!$B$22*'Underlying Mechanics'!$B$17,0)-IF(H$1&gt;0,'Underlying Mechanics'!$B$12*'Underlying Mechanics'!$B$18,0)</x:f>
        <x:v>-15300</x:v>
      </x:c>
      <x:c r="I88" t="n">
        <x:f>((IF(I$1-'Underlying Mechanics'!$B$8&lt;0,0,'Underlying Mechanics'!$B$22*'Underlying Mechanics'!$B$15*INDEX('Underlying Mechanics'!$B$31:$B$51,I$1-'Underlying Mechanics'!$B$8+1)*'Underlying Mechanics'!$B$5))*(1-$A88))-IF(I$1=0,'Underlying Mechanics'!$B$23*(1-$B88),0)-IF(I$1&gt;0,'Underlying Mechanics'!$B$22*'Underlying Mechanics'!$B$17,0)-IF(I$1&gt;0,'Underlying Mechanics'!$B$12*'Underlying Mechanics'!$B$18,0)</x:f>
        <x:v>-9540</x:v>
      </x:c>
      <x:c r="J88" t="n">
        <x:f>((IF(J$1-'Underlying Mechanics'!$B$8&lt;0,0,'Underlying Mechanics'!$B$22*'Underlying Mechanics'!$B$15*INDEX('Underlying Mechanics'!$B$31:$B$51,J$1-'Underlying Mechanics'!$B$8+1)*'Underlying Mechanics'!$B$5))*(1-$A88))-IF(J$1=0,'Underlying Mechanics'!$B$23*(1-$B88),0)-IF(J$1&gt;0,'Underlying Mechanics'!$B$22*'Underlying Mechanics'!$B$17,0)-IF(J$1&gt;0,'Underlying Mechanics'!$B$12*'Underlying Mechanics'!$B$18,0)</x:f>
        <x:v>-2339.9999999999964</x:v>
      </x:c>
      <x:c r="K88" t="n">
        <x:f>((IF(K$1-'Underlying Mechanics'!$B$8&lt;0,0,'Underlying Mechanics'!$B$22*'Underlying Mechanics'!$B$15*INDEX('Underlying Mechanics'!$B$31:$B$51,K$1-'Underlying Mechanics'!$B$8+1)*'Underlying Mechanics'!$B$5))*(1-$A88))-IF(K$1=0,'Underlying Mechanics'!$B$23*(1-$B88),0)-IF(K$1&gt;0,'Underlying Mechanics'!$B$22*'Underlying Mechanics'!$B$17,0)-IF(K$1&gt;0,'Underlying Mechanics'!$B$12*'Underlying Mechanics'!$B$18,0)</x:f>
        <x:v>6300</x:v>
      </x:c>
      <x:c r="L88" t="n">
        <x:f>((IF(L$1-'Underlying Mechanics'!$B$8&lt;0,0,'Underlying Mechanics'!$B$22*'Underlying Mechanics'!$B$15*INDEX('Underlying Mechanics'!$B$31:$B$51,L$1-'Underlying Mechanics'!$B$8+1)*'Underlying Mechanics'!$B$5))*(1-$A88))-IF(L$1=0,'Underlying Mechanics'!$B$23*(1-$B88),0)-IF(L$1&gt;0,'Underlying Mechanics'!$B$22*'Underlying Mechanics'!$B$17,0)-IF(L$1&gt;0,'Underlying Mechanics'!$B$12*'Underlying Mechanics'!$B$18,0)</x:f>
        <x:v>16380</x:v>
      </x:c>
      <x:c r="M88" t="n">
        <x:f>((IF(M$1-'Underlying Mechanics'!$B$8&lt;0,0,'Underlying Mechanics'!$B$22*'Underlying Mechanics'!$B$15*INDEX('Underlying Mechanics'!$B$31:$B$51,M$1-'Underlying Mechanics'!$B$8+1)*'Underlying Mechanics'!$B$5))*(1-$A88))-IF(M$1=0,'Underlying Mechanics'!$B$23*(1-$B88),0)-IF(M$1&gt;0,'Underlying Mechanics'!$B$22*'Underlying Mechanics'!$B$17,0)-IF(M$1&gt;0,'Underlying Mechanics'!$B$12*'Underlying Mechanics'!$B$18,0)</x:f>
        <x:v>26460.000000000007</x:v>
      </x:c>
      <x:c r="N88" t="n">
        <x:f>((IF(N$1-'Underlying Mechanics'!$B$8&lt;0,0,'Underlying Mechanics'!$B$22*'Underlying Mechanics'!$B$15*INDEX('Underlying Mechanics'!$B$31:$B$51,N$1-'Underlying Mechanics'!$B$8+1)*'Underlying Mechanics'!$B$5))*(1-$A88))-IF(N$1=0,'Underlying Mechanics'!$B$23*(1-$B88),0)-IF(N$1&gt;0,'Underlying Mechanics'!$B$22*'Underlying Mechanics'!$B$17,0)-IF(N$1&gt;0,'Underlying Mechanics'!$B$12*'Underlying Mechanics'!$B$18,0)</x:f>
        <x:v>35100</x:v>
      </x:c>
      <x:c r="O88" t="n">
        <x:f>((IF(O$1-'Underlying Mechanics'!$B$8&lt;0,0,'Underlying Mechanics'!$B$22*'Underlying Mechanics'!$B$15*INDEX('Underlying Mechanics'!$B$31:$B$51,O$1-'Underlying Mechanics'!$B$8+1)*'Underlying Mechanics'!$B$5))*(1-$A88))-IF(O$1=0,'Underlying Mechanics'!$B$23*(1-$B88),0)-IF(O$1&gt;0,'Underlying Mechanics'!$B$22*'Underlying Mechanics'!$B$17,0)-IF(O$1&gt;0,'Underlying Mechanics'!$B$12*'Underlying Mechanics'!$B$18,0)</x:f>
        <x:v>42300</x:v>
      </x:c>
      <x:c r="P88" t="n">
        <x:f>((IF(P$1-'Underlying Mechanics'!$B$8&lt;0,0,'Underlying Mechanics'!$B$22*'Underlying Mechanics'!$B$15*INDEX('Underlying Mechanics'!$B$31:$B$51,P$1-'Underlying Mechanics'!$B$8+1)*'Underlying Mechanics'!$B$5))*(1-$A88))-IF(P$1=0,'Underlying Mechanics'!$B$23*(1-$B88),0)-IF(P$1&gt;0,'Underlying Mechanics'!$B$22*'Underlying Mechanics'!$B$17,0)-IF(P$1&gt;0,'Underlying Mechanics'!$B$12*'Underlying Mechanics'!$B$18,0)</x:f>
        <x:v>49500</x:v>
      </x:c>
      <x:c r="Q88" t="n">
        <x:f>((IF(Q$1-'Underlying Mechanics'!$B$8&lt;0,0,'Underlying Mechanics'!$B$22*'Underlying Mechanics'!$B$15*INDEX('Underlying Mechanics'!$B$31:$B$51,Q$1-'Underlying Mechanics'!$B$8+1)*'Underlying Mechanics'!$B$5))*(1-$A88))-IF(Q$1=0,'Underlying Mechanics'!$B$23*(1-$B88),0)-IF(Q$1&gt;0,'Underlying Mechanics'!$B$22*'Underlying Mechanics'!$B$17,0)-IF(Q$1&gt;0,'Underlying Mechanics'!$B$12*'Underlying Mechanics'!$B$18,0)</x:f>
        <x:v>49500</x:v>
      </x:c>
      <x:c r="R88" t="n">
        <x:f>((IF(R$1-'Underlying Mechanics'!$B$8&lt;0,0,'Underlying Mechanics'!$B$22*'Underlying Mechanics'!$B$15*INDEX('Underlying Mechanics'!$B$31:$B$51,R$1-'Underlying Mechanics'!$B$8+1)*'Underlying Mechanics'!$B$5))*(1-$A88))-IF(R$1=0,'Underlying Mechanics'!$B$23*(1-$B88),0)-IF(R$1&gt;0,'Underlying Mechanics'!$B$22*'Underlying Mechanics'!$B$17,0)-IF(R$1&gt;0,'Underlying Mechanics'!$B$12*'Underlying Mechanics'!$B$18,0)</x:f>
        <x:v>49500</x:v>
      </x:c>
      <x:c r="S88" t="n">
        <x:f>((IF(S$1-'Underlying Mechanics'!$B$8&lt;0,0,'Underlying Mechanics'!$B$22*'Underlying Mechanics'!$B$15*INDEX('Underlying Mechanics'!$B$31:$B$51,S$1-'Underlying Mechanics'!$B$8+1)*'Underlying Mechanics'!$B$5))*(1-$A88))-IF(S$1=0,'Underlying Mechanics'!$B$23*(1-$B88),0)-IF(S$1&gt;0,'Underlying Mechanics'!$B$22*'Underlying Mechanics'!$B$17,0)-IF(S$1&gt;0,'Underlying Mechanics'!$B$12*'Underlying Mechanics'!$B$18,0)</x:f>
        <x:v>49500</x:v>
      </x:c>
      <x:c r="T88" t="n">
        <x:f>((IF(T$1-'Underlying Mechanics'!$B$8&lt;0,0,'Underlying Mechanics'!$B$22*'Underlying Mechanics'!$B$15*INDEX('Underlying Mechanics'!$B$31:$B$51,T$1-'Underlying Mechanics'!$B$8+1)*'Underlying Mechanics'!$B$5))*(1-$A88))-IF(T$1=0,'Underlying Mechanics'!$B$23*(1-$B88),0)-IF(T$1&gt;0,'Underlying Mechanics'!$B$22*'Underlying Mechanics'!$B$17,0)-IF(T$1&gt;0,'Underlying Mechanics'!$B$12*'Underlying Mechanics'!$B$18,0)</x:f>
        <x:v>49500</x:v>
      </x:c>
      <x:c r="U88" t="n">
        <x:f>((IF(U$1-'Underlying Mechanics'!$B$8&lt;0,0,'Underlying Mechanics'!$B$22*'Underlying Mechanics'!$B$15*INDEX('Underlying Mechanics'!$B$31:$B$51,U$1-'Underlying Mechanics'!$B$8+1)*'Underlying Mechanics'!$B$5))*(1-$A88))-IF(U$1=0,'Underlying Mechanics'!$B$23*(1-$B88),0)-IF(U$1&gt;0,'Underlying Mechanics'!$B$22*'Underlying Mechanics'!$B$17,0)-IF(U$1&gt;0,'Underlying Mechanics'!$B$12*'Underlying Mechanics'!$B$18,0)</x:f>
        <x:v>49500</x:v>
      </x:c>
      <x:c r="V88" t="n">
        <x:f>((IF(V$1-'Underlying Mechanics'!$B$8&lt;0,0,'Underlying Mechanics'!$B$22*'Underlying Mechanics'!$B$15*INDEX('Underlying Mechanics'!$B$31:$B$51,V$1-'Underlying Mechanics'!$B$8+1)*'Underlying Mechanics'!$B$5))*(1-$A88))-IF(V$1=0,'Underlying Mechanics'!$B$23*(1-$B88),0)-IF(V$1&gt;0,'Underlying Mechanics'!$B$22*'Underlying Mechanics'!$B$17,0)-IF(V$1&gt;0,'Underlying Mechanics'!$B$12*'Underlying Mechanics'!$B$18,0)</x:f>
        <x:v>49500</x:v>
      </x:c>
      <x:c r="W88" t="n">
        <x:f>((IF(W$1-'Underlying Mechanics'!$B$8&lt;0,0,'Underlying Mechanics'!$B$22*'Underlying Mechanics'!$B$15*INDEX('Underlying Mechanics'!$B$31:$B$51,W$1-'Underlying Mechanics'!$B$8+1)*'Underlying Mechanics'!$B$5))*(1-$A88))-IF(W$1=0,'Underlying Mechanics'!$B$23*(1-$B88),0)-IF(W$1&gt;0,'Underlying Mechanics'!$B$22*'Underlying Mechanics'!$B$17,0)-IF(W$1&gt;0,'Underlying Mechanics'!$B$12*'Underlying Mechanics'!$B$18,0)</x:f>
        <x:v>49500</x:v>
      </x:c>
      <x:c r="X88" t="n">
        <x:f>IFERROR(IRR(C88:W88),-1)</x:f>
        <x:v>0.05718346748442128</x:v>
      </x:c>
    </x:row>
    <x:row r="89">
      <x:c r="A89" t="n">
        <x:v>0.4</x:v>
      </x:c>
      <x:c r="B89" t="n">
        <x:v>0.15</x:v>
      </x:c>
      <x:c r="C89" t="n">
        <x:f>((IF(C$1-'Underlying Mechanics'!$B$8&lt;0,0,'Underlying Mechanics'!$B$22*'Underlying Mechanics'!$B$15*INDEX('Underlying Mechanics'!$B$31:$B$51,C$1-'Underlying Mechanics'!$B$8+1)*'Underlying Mechanics'!$B$5))*(1-$A89))-IF(C$1=0,'Underlying Mechanics'!$B$23*(1-$B89),0)-IF(C$1&gt;0,'Underlying Mechanics'!$B$22*'Underlying Mechanics'!$B$17,0)-IF(C$1&gt;0,'Underlying Mechanics'!$B$12*'Underlying Mechanics'!$B$18,0)</x:f>
        <x:v>-127500</x:v>
      </x:c>
      <x:c r="D89" t="n">
        <x:f>((IF(D$1-'Underlying Mechanics'!$B$8&lt;0,0,'Underlying Mechanics'!$B$22*'Underlying Mechanics'!$B$15*INDEX('Underlying Mechanics'!$B$31:$B$51,D$1-'Underlying Mechanics'!$B$8+1)*'Underlying Mechanics'!$B$5))*(1-$A89))-IF(D$1=0,'Underlying Mechanics'!$B$23*(1-$B89),0)-IF(D$1&gt;0,'Underlying Mechanics'!$B$22*'Underlying Mechanics'!$B$17,0)-IF(D$1&gt;0,'Underlying Mechanics'!$B$12*'Underlying Mechanics'!$B$18,0)</x:f>
        <x:v>-22500</x:v>
      </x:c>
      <x:c r="E89" t="n">
        <x:f>((IF(E$1-'Underlying Mechanics'!$B$8&lt;0,0,'Underlying Mechanics'!$B$22*'Underlying Mechanics'!$B$15*INDEX('Underlying Mechanics'!$B$31:$B$51,E$1-'Underlying Mechanics'!$B$8+1)*'Underlying Mechanics'!$B$5))*(1-$A89))-IF(E$1=0,'Underlying Mechanics'!$B$23*(1-$B89),0)-IF(E$1&gt;0,'Underlying Mechanics'!$B$22*'Underlying Mechanics'!$B$17,0)-IF(E$1&gt;0,'Underlying Mechanics'!$B$12*'Underlying Mechanics'!$B$18,0)</x:f>
        <x:v>-22500</x:v>
      </x:c>
      <x:c r="F89" t="n">
        <x:f>((IF(F$1-'Underlying Mechanics'!$B$8&lt;0,0,'Underlying Mechanics'!$B$22*'Underlying Mechanics'!$B$15*INDEX('Underlying Mechanics'!$B$31:$B$51,F$1-'Underlying Mechanics'!$B$8+1)*'Underlying Mechanics'!$B$5))*(1-$A89))-IF(F$1=0,'Underlying Mechanics'!$B$23*(1-$B89),0)-IF(F$1&gt;0,'Underlying Mechanics'!$B$22*'Underlying Mechanics'!$B$17,0)-IF(F$1&gt;0,'Underlying Mechanics'!$B$12*'Underlying Mechanics'!$B$18,0)</x:f>
        <x:v>-21060</x:v>
      </x:c>
      <x:c r="G89" t="n">
        <x:f>((IF(G$1-'Underlying Mechanics'!$B$8&lt;0,0,'Underlying Mechanics'!$B$22*'Underlying Mechanics'!$B$15*INDEX('Underlying Mechanics'!$B$31:$B$51,G$1-'Underlying Mechanics'!$B$8+1)*'Underlying Mechanics'!$B$5))*(1-$A89))-IF(G$1=0,'Underlying Mechanics'!$B$23*(1-$B89),0)-IF(G$1&gt;0,'Underlying Mechanics'!$B$22*'Underlying Mechanics'!$B$17,0)-IF(G$1&gt;0,'Underlying Mechanics'!$B$12*'Underlying Mechanics'!$B$18,0)</x:f>
        <x:v>-18900</x:v>
      </x:c>
      <x:c r="H89" t="n">
        <x:f>((IF(H$1-'Underlying Mechanics'!$B$8&lt;0,0,'Underlying Mechanics'!$B$22*'Underlying Mechanics'!$B$15*INDEX('Underlying Mechanics'!$B$31:$B$51,H$1-'Underlying Mechanics'!$B$8+1)*'Underlying Mechanics'!$B$5))*(1-$A89))-IF(H$1=0,'Underlying Mechanics'!$B$23*(1-$B89),0)-IF(H$1&gt;0,'Underlying Mechanics'!$B$22*'Underlying Mechanics'!$B$17,0)-IF(H$1&gt;0,'Underlying Mechanics'!$B$12*'Underlying Mechanics'!$B$18,0)</x:f>
        <x:v>-15300</x:v>
      </x:c>
      <x:c r="I89" t="n">
        <x:f>((IF(I$1-'Underlying Mechanics'!$B$8&lt;0,0,'Underlying Mechanics'!$B$22*'Underlying Mechanics'!$B$15*INDEX('Underlying Mechanics'!$B$31:$B$51,I$1-'Underlying Mechanics'!$B$8+1)*'Underlying Mechanics'!$B$5))*(1-$A89))-IF(I$1=0,'Underlying Mechanics'!$B$23*(1-$B89),0)-IF(I$1&gt;0,'Underlying Mechanics'!$B$22*'Underlying Mechanics'!$B$17,0)-IF(I$1&gt;0,'Underlying Mechanics'!$B$12*'Underlying Mechanics'!$B$18,0)</x:f>
        <x:v>-9540</x:v>
      </x:c>
      <x:c r="J89" t="n">
        <x:f>((IF(J$1-'Underlying Mechanics'!$B$8&lt;0,0,'Underlying Mechanics'!$B$22*'Underlying Mechanics'!$B$15*INDEX('Underlying Mechanics'!$B$31:$B$51,J$1-'Underlying Mechanics'!$B$8+1)*'Underlying Mechanics'!$B$5))*(1-$A89))-IF(J$1=0,'Underlying Mechanics'!$B$23*(1-$B89),0)-IF(J$1&gt;0,'Underlying Mechanics'!$B$22*'Underlying Mechanics'!$B$17,0)-IF(J$1&gt;0,'Underlying Mechanics'!$B$12*'Underlying Mechanics'!$B$18,0)</x:f>
        <x:v>-2339.9999999999964</x:v>
      </x:c>
      <x:c r="K89" t="n">
        <x:f>((IF(K$1-'Underlying Mechanics'!$B$8&lt;0,0,'Underlying Mechanics'!$B$22*'Underlying Mechanics'!$B$15*INDEX('Underlying Mechanics'!$B$31:$B$51,K$1-'Underlying Mechanics'!$B$8+1)*'Underlying Mechanics'!$B$5))*(1-$A89))-IF(K$1=0,'Underlying Mechanics'!$B$23*(1-$B89),0)-IF(K$1&gt;0,'Underlying Mechanics'!$B$22*'Underlying Mechanics'!$B$17,0)-IF(K$1&gt;0,'Underlying Mechanics'!$B$12*'Underlying Mechanics'!$B$18,0)</x:f>
        <x:v>6300</x:v>
      </x:c>
      <x:c r="L89" t="n">
        <x:f>((IF(L$1-'Underlying Mechanics'!$B$8&lt;0,0,'Underlying Mechanics'!$B$22*'Underlying Mechanics'!$B$15*INDEX('Underlying Mechanics'!$B$31:$B$51,L$1-'Underlying Mechanics'!$B$8+1)*'Underlying Mechanics'!$B$5))*(1-$A89))-IF(L$1=0,'Underlying Mechanics'!$B$23*(1-$B89),0)-IF(L$1&gt;0,'Underlying Mechanics'!$B$22*'Underlying Mechanics'!$B$17,0)-IF(L$1&gt;0,'Underlying Mechanics'!$B$12*'Underlying Mechanics'!$B$18,0)</x:f>
        <x:v>16380</x:v>
      </x:c>
      <x:c r="M89" t="n">
        <x:f>((IF(M$1-'Underlying Mechanics'!$B$8&lt;0,0,'Underlying Mechanics'!$B$22*'Underlying Mechanics'!$B$15*INDEX('Underlying Mechanics'!$B$31:$B$51,M$1-'Underlying Mechanics'!$B$8+1)*'Underlying Mechanics'!$B$5))*(1-$A89))-IF(M$1=0,'Underlying Mechanics'!$B$23*(1-$B89),0)-IF(M$1&gt;0,'Underlying Mechanics'!$B$22*'Underlying Mechanics'!$B$17,0)-IF(M$1&gt;0,'Underlying Mechanics'!$B$12*'Underlying Mechanics'!$B$18,0)</x:f>
        <x:v>26460.000000000007</x:v>
      </x:c>
      <x:c r="N89" t="n">
        <x:f>((IF(N$1-'Underlying Mechanics'!$B$8&lt;0,0,'Underlying Mechanics'!$B$22*'Underlying Mechanics'!$B$15*INDEX('Underlying Mechanics'!$B$31:$B$51,N$1-'Underlying Mechanics'!$B$8+1)*'Underlying Mechanics'!$B$5))*(1-$A89))-IF(N$1=0,'Underlying Mechanics'!$B$23*(1-$B89),0)-IF(N$1&gt;0,'Underlying Mechanics'!$B$22*'Underlying Mechanics'!$B$17,0)-IF(N$1&gt;0,'Underlying Mechanics'!$B$12*'Underlying Mechanics'!$B$18,0)</x:f>
        <x:v>35100</x:v>
      </x:c>
      <x:c r="O89" t="n">
        <x:f>((IF(O$1-'Underlying Mechanics'!$B$8&lt;0,0,'Underlying Mechanics'!$B$22*'Underlying Mechanics'!$B$15*INDEX('Underlying Mechanics'!$B$31:$B$51,O$1-'Underlying Mechanics'!$B$8+1)*'Underlying Mechanics'!$B$5))*(1-$A89))-IF(O$1=0,'Underlying Mechanics'!$B$23*(1-$B89),0)-IF(O$1&gt;0,'Underlying Mechanics'!$B$22*'Underlying Mechanics'!$B$17,0)-IF(O$1&gt;0,'Underlying Mechanics'!$B$12*'Underlying Mechanics'!$B$18,0)</x:f>
        <x:v>42300</x:v>
      </x:c>
      <x:c r="P89" t="n">
        <x:f>((IF(P$1-'Underlying Mechanics'!$B$8&lt;0,0,'Underlying Mechanics'!$B$22*'Underlying Mechanics'!$B$15*INDEX('Underlying Mechanics'!$B$31:$B$51,P$1-'Underlying Mechanics'!$B$8+1)*'Underlying Mechanics'!$B$5))*(1-$A89))-IF(P$1=0,'Underlying Mechanics'!$B$23*(1-$B89),0)-IF(P$1&gt;0,'Underlying Mechanics'!$B$22*'Underlying Mechanics'!$B$17,0)-IF(P$1&gt;0,'Underlying Mechanics'!$B$12*'Underlying Mechanics'!$B$18,0)</x:f>
        <x:v>49500</x:v>
      </x:c>
      <x:c r="Q89" t="n">
        <x:f>((IF(Q$1-'Underlying Mechanics'!$B$8&lt;0,0,'Underlying Mechanics'!$B$22*'Underlying Mechanics'!$B$15*INDEX('Underlying Mechanics'!$B$31:$B$51,Q$1-'Underlying Mechanics'!$B$8+1)*'Underlying Mechanics'!$B$5))*(1-$A89))-IF(Q$1=0,'Underlying Mechanics'!$B$23*(1-$B89),0)-IF(Q$1&gt;0,'Underlying Mechanics'!$B$22*'Underlying Mechanics'!$B$17,0)-IF(Q$1&gt;0,'Underlying Mechanics'!$B$12*'Underlying Mechanics'!$B$18,0)</x:f>
        <x:v>49500</x:v>
      </x:c>
      <x:c r="R89" t="n">
        <x:f>((IF(R$1-'Underlying Mechanics'!$B$8&lt;0,0,'Underlying Mechanics'!$B$22*'Underlying Mechanics'!$B$15*INDEX('Underlying Mechanics'!$B$31:$B$51,R$1-'Underlying Mechanics'!$B$8+1)*'Underlying Mechanics'!$B$5))*(1-$A89))-IF(R$1=0,'Underlying Mechanics'!$B$23*(1-$B89),0)-IF(R$1&gt;0,'Underlying Mechanics'!$B$22*'Underlying Mechanics'!$B$17,0)-IF(R$1&gt;0,'Underlying Mechanics'!$B$12*'Underlying Mechanics'!$B$18,0)</x:f>
        <x:v>49500</x:v>
      </x:c>
      <x:c r="S89" t="n">
        <x:f>((IF(S$1-'Underlying Mechanics'!$B$8&lt;0,0,'Underlying Mechanics'!$B$22*'Underlying Mechanics'!$B$15*INDEX('Underlying Mechanics'!$B$31:$B$51,S$1-'Underlying Mechanics'!$B$8+1)*'Underlying Mechanics'!$B$5))*(1-$A89))-IF(S$1=0,'Underlying Mechanics'!$B$23*(1-$B89),0)-IF(S$1&gt;0,'Underlying Mechanics'!$B$22*'Underlying Mechanics'!$B$17,0)-IF(S$1&gt;0,'Underlying Mechanics'!$B$12*'Underlying Mechanics'!$B$18,0)</x:f>
        <x:v>49500</x:v>
      </x:c>
      <x:c r="T89" t="n">
        <x:f>((IF(T$1-'Underlying Mechanics'!$B$8&lt;0,0,'Underlying Mechanics'!$B$22*'Underlying Mechanics'!$B$15*INDEX('Underlying Mechanics'!$B$31:$B$51,T$1-'Underlying Mechanics'!$B$8+1)*'Underlying Mechanics'!$B$5))*(1-$A89))-IF(T$1=0,'Underlying Mechanics'!$B$23*(1-$B89),0)-IF(T$1&gt;0,'Underlying Mechanics'!$B$22*'Underlying Mechanics'!$B$17,0)-IF(T$1&gt;0,'Underlying Mechanics'!$B$12*'Underlying Mechanics'!$B$18,0)</x:f>
        <x:v>49500</x:v>
      </x:c>
      <x:c r="U89" t="n">
        <x:f>((IF(U$1-'Underlying Mechanics'!$B$8&lt;0,0,'Underlying Mechanics'!$B$22*'Underlying Mechanics'!$B$15*INDEX('Underlying Mechanics'!$B$31:$B$51,U$1-'Underlying Mechanics'!$B$8+1)*'Underlying Mechanics'!$B$5))*(1-$A89))-IF(U$1=0,'Underlying Mechanics'!$B$23*(1-$B89),0)-IF(U$1&gt;0,'Underlying Mechanics'!$B$22*'Underlying Mechanics'!$B$17,0)-IF(U$1&gt;0,'Underlying Mechanics'!$B$12*'Underlying Mechanics'!$B$18,0)</x:f>
        <x:v>49500</x:v>
      </x:c>
      <x:c r="V89" t="n">
        <x:f>((IF(V$1-'Underlying Mechanics'!$B$8&lt;0,0,'Underlying Mechanics'!$B$22*'Underlying Mechanics'!$B$15*INDEX('Underlying Mechanics'!$B$31:$B$51,V$1-'Underlying Mechanics'!$B$8+1)*'Underlying Mechanics'!$B$5))*(1-$A89))-IF(V$1=0,'Underlying Mechanics'!$B$23*(1-$B89),0)-IF(V$1&gt;0,'Underlying Mechanics'!$B$22*'Underlying Mechanics'!$B$17,0)-IF(V$1&gt;0,'Underlying Mechanics'!$B$12*'Underlying Mechanics'!$B$18,0)</x:f>
        <x:v>49500</x:v>
      </x:c>
      <x:c r="W89" t="n">
        <x:f>((IF(W$1-'Underlying Mechanics'!$B$8&lt;0,0,'Underlying Mechanics'!$B$22*'Underlying Mechanics'!$B$15*INDEX('Underlying Mechanics'!$B$31:$B$51,W$1-'Underlying Mechanics'!$B$8+1)*'Underlying Mechanics'!$B$5))*(1-$A89))-IF(W$1=0,'Underlying Mechanics'!$B$23*(1-$B89),0)-IF(W$1&gt;0,'Underlying Mechanics'!$B$22*'Underlying Mechanics'!$B$17,0)-IF(W$1&gt;0,'Underlying Mechanics'!$B$12*'Underlying Mechanics'!$B$18,0)</x:f>
        <x:v>49500</x:v>
      </x:c>
      <x:c r="X89" t="n">
        <x:f>IFERROR(IRR(C89:W89),-1)</x:f>
        <x:v>0.059846339608238264</x:v>
      </x:c>
    </x:row>
    <x:row r="90">
      <x:c r="A90" t="n">
        <x:v>0.4</x:v>
      </x:c>
      <x:c r="B90" t="n">
        <x:v>0.2</x:v>
      </x:c>
      <x:c r="C90" t="n">
        <x:f>((IF(C$1-'Underlying Mechanics'!$B$8&lt;0,0,'Underlying Mechanics'!$B$22*'Underlying Mechanics'!$B$15*INDEX('Underlying Mechanics'!$B$31:$B$51,C$1-'Underlying Mechanics'!$B$8+1)*'Underlying Mechanics'!$B$5))*(1-$A90))-IF(C$1=0,'Underlying Mechanics'!$B$23*(1-$B90),0)-IF(C$1&gt;0,'Underlying Mechanics'!$B$22*'Underlying Mechanics'!$B$17,0)-IF(C$1&gt;0,'Underlying Mechanics'!$B$12*'Underlying Mechanics'!$B$18,0)</x:f>
        <x:v>-120000</x:v>
      </x:c>
      <x:c r="D90" t="n">
        <x:f>((IF(D$1-'Underlying Mechanics'!$B$8&lt;0,0,'Underlying Mechanics'!$B$22*'Underlying Mechanics'!$B$15*INDEX('Underlying Mechanics'!$B$31:$B$51,D$1-'Underlying Mechanics'!$B$8+1)*'Underlying Mechanics'!$B$5))*(1-$A90))-IF(D$1=0,'Underlying Mechanics'!$B$23*(1-$B90),0)-IF(D$1&gt;0,'Underlying Mechanics'!$B$22*'Underlying Mechanics'!$B$17,0)-IF(D$1&gt;0,'Underlying Mechanics'!$B$12*'Underlying Mechanics'!$B$18,0)</x:f>
        <x:v>-22500</x:v>
      </x:c>
      <x:c r="E90" t="n">
        <x:f>((IF(E$1-'Underlying Mechanics'!$B$8&lt;0,0,'Underlying Mechanics'!$B$22*'Underlying Mechanics'!$B$15*INDEX('Underlying Mechanics'!$B$31:$B$51,E$1-'Underlying Mechanics'!$B$8+1)*'Underlying Mechanics'!$B$5))*(1-$A90))-IF(E$1=0,'Underlying Mechanics'!$B$23*(1-$B90),0)-IF(E$1&gt;0,'Underlying Mechanics'!$B$22*'Underlying Mechanics'!$B$17,0)-IF(E$1&gt;0,'Underlying Mechanics'!$B$12*'Underlying Mechanics'!$B$18,0)</x:f>
        <x:v>-22500</x:v>
      </x:c>
      <x:c r="F90" t="n">
        <x:f>((IF(F$1-'Underlying Mechanics'!$B$8&lt;0,0,'Underlying Mechanics'!$B$22*'Underlying Mechanics'!$B$15*INDEX('Underlying Mechanics'!$B$31:$B$51,F$1-'Underlying Mechanics'!$B$8+1)*'Underlying Mechanics'!$B$5))*(1-$A90))-IF(F$1=0,'Underlying Mechanics'!$B$23*(1-$B90),0)-IF(F$1&gt;0,'Underlying Mechanics'!$B$22*'Underlying Mechanics'!$B$17,0)-IF(F$1&gt;0,'Underlying Mechanics'!$B$12*'Underlying Mechanics'!$B$18,0)</x:f>
        <x:v>-21060</x:v>
      </x:c>
      <x:c r="G90" t="n">
        <x:f>((IF(G$1-'Underlying Mechanics'!$B$8&lt;0,0,'Underlying Mechanics'!$B$22*'Underlying Mechanics'!$B$15*INDEX('Underlying Mechanics'!$B$31:$B$51,G$1-'Underlying Mechanics'!$B$8+1)*'Underlying Mechanics'!$B$5))*(1-$A90))-IF(G$1=0,'Underlying Mechanics'!$B$23*(1-$B90),0)-IF(G$1&gt;0,'Underlying Mechanics'!$B$22*'Underlying Mechanics'!$B$17,0)-IF(G$1&gt;0,'Underlying Mechanics'!$B$12*'Underlying Mechanics'!$B$18,0)</x:f>
        <x:v>-18900</x:v>
      </x:c>
      <x:c r="H90" t="n">
        <x:f>((IF(H$1-'Underlying Mechanics'!$B$8&lt;0,0,'Underlying Mechanics'!$B$22*'Underlying Mechanics'!$B$15*INDEX('Underlying Mechanics'!$B$31:$B$51,H$1-'Underlying Mechanics'!$B$8+1)*'Underlying Mechanics'!$B$5))*(1-$A90))-IF(H$1=0,'Underlying Mechanics'!$B$23*(1-$B90),0)-IF(H$1&gt;0,'Underlying Mechanics'!$B$22*'Underlying Mechanics'!$B$17,0)-IF(H$1&gt;0,'Underlying Mechanics'!$B$12*'Underlying Mechanics'!$B$18,0)</x:f>
        <x:v>-15300</x:v>
      </x:c>
      <x:c r="I90" t="n">
        <x:f>((IF(I$1-'Underlying Mechanics'!$B$8&lt;0,0,'Underlying Mechanics'!$B$22*'Underlying Mechanics'!$B$15*INDEX('Underlying Mechanics'!$B$31:$B$51,I$1-'Underlying Mechanics'!$B$8+1)*'Underlying Mechanics'!$B$5))*(1-$A90))-IF(I$1=0,'Underlying Mechanics'!$B$23*(1-$B90),0)-IF(I$1&gt;0,'Underlying Mechanics'!$B$22*'Underlying Mechanics'!$B$17,0)-IF(I$1&gt;0,'Underlying Mechanics'!$B$12*'Underlying Mechanics'!$B$18,0)</x:f>
        <x:v>-9540</x:v>
      </x:c>
      <x:c r="J90" t="n">
        <x:f>((IF(J$1-'Underlying Mechanics'!$B$8&lt;0,0,'Underlying Mechanics'!$B$22*'Underlying Mechanics'!$B$15*INDEX('Underlying Mechanics'!$B$31:$B$51,J$1-'Underlying Mechanics'!$B$8+1)*'Underlying Mechanics'!$B$5))*(1-$A90))-IF(J$1=0,'Underlying Mechanics'!$B$23*(1-$B90),0)-IF(J$1&gt;0,'Underlying Mechanics'!$B$22*'Underlying Mechanics'!$B$17,0)-IF(J$1&gt;0,'Underlying Mechanics'!$B$12*'Underlying Mechanics'!$B$18,0)</x:f>
        <x:v>-2339.9999999999964</x:v>
      </x:c>
      <x:c r="K90" t="n">
        <x:f>((IF(K$1-'Underlying Mechanics'!$B$8&lt;0,0,'Underlying Mechanics'!$B$22*'Underlying Mechanics'!$B$15*INDEX('Underlying Mechanics'!$B$31:$B$51,K$1-'Underlying Mechanics'!$B$8+1)*'Underlying Mechanics'!$B$5))*(1-$A90))-IF(K$1=0,'Underlying Mechanics'!$B$23*(1-$B90),0)-IF(K$1&gt;0,'Underlying Mechanics'!$B$22*'Underlying Mechanics'!$B$17,0)-IF(K$1&gt;0,'Underlying Mechanics'!$B$12*'Underlying Mechanics'!$B$18,0)</x:f>
        <x:v>6300</x:v>
      </x:c>
      <x:c r="L90" t="n">
        <x:f>((IF(L$1-'Underlying Mechanics'!$B$8&lt;0,0,'Underlying Mechanics'!$B$22*'Underlying Mechanics'!$B$15*INDEX('Underlying Mechanics'!$B$31:$B$51,L$1-'Underlying Mechanics'!$B$8+1)*'Underlying Mechanics'!$B$5))*(1-$A90))-IF(L$1=0,'Underlying Mechanics'!$B$23*(1-$B90),0)-IF(L$1&gt;0,'Underlying Mechanics'!$B$22*'Underlying Mechanics'!$B$17,0)-IF(L$1&gt;0,'Underlying Mechanics'!$B$12*'Underlying Mechanics'!$B$18,0)</x:f>
        <x:v>16380</x:v>
      </x:c>
      <x:c r="M90" t="n">
        <x:f>((IF(M$1-'Underlying Mechanics'!$B$8&lt;0,0,'Underlying Mechanics'!$B$22*'Underlying Mechanics'!$B$15*INDEX('Underlying Mechanics'!$B$31:$B$51,M$1-'Underlying Mechanics'!$B$8+1)*'Underlying Mechanics'!$B$5))*(1-$A90))-IF(M$1=0,'Underlying Mechanics'!$B$23*(1-$B90),0)-IF(M$1&gt;0,'Underlying Mechanics'!$B$22*'Underlying Mechanics'!$B$17,0)-IF(M$1&gt;0,'Underlying Mechanics'!$B$12*'Underlying Mechanics'!$B$18,0)</x:f>
        <x:v>26460.000000000007</x:v>
      </x:c>
      <x:c r="N90" t="n">
        <x:f>((IF(N$1-'Underlying Mechanics'!$B$8&lt;0,0,'Underlying Mechanics'!$B$22*'Underlying Mechanics'!$B$15*INDEX('Underlying Mechanics'!$B$31:$B$51,N$1-'Underlying Mechanics'!$B$8+1)*'Underlying Mechanics'!$B$5))*(1-$A90))-IF(N$1=0,'Underlying Mechanics'!$B$23*(1-$B90),0)-IF(N$1&gt;0,'Underlying Mechanics'!$B$22*'Underlying Mechanics'!$B$17,0)-IF(N$1&gt;0,'Underlying Mechanics'!$B$12*'Underlying Mechanics'!$B$18,0)</x:f>
        <x:v>35100</x:v>
      </x:c>
      <x:c r="O90" t="n">
        <x:f>((IF(O$1-'Underlying Mechanics'!$B$8&lt;0,0,'Underlying Mechanics'!$B$22*'Underlying Mechanics'!$B$15*INDEX('Underlying Mechanics'!$B$31:$B$51,O$1-'Underlying Mechanics'!$B$8+1)*'Underlying Mechanics'!$B$5))*(1-$A90))-IF(O$1=0,'Underlying Mechanics'!$B$23*(1-$B90),0)-IF(O$1&gt;0,'Underlying Mechanics'!$B$22*'Underlying Mechanics'!$B$17,0)-IF(O$1&gt;0,'Underlying Mechanics'!$B$12*'Underlying Mechanics'!$B$18,0)</x:f>
        <x:v>42300</x:v>
      </x:c>
      <x:c r="P90" t="n">
        <x:f>((IF(P$1-'Underlying Mechanics'!$B$8&lt;0,0,'Underlying Mechanics'!$B$22*'Underlying Mechanics'!$B$15*INDEX('Underlying Mechanics'!$B$31:$B$51,P$1-'Underlying Mechanics'!$B$8+1)*'Underlying Mechanics'!$B$5))*(1-$A90))-IF(P$1=0,'Underlying Mechanics'!$B$23*(1-$B90),0)-IF(P$1&gt;0,'Underlying Mechanics'!$B$22*'Underlying Mechanics'!$B$17,0)-IF(P$1&gt;0,'Underlying Mechanics'!$B$12*'Underlying Mechanics'!$B$18,0)</x:f>
        <x:v>49500</x:v>
      </x:c>
      <x:c r="Q90" t="n">
        <x:f>((IF(Q$1-'Underlying Mechanics'!$B$8&lt;0,0,'Underlying Mechanics'!$B$22*'Underlying Mechanics'!$B$15*INDEX('Underlying Mechanics'!$B$31:$B$51,Q$1-'Underlying Mechanics'!$B$8+1)*'Underlying Mechanics'!$B$5))*(1-$A90))-IF(Q$1=0,'Underlying Mechanics'!$B$23*(1-$B90),0)-IF(Q$1&gt;0,'Underlying Mechanics'!$B$22*'Underlying Mechanics'!$B$17,0)-IF(Q$1&gt;0,'Underlying Mechanics'!$B$12*'Underlying Mechanics'!$B$18,0)</x:f>
        <x:v>49500</x:v>
      </x:c>
      <x:c r="R90" t="n">
        <x:f>((IF(R$1-'Underlying Mechanics'!$B$8&lt;0,0,'Underlying Mechanics'!$B$22*'Underlying Mechanics'!$B$15*INDEX('Underlying Mechanics'!$B$31:$B$51,R$1-'Underlying Mechanics'!$B$8+1)*'Underlying Mechanics'!$B$5))*(1-$A90))-IF(R$1=0,'Underlying Mechanics'!$B$23*(1-$B90),0)-IF(R$1&gt;0,'Underlying Mechanics'!$B$22*'Underlying Mechanics'!$B$17,0)-IF(R$1&gt;0,'Underlying Mechanics'!$B$12*'Underlying Mechanics'!$B$18,0)</x:f>
        <x:v>49500</x:v>
      </x:c>
      <x:c r="S90" t="n">
        <x:f>((IF(S$1-'Underlying Mechanics'!$B$8&lt;0,0,'Underlying Mechanics'!$B$22*'Underlying Mechanics'!$B$15*INDEX('Underlying Mechanics'!$B$31:$B$51,S$1-'Underlying Mechanics'!$B$8+1)*'Underlying Mechanics'!$B$5))*(1-$A90))-IF(S$1=0,'Underlying Mechanics'!$B$23*(1-$B90),0)-IF(S$1&gt;0,'Underlying Mechanics'!$B$22*'Underlying Mechanics'!$B$17,0)-IF(S$1&gt;0,'Underlying Mechanics'!$B$12*'Underlying Mechanics'!$B$18,0)</x:f>
        <x:v>49500</x:v>
      </x:c>
      <x:c r="T90" t="n">
        <x:f>((IF(T$1-'Underlying Mechanics'!$B$8&lt;0,0,'Underlying Mechanics'!$B$22*'Underlying Mechanics'!$B$15*INDEX('Underlying Mechanics'!$B$31:$B$51,T$1-'Underlying Mechanics'!$B$8+1)*'Underlying Mechanics'!$B$5))*(1-$A90))-IF(T$1=0,'Underlying Mechanics'!$B$23*(1-$B90),0)-IF(T$1&gt;0,'Underlying Mechanics'!$B$22*'Underlying Mechanics'!$B$17,0)-IF(T$1&gt;0,'Underlying Mechanics'!$B$12*'Underlying Mechanics'!$B$18,0)</x:f>
        <x:v>49500</x:v>
      </x:c>
      <x:c r="U90" t="n">
        <x:f>((IF(U$1-'Underlying Mechanics'!$B$8&lt;0,0,'Underlying Mechanics'!$B$22*'Underlying Mechanics'!$B$15*INDEX('Underlying Mechanics'!$B$31:$B$51,U$1-'Underlying Mechanics'!$B$8+1)*'Underlying Mechanics'!$B$5))*(1-$A90))-IF(U$1=0,'Underlying Mechanics'!$B$23*(1-$B90),0)-IF(U$1&gt;0,'Underlying Mechanics'!$B$22*'Underlying Mechanics'!$B$17,0)-IF(U$1&gt;0,'Underlying Mechanics'!$B$12*'Underlying Mechanics'!$B$18,0)</x:f>
        <x:v>49500</x:v>
      </x:c>
      <x:c r="V90" t="n">
        <x:f>((IF(V$1-'Underlying Mechanics'!$B$8&lt;0,0,'Underlying Mechanics'!$B$22*'Underlying Mechanics'!$B$15*INDEX('Underlying Mechanics'!$B$31:$B$51,V$1-'Underlying Mechanics'!$B$8+1)*'Underlying Mechanics'!$B$5))*(1-$A90))-IF(V$1=0,'Underlying Mechanics'!$B$23*(1-$B90),0)-IF(V$1&gt;0,'Underlying Mechanics'!$B$22*'Underlying Mechanics'!$B$17,0)-IF(V$1&gt;0,'Underlying Mechanics'!$B$12*'Underlying Mechanics'!$B$18,0)</x:f>
        <x:v>49500</x:v>
      </x:c>
      <x:c r="W90" t="n">
        <x:f>((IF(W$1-'Underlying Mechanics'!$B$8&lt;0,0,'Underlying Mechanics'!$B$22*'Underlying Mechanics'!$B$15*INDEX('Underlying Mechanics'!$B$31:$B$51,W$1-'Underlying Mechanics'!$B$8+1)*'Underlying Mechanics'!$B$5))*(1-$A90))-IF(W$1=0,'Underlying Mechanics'!$B$23*(1-$B90),0)-IF(W$1&gt;0,'Underlying Mechanics'!$B$22*'Underlying Mechanics'!$B$17,0)-IF(W$1&gt;0,'Underlying Mechanics'!$B$12*'Underlying Mechanics'!$B$18,0)</x:f>
        <x:v>49500</x:v>
      </x:c>
      <x:c r="X90" t="n">
        <x:f>IFERROR(IRR(C90:W90),-1)</x:f>
        <x:v>0.0626303415593949</x:v>
      </x:c>
    </x:row>
    <x:row r="91">
      <x:c r="A91" t="n">
        <x:v>0.4</x:v>
      </x:c>
      <x:c r="B91" t="n">
        <x:v>0.25</x:v>
      </x:c>
      <x:c r="C91" t="n">
        <x:f>((IF(C$1-'Underlying Mechanics'!$B$8&lt;0,0,'Underlying Mechanics'!$B$22*'Underlying Mechanics'!$B$15*INDEX('Underlying Mechanics'!$B$31:$B$51,C$1-'Underlying Mechanics'!$B$8+1)*'Underlying Mechanics'!$B$5))*(1-$A91))-IF(C$1=0,'Underlying Mechanics'!$B$23*(1-$B91),0)-IF(C$1&gt;0,'Underlying Mechanics'!$B$22*'Underlying Mechanics'!$B$17,0)-IF(C$1&gt;0,'Underlying Mechanics'!$B$12*'Underlying Mechanics'!$B$18,0)</x:f>
        <x:v>-112500</x:v>
      </x:c>
      <x:c r="D91" t="n">
        <x:f>((IF(D$1-'Underlying Mechanics'!$B$8&lt;0,0,'Underlying Mechanics'!$B$22*'Underlying Mechanics'!$B$15*INDEX('Underlying Mechanics'!$B$31:$B$51,D$1-'Underlying Mechanics'!$B$8+1)*'Underlying Mechanics'!$B$5))*(1-$A91))-IF(D$1=0,'Underlying Mechanics'!$B$23*(1-$B91),0)-IF(D$1&gt;0,'Underlying Mechanics'!$B$22*'Underlying Mechanics'!$B$17,0)-IF(D$1&gt;0,'Underlying Mechanics'!$B$12*'Underlying Mechanics'!$B$18,0)</x:f>
        <x:v>-22500</x:v>
      </x:c>
      <x:c r="E91" t="n">
        <x:f>((IF(E$1-'Underlying Mechanics'!$B$8&lt;0,0,'Underlying Mechanics'!$B$22*'Underlying Mechanics'!$B$15*INDEX('Underlying Mechanics'!$B$31:$B$51,E$1-'Underlying Mechanics'!$B$8+1)*'Underlying Mechanics'!$B$5))*(1-$A91))-IF(E$1=0,'Underlying Mechanics'!$B$23*(1-$B91),0)-IF(E$1&gt;0,'Underlying Mechanics'!$B$22*'Underlying Mechanics'!$B$17,0)-IF(E$1&gt;0,'Underlying Mechanics'!$B$12*'Underlying Mechanics'!$B$18,0)</x:f>
        <x:v>-22500</x:v>
      </x:c>
      <x:c r="F91" t="n">
        <x:f>((IF(F$1-'Underlying Mechanics'!$B$8&lt;0,0,'Underlying Mechanics'!$B$22*'Underlying Mechanics'!$B$15*INDEX('Underlying Mechanics'!$B$31:$B$51,F$1-'Underlying Mechanics'!$B$8+1)*'Underlying Mechanics'!$B$5))*(1-$A91))-IF(F$1=0,'Underlying Mechanics'!$B$23*(1-$B91),0)-IF(F$1&gt;0,'Underlying Mechanics'!$B$22*'Underlying Mechanics'!$B$17,0)-IF(F$1&gt;0,'Underlying Mechanics'!$B$12*'Underlying Mechanics'!$B$18,0)</x:f>
        <x:v>-21060</x:v>
      </x:c>
      <x:c r="G91" t="n">
        <x:f>((IF(G$1-'Underlying Mechanics'!$B$8&lt;0,0,'Underlying Mechanics'!$B$22*'Underlying Mechanics'!$B$15*INDEX('Underlying Mechanics'!$B$31:$B$51,G$1-'Underlying Mechanics'!$B$8+1)*'Underlying Mechanics'!$B$5))*(1-$A91))-IF(G$1=0,'Underlying Mechanics'!$B$23*(1-$B91),0)-IF(G$1&gt;0,'Underlying Mechanics'!$B$22*'Underlying Mechanics'!$B$17,0)-IF(G$1&gt;0,'Underlying Mechanics'!$B$12*'Underlying Mechanics'!$B$18,0)</x:f>
        <x:v>-18900</x:v>
      </x:c>
      <x:c r="H91" t="n">
        <x:f>((IF(H$1-'Underlying Mechanics'!$B$8&lt;0,0,'Underlying Mechanics'!$B$22*'Underlying Mechanics'!$B$15*INDEX('Underlying Mechanics'!$B$31:$B$51,H$1-'Underlying Mechanics'!$B$8+1)*'Underlying Mechanics'!$B$5))*(1-$A91))-IF(H$1=0,'Underlying Mechanics'!$B$23*(1-$B91),0)-IF(H$1&gt;0,'Underlying Mechanics'!$B$22*'Underlying Mechanics'!$B$17,0)-IF(H$1&gt;0,'Underlying Mechanics'!$B$12*'Underlying Mechanics'!$B$18,0)</x:f>
        <x:v>-15300</x:v>
      </x:c>
      <x:c r="I91" t="n">
        <x:f>((IF(I$1-'Underlying Mechanics'!$B$8&lt;0,0,'Underlying Mechanics'!$B$22*'Underlying Mechanics'!$B$15*INDEX('Underlying Mechanics'!$B$31:$B$51,I$1-'Underlying Mechanics'!$B$8+1)*'Underlying Mechanics'!$B$5))*(1-$A91))-IF(I$1=0,'Underlying Mechanics'!$B$23*(1-$B91),0)-IF(I$1&gt;0,'Underlying Mechanics'!$B$22*'Underlying Mechanics'!$B$17,0)-IF(I$1&gt;0,'Underlying Mechanics'!$B$12*'Underlying Mechanics'!$B$18,0)</x:f>
        <x:v>-9540</x:v>
      </x:c>
      <x:c r="J91" t="n">
        <x:f>((IF(J$1-'Underlying Mechanics'!$B$8&lt;0,0,'Underlying Mechanics'!$B$22*'Underlying Mechanics'!$B$15*INDEX('Underlying Mechanics'!$B$31:$B$51,J$1-'Underlying Mechanics'!$B$8+1)*'Underlying Mechanics'!$B$5))*(1-$A91))-IF(J$1=0,'Underlying Mechanics'!$B$23*(1-$B91),0)-IF(J$1&gt;0,'Underlying Mechanics'!$B$22*'Underlying Mechanics'!$B$17,0)-IF(J$1&gt;0,'Underlying Mechanics'!$B$12*'Underlying Mechanics'!$B$18,0)</x:f>
        <x:v>-2339.9999999999964</x:v>
      </x:c>
      <x:c r="K91" t="n">
        <x:f>((IF(K$1-'Underlying Mechanics'!$B$8&lt;0,0,'Underlying Mechanics'!$B$22*'Underlying Mechanics'!$B$15*INDEX('Underlying Mechanics'!$B$31:$B$51,K$1-'Underlying Mechanics'!$B$8+1)*'Underlying Mechanics'!$B$5))*(1-$A91))-IF(K$1=0,'Underlying Mechanics'!$B$23*(1-$B91),0)-IF(K$1&gt;0,'Underlying Mechanics'!$B$22*'Underlying Mechanics'!$B$17,0)-IF(K$1&gt;0,'Underlying Mechanics'!$B$12*'Underlying Mechanics'!$B$18,0)</x:f>
        <x:v>6300</x:v>
      </x:c>
      <x:c r="L91" t="n">
        <x:f>((IF(L$1-'Underlying Mechanics'!$B$8&lt;0,0,'Underlying Mechanics'!$B$22*'Underlying Mechanics'!$B$15*INDEX('Underlying Mechanics'!$B$31:$B$51,L$1-'Underlying Mechanics'!$B$8+1)*'Underlying Mechanics'!$B$5))*(1-$A91))-IF(L$1=0,'Underlying Mechanics'!$B$23*(1-$B91),0)-IF(L$1&gt;0,'Underlying Mechanics'!$B$22*'Underlying Mechanics'!$B$17,0)-IF(L$1&gt;0,'Underlying Mechanics'!$B$12*'Underlying Mechanics'!$B$18,0)</x:f>
        <x:v>16380</x:v>
      </x:c>
      <x:c r="M91" t="n">
        <x:f>((IF(M$1-'Underlying Mechanics'!$B$8&lt;0,0,'Underlying Mechanics'!$B$22*'Underlying Mechanics'!$B$15*INDEX('Underlying Mechanics'!$B$31:$B$51,M$1-'Underlying Mechanics'!$B$8+1)*'Underlying Mechanics'!$B$5))*(1-$A91))-IF(M$1=0,'Underlying Mechanics'!$B$23*(1-$B91),0)-IF(M$1&gt;0,'Underlying Mechanics'!$B$22*'Underlying Mechanics'!$B$17,0)-IF(M$1&gt;0,'Underlying Mechanics'!$B$12*'Underlying Mechanics'!$B$18,0)</x:f>
        <x:v>26460.000000000007</x:v>
      </x:c>
      <x:c r="N91" t="n">
        <x:f>((IF(N$1-'Underlying Mechanics'!$B$8&lt;0,0,'Underlying Mechanics'!$B$22*'Underlying Mechanics'!$B$15*INDEX('Underlying Mechanics'!$B$31:$B$51,N$1-'Underlying Mechanics'!$B$8+1)*'Underlying Mechanics'!$B$5))*(1-$A91))-IF(N$1=0,'Underlying Mechanics'!$B$23*(1-$B91),0)-IF(N$1&gt;0,'Underlying Mechanics'!$B$22*'Underlying Mechanics'!$B$17,0)-IF(N$1&gt;0,'Underlying Mechanics'!$B$12*'Underlying Mechanics'!$B$18,0)</x:f>
        <x:v>35100</x:v>
      </x:c>
      <x:c r="O91" t="n">
        <x:f>((IF(O$1-'Underlying Mechanics'!$B$8&lt;0,0,'Underlying Mechanics'!$B$22*'Underlying Mechanics'!$B$15*INDEX('Underlying Mechanics'!$B$31:$B$51,O$1-'Underlying Mechanics'!$B$8+1)*'Underlying Mechanics'!$B$5))*(1-$A91))-IF(O$1=0,'Underlying Mechanics'!$B$23*(1-$B91),0)-IF(O$1&gt;0,'Underlying Mechanics'!$B$22*'Underlying Mechanics'!$B$17,0)-IF(O$1&gt;0,'Underlying Mechanics'!$B$12*'Underlying Mechanics'!$B$18,0)</x:f>
        <x:v>42300</x:v>
      </x:c>
      <x:c r="P91" t="n">
        <x:f>((IF(P$1-'Underlying Mechanics'!$B$8&lt;0,0,'Underlying Mechanics'!$B$22*'Underlying Mechanics'!$B$15*INDEX('Underlying Mechanics'!$B$31:$B$51,P$1-'Underlying Mechanics'!$B$8+1)*'Underlying Mechanics'!$B$5))*(1-$A91))-IF(P$1=0,'Underlying Mechanics'!$B$23*(1-$B91),0)-IF(P$1&gt;0,'Underlying Mechanics'!$B$22*'Underlying Mechanics'!$B$17,0)-IF(P$1&gt;0,'Underlying Mechanics'!$B$12*'Underlying Mechanics'!$B$18,0)</x:f>
        <x:v>49500</x:v>
      </x:c>
      <x:c r="Q91" t="n">
        <x:f>((IF(Q$1-'Underlying Mechanics'!$B$8&lt;0,0,'Underlying Mechanics'!$B$22*'Underlying Mechanics'!$B$15*INDEX('Underlying Mechanics'!$B$31:$B$51,Q$1-'Underlying Mechanics'!$B$8+1)*'Underlying Mechanics'!$B$5))*(1-$A91))-IF(Q$1=0,'Underlying Mechanics'!$B$23*(1-$B91),0)-IF(Q$1&gt;0,'Underlying Mechanics'!$B$22*'Underlying Mechanics'!$B$17,0)-IF(Q$1&gt;0,'Underlying Mechanics'!$B$12*'Underlying Mechanics'!$B$18,0)</x:f>
        <x:v>49500</x:v>
      </x:c>
      <x:c r="R91" t="n">
        <x:f>((IF(R$1-'Underlying Mechanics'!$B$8&lt;0,0,'Underlying Mechanics'!$B$22*'Underlying Mechanics'!$B$15*INDEX('Underlying Mechanics'!$B$31:$B$51,R$1-'Underlying Mechanics'!$B$8+1)*'Underlying Mechanics'!$B$5))*(1-$A91))-IF(R$1=0,'Underlying Mechanics'!$B$23*(1-$B91),0)-IF(R$1&gt;0,'Underlying Mechanics'!$B$22*'Underlying Mechanics'!$B$17,0)-IF(R$1&gt;0,'Underlying Mechanics'!$B$12*'Underlying Mechanics'!$B$18,0)</x:f>
        <x:v>49500</x:v>
      </x:c>
      <x:c r="S91" t="n">
        <x:f>((IF(S$1-'Underlying Mechanics'!$B$8&lt;0,0,'Underlying Mechanics'!$B$22*'Underlying Mechanics'!$B$15*INDEX('Underlying Mechanics'!$B$31:$B$51,S$1-'Underlying Mechanics'!$B$8+1)*'Underlying Mechanics'!$B$5))*(1-$A91))-IF(S$1=0,'Underlying Mechanics'!$B$23*(1-$B91),0)-IF(S$1&gt;0,'Underlying Mechanics'!$B$22*'Underlying Mechanics'!$B$17,0)-IF(S$1&gt;0,'Underlying Mechanics'!$B$12*'Underlying Mechanics'!$B$18,0)</x:f>
        <x:v>49500</x:v>
      </x:c>
      <x:c r="T91" t="n">
        <x:f>((IF(T$1-'Underlying Mechanics'!$B$8&lt;0,0,'Underlying Mechanics'!$B$22*'Underlying Mechanics'!$B$15*INDEX('Underlying Mechanics'!$B$31:$B$51,T$1-'Underlying Mechanics'!$B$8+1)*'Underlying Mechanics'!$B$5))*(1-$A91))-IF(T$1=0,'Underlying Mechanics'!$B$23*(1-$B91),0)-IF(T$1&gt;0,'Underlying Mechanics'!$B$22*'Underlying Mechanics'!$B$17,0)-IF(T$1&gt;0,'Underlying Mechanics'!$B$12*'Underlying Mechanics'!$B$18,0)</x:f>
        <x:v>49500</x:v>
      </x:c>
      <x:c r="U91" t="n">
        <x:f>((IF(U$1-'Underlying Mechanics'!$B$8&lt;0,0,'Underlying Mechanics'!$B$22*'Underlying Mechanics'!$B$15*INDEX('Underlying Mechanics'!$B$31:$B$51,U$1-'Underlying Mechanics'!$B$8+1)*'Underlying Mechanics'!$B$5))*(1-$A91))-IF(U$1=0,'Underlying Mechanics'!$B$23*(1-$B91),0)-IF(U$1&gt;0,'Underlying Mechanics'!$B$22*'Underlying Mechanics'!$B$17,0)-IF(U$1&gt;0,'Underlying Mechanics'!$B$12*'Underlying Mechanics'!$B$18,0)</x:f>
        <x:v>49500</x:v>
      </x:c>
      <x:c r="V91" t="n">
        <x:f>((IF(V$1-'Underlying Mechanics'!$B$8&lt;0,0,'Underlying Mechanics'!$B$22*'Underlying Mechanics'!$B$15*INDEX('Underlying Mechanics'!$B$31:$B$51,V$1-'Underlying Mechanics'!$B$8+1)*'Underlying Mechanics'!$B$5))*(1-$A91))-IF(V$1=0,'Underlying Mechanics'!$B$23*(1-$B91),0)-IF(V$1&gt;0,'Underlying Mechanics'!$B$22*'Underlying Mechanics'!$B$17,0)-IF(V$1&gt;0,'Underlying Mechanics'!$B$12*'Underlying Mechanics'!$B$18,0)</x:f>
        <x:v>49500</x:v>
      </x:c>
      <x:c r="W91" t="n">
        <x:f>((IF(W$1-'Underlying Mechanics'!$B$8&lt;0,0,'Underlying Mechanics'!$B$22*'Underlying Mechanics'!$B$15*INDEX('Underlying Mechanics'!$B$31:$B$51,W$1-'Underlying Mechanics'!$B$8+1)*'Underlying Mechanics'!$B$5))*(1-$A91))-IF(W$1=0,'Underlying Mechanics'!$B$23*(1-$B91),0)-IF(W$1&gt;0,'Underlying Mechanics'!$B$22*'Underlying Mechanics'!$B$17,0)-IF(W$1&gt;0,'Underlying Mechanics'!$B$12*'Underlying Mechanics'!$B$18,0)</x:f>
        <x:v>49500</x:v>
      </x:c>
      <x:c r="X91" t="n">
        <x:f>IFERROR(IRR(C91:W91),-1)</x:f>
        <x:v>0.06554671783272918</x:v>
      </x:c>
    </x:row>
    <x:row r="92">
      <x:c r="A92" t="n">
        <x:v>0.4</x:v>
      </x:c>
      <x:c r="B92" t="n">
        <x:v>0.3</x:v>
      </x:c>
      <x:c r="C92" t="n">
        <x:f>((IF(C$1-'Underlying Mechanics'!$B$8&lt;0,0,'Underlying Mechanics'!$B$22*'Underlying Mechanics'!$B$15*INDEX('Underlying Mechanics'!$B$31:$B$51,C$1-'Underlying Mechanics'!$B$8+1)*'Underlying Mechanics'!$B$5))*(1-$A92))-IF(C$1=0,'Underlying Mechanics'!$B$23*(1-$B92),0)-IF(C$1&gt;0,'Underlying Mechanics'!$B$22*'Underlying Mechanics'!$B$17,0)-IF(C$1&gt;0,'Underlying Mechanics'!$B$12*'Underlying Mechanics'!$B$18,0)</x:f>
        <x:v>-105000</x:v>
      </x:c>
      <x:c r="D92" t="n">
        <x:f>((IF(D$1-'Underlying Mechanics'!$B$8&lt;0,0,'Underlying Mechanics'!$B$22*'Underlying Mechanics'!$B$15*INDEX('Underlying Mechanics'!$B$31:$B$51,D$1-'Underlying Mechanics'!$B$8+1)*'Underlying Mechanics'!$B$5))*(1-$A92))-IF(D$1=0,'Underlying Mechanics'!$B$23*(1-$B92),0)-IF(D$1&gt;0,'Underlying Mechanics'!$B$22*'Underlying Mechanics'!$B$17,0)-IF(D$1&gt;0,'Underlying Mechanics'!$B$12*'Underlying Mechanics'!$B$18,0)</x:f>
        <x:v>-22500</x:v>
      </x:c>
      <x:c r="E92" t="n">
        <x:f>((IF(E$1-'Underlying Mechanics'!$B$8&lt;0,0,'Underlying Mechanics'!$B$22*'Underlying Mechanics'!$B$15*INDEX('Underlying Mechanics'!$B$31:$B$51,E$1-'Underlying Mechanics'!$B$8+1)*'Underlying Mechanics'!$B$5))*(1-$A92))-IF(E$1=0,'Underlying Mechanics'!$B$23*(1-$B92),0)-IF(E$1&gt;0,'Underlying Mechanics'!$B$22*'Underlying Mechanics'!$B$17,0)-IF(E$1&gt;0,'Underlying Mechanics'!$B$12*'Underlying Mechanics'!$B$18,0)</x:f>
        <x:v>-22500</x:v>
      </x:c>
      <x:c r="F92" t="n">
        <x:f>((IF(F$1-'Underlying Mechanics'!$B$8&lt;0,0,'Underlying Mechanics'!$B$22*'Underlying Mechanics'!$B$15*INDEX('Underlying Mechanics'!$B$31:$B$51,F$1-'Underlying Mechanics'!$B$8+1)*'Underlying Mechanics'!$B$5))*(1-$A92))-IF(F$1=0,'Underlying Mechanics'!$B$23*(1-$B92),0)-IF(F$1&gt;0,'Underlying Mechanics'!$B$22*'Underlying Mechanics'!$B$17,0)-IF(F$1&gt;0,'Underlying Mechanics'!$B$12*'Underlying Mechanics'!$B$18,0)</x:f>
        <x:v>-21060</x:v>
      </x:c>
      <x:c r="G92" t="n">
        <x:f>((IF(G$1-'Underlying Mechanics'!$B$8&lt;0,0,'Underlying Mechanics'!$B$22*'Underlying Mechanics'!$B$15*INDEX('Underlying Mechanics'!$B$31:$B$51,G$1-'Underlying Mechanics'!$B$8+1)*'Underlying Mechanics'!$B$5))*(1-$A92))-IF(G$1=0,'Underlying Mechanics'!$B$23*(1-$B92),0)-IF(G$1&gt;0,'Underlying Mechanics'!$B$22*'Underlying Mechanics'!$B$17,0)-IF(G$1&gt;0,'Underlying Mechanics'!$B$12*'Underlying Mechanics'!$B$18,0)</x:f>
        <x:v>-18900</x:v>
      </x:c>
      <x:c r="H92" t="n">
        <x:f>((IF(H$1-'Underlying Mechanics'!$B$8&lt;0,0,'Underlying Mechanics'!$B$22*'Underlying Mechanics'!$B$15*INDEX('Underlying Mechanics'!$B$31:$B$51,H$1-'Underlying Mechanics'!$B$8+1)*'Underlying Mechanics'!$B$5))*(1-$A92))-IF(H$1=0,'Underlying Mechanics'!$B$23*(1-$B92),0)-IF(H$1&gt;0,'Underlying Mechanics'!$B$22*'Underlying Mechanics'!$B$17,0)-IF(H$1&gt;0,'Underlying Mechanics'!$B$12*'Underlying Mechanics'!$B$18,0)</x:f>
        <x:v>-15300</x:v>
      </x:c>
      <x:c r="I92" t="n">
        <x:f>((IF(I$1-'Underlying Mechanics'!$B$8&lt;0,0,'Underlying Mechanics'!$B$22*'Underlying Mechanics'!$B$15*INDEX('Underlying Mechanics'!$B$31:$B$51,I$1-'Underlying Mechanics'!$B$8+1)*'Underlying Mechanics'!$B$5))*(1-$A92))-IF(I$1=0,'Underlying Mechanics'!$B$23*(1-$B92),0)-IF(I$1&gt;0,'Underlying Mechanics'!$B$22*'Underlying Mechanics'!$B$17,0)-IF(I$1&gt;0,'Underlying Mechanics'!$B$12*'Underlying Mechanics'!$B$18,0)</x:f>
        <x:v>-9540</x:v>
      </x:c>
      <x:c r="J92" t="n">
        <x:f>((IF(J$1-'Underlying Mechanics'!$B$8&lt;0,0,'Underlying Mechanics'!$B$22*'Underlying Mechanics'!$B$15*INDEX('Underlying Mechanics'!$B$31:$B$51,J$1-'Underlying Mechanics'!$B$8+1)*'Underlying Mechanics'!$B$5))*(1-$A92))-IF(J$1=0,'Underlying Mechanics'!$B$23*(1-$B92),0)-IF(J$1&gt;0,'Underlying Mechanics'!$B$22*'Underlying Mechanics'!$B$17,0)-IF(J$1&gt;0,'Underlying Mechanics'!$B$12*'Underlying Mechanics'!$B$18,0)</x:f>
        <x:v>-2339.9999999999964</x:v>
      </x:c>
      <x:c r="K92" t="n">
        <x:f>((IF(K$1-'Underlying Mechanics'!$B$8&lt;0,0,'Underlying Mechanics'!$B$22*'Underlying Mechanics'!$B$15*INDEX('Underlying Mechanics'!$B$31:$B$51,K$1-'Underlying Mechanics'!$B$8+1)*'Underlying Mechanics'!$B$5))*(1-$A92))-IF(K$1=0,'Underlying Mechanics'!$B$23*(1-$B92),0)-IF(K$1&gt;0,'Underlying Mechanics'!$B$22*'Underlying Mechanics'!$B$17,0)-IF(K$1&gt;0,'Underlying Mechanics'!$B$12*'Underlying Mechanics'!$B$18,0)</x:f>
        <x:v>6300</x:v>
      </x:c>
      <x:c r="L92" t="n">
        <x:f>((IF(L$1-'Underlying Mechanics'!$B$8&lt;0,0,'Underlying Mechanics'!$B$22*'Underlying Mechanics'!$B$15*INDEX('Underlying Mechanics'!$B$31:$B$51,L$1-'Underlying Mechanics'!$B$8+1)*'Underlying Mechanics'!$B$5))*(1-$A92))-IF(L$1=0,'Underlying Mechanics'!$B$23*(1-$B92),0)-IF(L$1&gt;0,'Underlying Mechanics'!$B$22*'Underlying Mechanics'!$B$17,0)-IF(L$1&gt;0,'Underlying Mechanics'!$B$12*'Underlying Mechanics'!$B$18,0)</x:f>
        <x:v>16380</x:v>
      </x:c>
      <x:c r="M92" t="n">
        <x:f>((IF(M$1-'Underlying Mechanics'!$B$8&lt;0,0,'Underlying Mechanics'!$B$22*'Underlying Mechanics'!$B$15*INDEX('Underlying Mechanics'!$B$31:$B$51,M$1-'Underlying Mechanics'!$B$8+1)*'Underlying Mechanics'!$B$5))*(1-$A92))-IF(M$1=0,'Underlying Mechanics'!$B$23*(1-$B92),0)-IF(M$1&gt;0,'Underlying Mechanics'!$B$22*'Underlying Mechanics'!$B$17,0)-IF(M$1&gt;0,'Underlying Mechanics'!$B$12*'Underlying Mechanics'!$B$18,0)</x:f>
        <x:v>26460.000000000007</x:v>
      </x:c>
      <x:c r="N92" t="n">
        <x:f>((IF(N$1-'Underlying Mechanics'!$B$8&lt;0,0,'Underlying Mechanics'!$B$22*'Underlying Mechanics'!$B$15*INDEX('Underlying Mechanics'!$B$31:$B$51,N$1-'Underlying Mechanics'!$B$8+1)*'Underlying Mechanics'!$B$5))*(1-$A92))-IF(N$1=0,'Underlying Mechanics'!$B$23*(1-$B92),0)-IF(N$1&gt;0,'Underlying Mechanics'!$B$22*'Underlying Mechanics'!$B$17,0)-IF(N$1&gt;0,'Underlying Mechanics'!$B$12*'Underlying Mechanics'!$B$18,0)</x:f>
        <x:v>35100</x:v>
      </x:c>
      <x:c r="O92" t="n">
        <x:f>((IF(O$1-'Underlying Mechanics'!$B$8&lt;0,0,'Underlying Mechanics'!$B$22*'Underlying Mechanics'!$B$15*INDEX('Underlying Mechanics'!$B$31:$B$51,O$1-'Underlying Mechanics'!$B$8+1)*'Underlying Mechanics'!$B$5))*(1-$A92))-IF(O$1=0,'Underlying Mechanics'!$B$23*(1-$B92),0)-IF(O$1&gt;0,'Underlying Mechanics'!$B$22*'Underlying Mechanics'!$B$17,0)-IF(O$1&gt;0,'Underlying Mechanics'!$B$12*'Underlying Mechanics'!$B$18,0)</x:f>
        <x:v>42300</x:v>
      </x:c>
      <x:c r="P92" t="n">
        <x:f>((IF(P$1-'Underlying Mechanics'!$B$8&lt;0,0,'Underlying Mechanics'!$B$22*'Underlying Mechanics'!$B$15*INDEX('Underlying Mechanics'!$B$31:$B$51,P$1-'Underlying Mechanics'!$B$8+1)*'Underlying Mechanics'!$B$5))*(1-$A92))-IF(P$1=0,'Underlying Mechanics'!$B$23*(1-$B92),0)-IF(P$1&gt;0,'Underlying Mechanics'!$B$22*'Underlying Mechanics'!$B$17,0)-IF(P$1&gt;0,'Underlying Mechanics'!$B$12*'Underlying Mechanics'!$B$18,0)</x:f>
        <x:v>49500</x:v>
      </x:c>
      <x:c r="Q92" t="n">
        <x:f>((IF(Q$1-'Underlying Mechanics'!$B$8&lt;0,0,'Underlying Mechanics'!$B$22*'Underlying Mechanics'!$B$15*INDEX('Underlying Mechanics'!$B$31:$B$51,Q$1-'Underlying Mechanics'!$B$8+1)*'Underlying Mechanics'!$B$5))*(1-$A92))-IF(Q$1=0,'Underlying Mechanics'!$B$23*(1-$B92),0)-IF(Q$1&gt;0,'Underlying Mechanics'!$B$22*'Underlying Mechanics'!$B$17,0)-IF(Q$1&gt;0,'Underlying Mechanics'!$B$12*'Underlying Mechanics'!$B$18,0)</x:f>
        <x:v>49500</x:v>
      </x:c>
      <x:c r="R92" t="n">
        <x:f>((IF(R$1-'Underlying Mechanics'!$B$8&lt;0,0,'Underlying Mechanics'!$B$22*'Underlying Mechanics'!$B$15*INDEX('Underlying Mechanics'!$B$31:$B$51,R$1-'Underlying Mechanics'!$B$8+1)*'Underlying Mechanics'!$B$5))*(1-$A92))-IF(R$1=0,'Underlying Mechanics'!$B$23*(1-$B92),0)-IF(R$1&gt;0,'Underlying Mechanics'!$B$22*'Underlying Mechanics'!$B$17,0)-IF(R$1&gt;0,'Underlying Mechanics'!$B$12*'Underlying Mechanics'!$B$18,0)</x:f>
        <x:v>49500</x:v>
      </x:c>
      <x:c r="S92" t="n">
        <x:f>((IF(S$1-'Underlying Mechanics'!$B$8&lt;0,0,'Underlying Mechanics'!$B$22*'Underlying Mechanics'!$B$15*INDEX('Underlying Mechanics'!$B$31:$B$51,S$1-'Underlying Mechanics'!$B$8+1)*'Underlying Mechanics'!$B$5))*(1-$A92))-IF(S$1=0,'Underlying Mechanics'!$B$23*(1-$B92),0)-IF(S$1&gt;0,'Underlying Mechanics'!$B$22*'Underlying Mechanics'!$B$17,0)-IF(S$1&gt;0,'Underlying Mechanics'!$B$12*'Underlying Mechanics'!$B$18,0)</x:f>
        <x:v>49500</x:v>
      </x:c>
      <x:c r="T92" t="n">
        <x:f>((IF(T$1-'Underlying Mechanics'!$B$8&lt;0,0,'Underlying Mechanics'!$B$22*'Underlying Mechanics'!$B$15*INDEX('Underlying Mechanics'!$B$31:$B$51,T$1-'Underlying Mechanics'!$B$8+1)*'Underlying Mechanics'!$B$5))*(1-$A92))-IF(T$1=0,'Underlying Mechanics'!$B$23*(1-$B92),0)-IF(T$1&gt;0,'Underlying Mechanics'!$B$22*'Underlying Mechanics'!$B$17,0)-IF(T$1&gt;0,'Underlying Mechanics'!$B$12*'Underlying Mechanics'!$B$18,0)</x:f>
        <x:v>49500</x:v>
      </x:c>
      <x:c r="U92" t="n">
        <x:f>((IF(U$1-'Underlying Mechanics'!$B$8&lt;0,0,'Underlying Mechanics'!$B$22*'Underlying Mechanics'!$B$15*INDEX('Underlying Mechanics'!$B$31:$B$51,U$1-'Underlying Mechanics'!$B$8+1)*'Underlying Mechanics'!$B$5))*(1-$A92))-IF(U$1=0,'Underlying Mechanics'!$B$23*(1-$B92),0)-IF(U$1&gt;0,'Underlying Mechanics'!$B$22*'Underlying Mechanics'!$B$17,0)-IF(U$1&gt;0,'Underlying Mechanics'!$B$12*'Underlying Mechanics'!$B$18,0)</x:f>
        <x:v>49500</x:v>
      </x:c>
      <x:c r="V92" t="n">
        <x:f>((IF(V$1-'Underlying Mechanics'!$B$8&lt;0,0,'Underlying Mechanics'!$B$22*'Underlying Mechanics'!$B$15*INDEX('Underlying Mechanics'!$B$31:$B$51,V$1-'Underlying Mechanics'!$B$8+1)*'Underlying Mechanics'!$B$5))*(1-$A92))-IF(V$1=0,'Underlying Mechanics'!$B$23*(1-$B92),0)-IF(V$1&gt;0,'Underlying Mechanics'!$B$22*'Underlying Mechanics'!$B$17,0)-IF(V$1&gt;0,'Underlying Mechanics'!$B$12*'Underlying Mechanics'!$B$18,0)</x:f>
        <x:v>49500</x:v>
      </x:c>
      <x:c r="W92" t="n">
        <x:f>((IF(W$1-'Underlying Mechanics'!$B$8&lt;0,0,'Underlying Mechanics'!$B$22*'Underlying Mechanics'!$B$15*INDEX('Underlying Mechanics'!$B$31:$B$51,W$1-'Underlying Mechanics'!$B$8+1)*'Underlying Mechanics'!$B$5))*(1-$A92))-IF(W$1=0,'Underlying Mechanics'!$B$23*(1-$B92),0)-IF(W$1&gt;0,'Underlying Mechanics'!$B$22*'Underlying Mechanics'!$B$17,0)-IF(W$1&gt;0,'Underlying Mechanics'!$B$12*'Underlying Mechanics'!$B$18,0)</x:f>
        <x:v>49500</x:v>
      </x:c>
      <x:c r="X92" t="n">
        <x:f>IFERROR(IRR(C92:W92),-1)</x:f>
        <x:v>0.06860835043007547</x:v>
      </x:c>
    </x:row>
    <x:row r="93">
      <x:c r="A93" t="n">
        <x:v>0.4</x:v>
      </x:c>
      <x:c r="B93" t="n">
        <x:v>0.35</x:v>
      </x:c>
      <x:c r="C93" t="n">
        <x:f>((IF(C$1-'Underlying Mechanics'!$B$8&lt;0,0,'Underlying Mechanics'!$B$22*'Underlying Mechanics'!$B$15*INDEX('Underlying Mechanics'!$B$31:$B$51,C$1-'Underlying Mechanics'!$B$8+1)*'Underlying Mechanics'!$B$5))*(1-$A93))-IF(C$1=0,'Underlying Mechanics'!$B$23*(1-$B93),0)-IF(C$1&gt;0,'Underlying Mechanics'!$B$22*'Underlying Mechanics'!$B$17,0)-IF(C$1&gt;0,'Underlying Mechanics'!$B$12*'Underlying Mechanics'!$B$18,0)</x:f>
        <x:v>-97500</x:v>
      </x:c>
      <x:c r="D93" t="n">
        <x:f>((IF(D$1-'Underlying Mechanics'!$B$8&lt;0,0,'Underlying Mechanics'!$B$22*'Underlying Mechanics'!$B$15*INDEX('Underlying Mechanics'!$B$31:$B$51,D$1-'Underlying Mechanics'!$B$8+1)*'Underlying Mechanics'!$B$5))*(1-$A93))-IF(D$1=0,'Underlying Mechanics'!$B$23*(1-$B93),0)-IF(D$1&gt;0,'Underlying Mechanics'!$B$22*'Underlying Mechanics'!$B$17,0)-IF(D$1&gt;0,'Underlying Mechanics'!$B$12*'Underlying Mechanics'!$B$18,0)</x:f>
        <x:v>-22500</x:v>
      </x:c>
      <x:c r="E93" t="n">
        <x:f>((IF(E$1-'Underlying Mechanics'!$B$8&lt;0,0,'Underlying Mechanics'!$B$22*'Underlying Mechanics'!$B$15*INDEX('Underlying Mechanics'!$B$31:$B$51,E$1-'Underlying Mechanics'!$B$8+1)*'Underlying Mechanics'!$B$5))*(1-$A93))-IF(E$1=0,'Underlying Mechanics'!$B$23*(1-$B93),0)-IF(E$1&gt;0,'Underlying Mechanics'!$B$22*'Underlying Mechanics'!$B$17,0)-IF(E$1&gt;0,'Underlying Mechanics'!$B$12*'Underlying Mechanics'!$B$18,0)</x:f>
        <x:v>-22500</x:v>
      </x:c>
      <x:c r="F93" t="n">
        <x:f>((IF(F$1-'Underlying Mechanics'!$B$8&lt;0,0,'Underlying Mechanics'!$B$22*'Underlying Mechanics'!$B$15*INDEX('Underlying Mechanics'!$B$31:$B$51,F$1-'Underlying Mechanics'!$B$8+1)*'Underlying Mechanics'!$B$5))*(1-$A93))-IF(F$1=0,'Underlying Mechanics'!$B$23*(1-$B93),0)-IF(F$1&gt;0,'Underlying Mechanics'!$B$22*'Underlying Mechanics'!$B$17,0)-IF(F$1&gt;0,'Underlying Mechanics'!$B$12*'Underlying Mechanics'!$B$18,0)</x:f>
        <x:v>-21060</x:v>
      </x:c>
      <x:c r="G93" t="n">
        <x:f>((IF(G$1-'Underlying Mechanics'!$B$8&lt;0,0,'Underlying Mechanics'!$B$22*'Underlying Mechanics'!$B$15*INDEX('Underlying Mechanics'!$B$31:$B$51,G$1-'Underlying Mechanics'!$B$8+1)*'Underlying Mechanics'!$B$5))*(1-$A93))-IF(G$1=0,'Underlying Mechanics'!$B$23*(1-$B93),0)-IF(G$1&gt;0,'Underlying Mechanics'!$B$22*'Underlying Mechanics'!$B$17,0)-IF(G$1&gt;0,'Underlying Mechanics'!$B$12*'Underlying Mechanics'!$B$18,0)</x:f>
        <x:v>-18900</x:v>
      </x:c>
      <x:c r="H93" t="n">
        <x:f>((IF(H$1-'Underlying Mechanics'!$B$8&lt;0,0,'Underlying Mechanics'!$B$22*'Underlying Mechanics'!$B$15*INDEX('Underlying Mechanics'!$B$31:$B$51,H$1-'Underlying Mechanics'!$B$8+1)*'Underlying Mechanics'!$B$5))*(1-$A93))-IF(H$1=0,'Underlying Mechanics'!$B$23*(1-$B93),0)-IF(H$1&gt;0,'Underlying Mechanics'!$B$22*'Underlying Mechanics'!$B$17,0)-IF(H$1&gt;0,'Underlying Mechanics'!$B$12*'Underlying Mechanics'!$B$18,0)</x:f>
        <x:v>-15300</x:v>
      </x:c>
      <x:c r="I93" t="n">
        <x:f>((IF(I$1-'Underlying Mechanics'!$B$8&lt;0,0,'Underlying Mechanics'!$B$22*'Underlying Mechanics'!$B$15*INDEX('Underlying Mechanics'!$B$31:$B$51,I$1-'Underlying Mechanics'!$B$8+1)*'Underlying Mechanics'!$B$5))*(1-$A93))-IF(I$1=0,'Underlying Mechanics'!$B$23*(1-$B93),0)-IF(I$1&gt;0,'Underlying Mechanics'!$B$22*'Underlying Mechanics'!$B$17,0)-IF(I$1&gt;0,'Underlying Mechanics'!$B$12*'Underlying Mechanics'!$B$18,0)</x:f>
        <x:v>-9540</x:v>
      </x:c>
      <x:c r="J93" t="n">
        <x:f>((IF(J$1-'Underlying Mechanics'!$B$8&lt;0,0,'Underlying Mechanics'!$B$22*'Underlying Mechanics'!$B$15*INDEX('Underlying Mechanics'!$B$31:$B$51,J$1-'Underlying Mechanics'!$B$8+1)*'Underlying Mechanics'!$B$5))*(1-$A93))-IF(J$1=0,'Underlying Mechanics'!$B$23*(1-$B93),0)-IF(J$1&gt;0,'Underlying Mechanics'!$B$22*'Underlying Mechanics'!$B$17,0)-IF(J$1&gt;0,'Underlying Mechanics'!$B$12*'Underlying Mechanics'!$B$18,0)</x:f>
        <x:v>-2339.9999999999964</x:v>
      </x:c>
      <x:c r="K93" t="n">
        <x:f>((IF(K$1-'Underlying Mechanics'!$B$8&lt;0,0,'Underlying Mechanics'!$B$22*'Underlying Mechanics'!$B$15*INDEX('Underlying Mechanics'!$B$31:$B$51,K$1-'Underlying Mechanics'!$B$8+1)*'Underlying Mechanics'!$B$5))*(1-$A93))-IF(K$1=0,'Underlying Mechanics'!$B$23*(1-$B93),0)-IF(K$1&gt;0,'Underlying Mechanics'!$B$22*'Underlying Mechanics'!$B$17,0)-IF(K$1&gt;0,'Underlying Mechanics'!$B$12*'Underlying Mechanics'!$B$18,0)</x:f>
        <x:v>6300</x:v>
      </x:c>
      <x:c r="L93" t="n">
        <x:f>((IF(L$1-'Underlying Mechanics'!$B$8&lt;0,0,'Underlying Mechanics'!$B$22*'Underlying Mechanics'!$B$15*INDEX('Underlying Mechanics'!$B$31:$B$51,L$1-'Underlying Mechanics'!$B$8+1)*'Underlying Mechanics'!$B$5))*(1-$A93))-IF(L$1=0,'Underlying Mechanics'!$B$23*(1-$B93),0)-IF(L$1&gt;0,'Underlying Mechanics'!$B$22*'Underlying Mechanics'!$B$17,0)-IF(L$1&gt;0,'Underlying Mechanics'!$B$12*'Underlying Mechanics'!$B$18,0)</x:f>
        <x:v>16380</x:v>
      </x:c>
      <x:c r="M93" t="n">
        <x:f>((IF(M$1-'Underlying Mechanics'!$B$8&lt;0,0,'Underlying Mechanics'!$B$22*'Underlying Mechanics'!$B$15*INDEX('Underlying Mechanics'!$B$31:$B$51,M$1-'Underlying Mechanics'!$B$8+1)*'Underlying Mechanics'!$B$5))*(1-$A93))-IF(M$1=0,'Underlying Mechanics'!$B$23*(1-$B93),0)-IF(M$1&gt;0,'Underlying Mechanics'!$B$22*'Underlying Mechanics'!$B$17,0)-IF(M$1&gt;0,'Underlying Mechanics'!$B$12*'Underlying Mechanics'!$B$18,0)</x:f>
        <x:v>26460.000000000007</x:v>
      </x:c>
      <x:c r="N93" t="n">
        <x:f>((IF(N$1-'Underlying Mechanics'!$B$8&lt;0,0,'Underlying Mechanics'!$B$22*'Underlying Mechanics'!$B$15*INDEX('Underlying Mechanics'!$B$31:$B$51,N$1-'Underlying Mechanics'!$B$8+1)*'Underlying Mechanics'!$B$5))*(1-$A93))-IF(N$1=0,'Underlying Mechanics'!$B$23*(1-$B93),0)-IF(N$1&gt;0,'Underlying Mechanics'!$B$22*'Underlying Mechanics'!$B$17,0)-IF(N$1&gt;0,'Underlying Mechanics'!$B$12*'Underlying Mechanics'!$B$18,0)</x:f>
        <x:v>35100</x:v>
      </x:c>
      <x:c r="O93" t="n">
        <x:f>((IF(O$1-'Underlying Mechanics'!$B$8&lt;0,0,'Underlying Mechanics'!$B$22*'Underlying Mechanics'!$B$15*INDEX('Underlying Mechanics'!$B$31:$B$51,O$1-'Underlying Mechanics'!$B$8+1)*'Underlying Mechanics'!$B$5))*(1-$A93))-IF(O$1=0,'Underlying Mechanics'!$B$23*(1-$B93),0)-IF(O$1&gt;0,'Underlying Mechanics'!$B$22*'Underlying Mechanics'!$B$17,0)-IF(O$1&gt;0,'Underlying Mechanics'!$B$12*'Underlying Mechanics'!$B$18,0)</x:f>
        <x:v>42300</x:v>
      </x:c>
      <x:c r="P93" t="n">
        <x:f>((IF(P$1-'Underlying Mechanics'!$B$8&lt;0,0,'Underlying Mechanics'!$B$22*'Underlying Mechanics'!$B$15*INDEX('Underlying Mechanics'!$B$31:$B$51,P$1-'Underlying Mechanics'!$B$8+1)*'Underlying Mechanics'!$B$5))*(1-$A93))-IF(P$1=0,'Underlying Mechanics'!$B$23*(1-$B93),0)-IF(P$1&gt;0,'Underlying Mechanics'!$B$22*'Underlying Mechanics'!$B$17,0)-IF(P$1&gt;0,'Underlying Mechanics'!$B$12*'Underlying Mechanics'!$B$18,0)</x:f>
        <x:v>49500</x:v>
      </x:c>
      <x:c r="Q93" t="n">
        <x:f>((IF(Q$1-'Underlying Mechanics'!$B$8&lt;0,0,'Underlying Mechanics'!$B$22*'Underlying Mechanics'!$B$15*INDEX('Underlying Mechanics'!$B$31:$B$51,Q$1-'Underlying Mechanics'!$B$8+1)*'Underlying Mechanics'!$B$5))*(1-$A93))-IF(Q$1=0,'Underlying Mechanics'!$B$23*(1-$B93),0)-IF(Q$1&gt;0,'Underlying Mechanics'!$B$22*'Underlying Mechanics'!$B$17,0)-IF(Q$1&gt;0,'Underlying Mechanics'!$B$12*'Underlying Mechanics'!$B$18,0)</x:f>
        <x:v>49500</x:v>
      </x:c>
      <x:c r="R93" t="n">
        <x:f>((IF(R$1-'Underlying Mechanics'!$B$8&lt;0,0,'Underlying Mechanics'!$B$22*'Underlying Mechanics'!$B$15*INDEX('Underlying Mechanics'!$B$31:$B$51,R$1-'Underlying Mechanics'!$B$8+1)*'Underlying Mechanics'!$B$5))*(1-$A93))-IF(R$1=0,'Underlying Mechanics'!$B$23*(1-$B93),0)-IF(R$1&gt;0,'Underlying Mechanics'!$B$22*'Underlying Mechanics'!$B$17,0)-IF(R$1&gt;0,'Underlying Mechanics'!$B$12*'Underlying Mechanics'!$B$18,0)</x:f>
        <x:v>49500</x:v>
      </x:c>
      <x:c r="S93" t="n">
        <x:f>((IF(S$1-'Underlying Mechanics'!$B$8&lt;0,0,'Underlying Mechanics'!$B$22*'Underlying Mechanics'!$B$15*INDEX('Underlying Mechanics'!$B$31:$B$51,S$1-'Underlying Mechanics'!$B$8+1)*'Underlying Mechanics'!$B$5))*(1-$A93))-IF(S$1=0,'Underlying Mechanics'!$B$23*(1-$B93),0)-IF(S$1&gt;0,'Underlying Mechanics'!$B$22*'Underlying Mechanics'!$B$17,0)-IF(S$1&gt;0,'Underlying Mechanics'!$B$12*'Underlying Mechanics'!$B$18,0)</x:f>
        <x:v>49500</x:v>
      </x:c>
      <x:c r="T93" t="n">
        <x:f>((IF(T$1-'Underlying Mechanics'!$B$8&lt;0,0,'Underlying Mechanics'!$B$22*'Underlying Mechanics'!$B$15*INDEX('Underlying Mechanics'!$B$31:$B$51,T$1-'Underlying Mechanics'!$B$8+1)*'Underlying Mechanics'!$B$5))*(1-$A93))-IF(T$1=0,'Underlying Mechanics'!$B$23*(1-$B93),0)-IF(T$1&gt;0,'Underlying Mechanics'!$B$22*'Underlying Mechanics'!$B$17,0)-IF(T$1&gt;0,'Underlying Mechanics'!$B$12*'Underlying Mechanics'!$B$18,0)</x:f>
        <x:v>49500</x:v>
      </x:c>
      <x:c r="U93" t="n">
        <x:f>((IF(U$1-'Underlying Mechanics'!$B$8&lt;0,0,'Underlying Mechanics'!$B$22*'Underlying Mechanics'!$B$15*INDEX('Underlying Mechanics'!$B$31:$B$51,U$1-'Underlying Mechanics'!$B$8+1)*'Underlying Mechanics'!$B$5))*(1-$A93))-IF(U$1=0,'Underlying Mechanics'!$B$23*(1-$B93),0)-IF(U$1&gt;0,'Underlying Mechanics'!$B$22*'Underlying Mechanics'!$B$17,0)-IF(U$1&gt;0,'Underlying Mechanics'!$B$12*'Underlying Mechanics'!$B$18,0)</x:f>
        <x:v>49500</x:v>
      </x:c>
      <x:c r="V93" t="n">
        <x:f>((IF(V$1-'Underlying Mechanics'!$B$8&lt;0,0,'Underlying Mechanics'!$B$22*'Underlying Mechanics'!$B$15*INDEX('Underlying Mechanics'!$B$31:$B$51,V$1-'Underlying Mechanics'!$B$8+1)*'Underlying Mechanics'!$B$5))*(1-$A93))-IF(V$1=0,'Underlying Mechanics'!$B$23*(1-$B93),0)-IF(V$1&gt;0,'Underlying Mechanics'!$B$22*'Underlying Mechanics'!$B$17,0)-IF(V$1&gt;0,'Underlying Mechanics'!$B$12*'Underlying Mechanics'!$B$18,0)</x:f>
        <x:v>49500</x:v>
      </x:c>
      <x:c r="W93" t="n">
        <x:f>((IF(W$1-'Underlying Mechanics'!$B$8&lt;0,0,'Underlying Mechanics'!$B$22*'Underlying Mechanics'!$B$15*INDEX('Underlying Mechanics'!$B$31:$B$51,W$1-'Underlying Mechanics'!$B$8+1)*'Underlying Mechanics'!$B$5))*(1-$A93))-IF(W$1=0,'Underlying Mechanics'!$B$23*(1-$B93),0)-IF(W$1&gt;0,'Underlying Mechanics'!$B$22*'Underlying Mechanics'!$B$17,0)-IF(W$1&gt;0,'Underlying Mechanics'!$B$12*'Underlying Mechanics'!$B$18,0)</x:f>
        <x:v>49500</x:v>
      </x:c>
      <x:c r="X93" t="n">
        <x:f>IFERROR(IRR(C93:W93),-1)</x:f>
        <x:v>0.07183009262876897</x:v>
      </x:c>
    </x:row>
    <x:row r="94">
      <x:c r="A94" t="n">
        <x:v>0.4</x:v>
      </x:c>
      <x:c r="B94" t="n">
        <x:v>0.4</x:v>
      </x:c>
      <x:c r="C94" t="n">
        <x:f>((IF(C$1-'Underlying Mechanics'!$B$8&lt;0,0,'Underlying Mechanics'!$B$22*'Underlying Mechanics'!$B$15*INDEX('Underlying Mechanics'!$B$31:$B$51,C$1-'Underlying Mechanics'!$B$8+1)*'Underlying Mechanics'!$B$5))*(1-$A94))-IF(C$1=0,'Underlying Mechanics'!$B$23*(1-$B94),0)-IF(C$1&gt;0,'Underlying Mechanics'!$B$22*'Underlying Mechanics'!$B$17,0)-IF(C$1&gt;0,'Underlying Mechanics'!$B$12*'Underlying Mechanics'!$B$18,0)</x:f>
        <x:v>-90000</x:v>
      </x:c>
      <x:c r="D94" t="n">
        <x:f>((IF(D$1-'Underlying Mechanics'!$B$8&lt;0,0,'Underlying Mechanics'!$B$22*'Underlying Mechanics'!$B$15*INDEX('Underlying Mechanics'!$B$31:$B$51,D$1-'Underlying Mechanics'!$B$8+1)*'Underlying Mechanics'!$B$5))*(1-$A94))-IF(D$1=0,'Underlying Mechanics'!$B$23*(1-$B94),0)-IF(D$1&gt;0,'Underlying Mechanics'!$B$22*'Underlying Mechanics'!$B$17,0)-IF(D$1&gt;0,'Underlying Mechanics'!$B$12*'Underlying Mechanics'!$B$18,0)</x:f>
        <x:v>-22500</x:v>
      </x:c>
      <x:c r="E94" t="n">
        <x:f>((IF(E$1-'Underlying Mechanics'!$B$8&lt;0,0,'Underlying Mechanics'!$B$22*'Underlying Mechanics'!$B$15*INDEX('Underlying Mechanics'!$B$31:$B$51,E$1-'Underlying Mechanics'!$B$8+1)*'Underlying Mechanics'!$B$5))*(1-$A94))-IF(E$1=0,'Underlying Mechanics'!$B$23*(1-$B94),0)-IF(E$1&gt;0,'Underlying Mechanics'!$B$22*'Underlying Mechanics'!$B$17,0)-IF(E$1&gt;0,'Underlying Mechanics'!$B$12*'Underlying Mechanics'!$B$18,0)</x:f>
        <x:v>-22500</x:v>
      </x:c>
      <x:c r="F94" t="n">
        <x:f>((IF(F$1-'Underlying Mechanics'!$B$8&lt;0,0,'Underlying Mechanics'!$B$22*'Underlying Mechanics'!$B$15*INDEX('Underlying Mechanics'!$B$31:$B$51,F$1-'Underlying Mechanics'!$B$8+1)*'Underlying Mechanics'!$B$5))*(1-$A94))-IF(F$1=0,'Underlying Mechanics'!$B$23*(1-$B94),0)-IF(F$1&gt;0,'Underlying Mechanics'!$B$22*'Underlying Mechanics'!$B$17,0)-IF(F$1&gt;0,'Underlying Mechanics'!$B$12*'Underlying Mechanics'!$B$18,0)</x:f>
        <x:v>-21060</x:v>
      </x:c>
      <x:c r="G94" t="n">
        <x:f>((IF(G$1-'Underlying Mechanics'!$B$8&lt;0,0,'Underlying Mechanics'!$B$22*'Underlying Mechanics'!$B$15*INDEX('Underlying Mechanics'!$B$31:$B$51,G$1-'Underlying Mechanics'!$B$8+1)*'Underlying Mechanics'!$B$5))*(1-$A94))-IF(G$1=0,'Underlying Mechanics'!$B$23*(1-$B94),0)-IF(G$1&gt;0,'Underlying Mechanics'!$B$22*'Underlying Mechanics'!$B$17,0)-IF(G$1&gt;0,'Underlying Mechanics'!$B$12*'Underlying Mechanics'!$B$18,0)</x:f>
        <x:v>-18900</x:v>
      </x:c>
      <x:c r="H94" t="n">
        <x:f>((IF(H$1-'Underlying Mechanics'!$B$8&lt;0,0,'Underlying Mechanics'!$B$22*'Underlying Mechanics'!$B$15*INDEX('Underlying Mechanics'!$B$31:$B$51,H$1-'Underlying Mechanics'!$B$8+1)*'Underlying Mechanics'!$B$5))*(1-$A94))-IF(H$1=0,'Underlying Mechanics'!$B$23*(1-$B94),0)-IF(H$1&gt;0,'Underlying Mechanics'!$B$22*'Underlying Mechanics'!$B$17,0)-IF(H$1&gt;0,'Underlying Mechanics'!$B$12*'Underlying Mechanics'!$B$18,0)</x:f>
        <x:v>-15300</x:v>
      </x:c>
      <x:c r="I94" t="n">
        <x:f>((IF(I$1-'Underlying Mechanics'!$B$8&lt;0,0,'Underlying Mechanics'!$B$22*'Underlying Mechanics'!$B$15*INDEX('Underlying Mechanics'!$B$31:$B$51,I$1-'Underlying Mechanics'!$B$8+1)*'Underlying Mechanics'!$B$5))*(1-$A94))-IF(I$1=0,'Underlying Mechanics'!$B$23*(1-$B94),0)-IF(I$1&gt;0,'Underlying Mechanics'!$B$22*'Underlying Mechanics'!$B$17,0)-IF(I$1&gt;0,'Underlying Mechanics'!$B$12*'Underlying Mechanics'!$B$18,0)</x:f>
        <x:v>-9540</x:v>
      </x:c>
      <x:c r="J94" t="n">
        <x:f>((IF(J$1-'Underlying Mechanics'!$B$8&lt;0,0,'Underlying Mechanics'!$B$22*'Underlying Mechanics'!$B$15*INDEX('Underlying Mechanics'!$B$31:$B$51,J$1-'Underlying Mechanics'!$B$8+1)*'Underlying Mechanics'!$B$5))*(1-$A94))-IF(J$1=0,'Underlying Mechanics'!$B$23*(1-$B94),0)-IF(J$1&gt;0,'Underlying Mechanics'!$B$22*'Underlying Mechanics'!$B$17,0)-IF(J$1&gt;0,'Underlying Mechanics'!$B$12*'Underlying Mechanics'!$B$18,0)</x:f>
        <x:v>-2339.9999999999964</x:v>
      </x:c>
      <x:c r="K94" t="n">
        <x:f>((IF(K$1-'Underlying Mechanics'!$B$8&lt;0,0,'Underlying Mechanics'!$B$22*'Underlying Mechanics'!$B$15*INDEX('Underlying Mechanics'!$B$31:$B$51,K$1-'Underlying Mechanics'!$B$8+1)*'Underlying Mechanics'!$B$5))*(1-$A94))-IF(K$1=0,'Underlying Mechanics'!$B$23*(1-$B94),0)-IF(K$1&gt;0,'Underlying Mechanics'!$B$22*'Underlying Mechanics'!$B$17,0)-IF(K$1&gt;0,'Underlying Mechanics'!$B$12*'Underlying Mechanics'!$B$18,0)</x:f>
        <x:v>6300</x:v>
      </x:c>
      <x:c r="L94" t="n">
        <x:f>((IF(L$1-'Underlying Mechanics'!$B$8&lt;0,0,'Underlying Mechanics'!$B$22*'Underlying Mechanics'!$B$15*INDEX('Underlying Mechanics'!$B$31:$B$51,L$1-'Underlying Mechanics'!$B$8+1)*'Underlying Mechanics'!$B$5))*(1-$A94))-IF(L$1=0,'Underlying Mechanics'!$B$23*(1-$B94),0)-IF(L$1&gt;0,'Underlying Mechanics'!$B$22*'Underlying Mechanics'!$B$17,0)-IF(L$1&gt;0,'Underlying Mechanics'!$B$12*'Underlying Mechanics'!$B$18,0)</x:f>
        <x:v>16380</x:v>
      </x:c>
      <x:c r="M94" t="n">
        <x:f>((IF(M$1-'Underlying Mechanics'!$B$8&lt;0,0,'Underlying Mechanics'!$B$22*'Underlying Mechanics'!$B$15*INDEX('Underlying Mechanics'!$B$31:$B$51,M$1-'Underlying Mechanics'!$B$8+1)*'Underlying Mechanics'!$B$5))*(1-$A94))-IF(M$1=0,'Underlying Mechanics'!$B$23*(1-$B94),0)-IF(M$1&gt;0,'Underlying Mechanics'!$B$22*'Underlying Mechanics'!$B$17,0)-IF(M$1&gt;0,'Underlying Mechanics'!$B$12*'Underlying Mechanics'!$B$18,0)</x:f>
        <x:v>26460.000000000007</x:v>
      </x:c>
      <x:c r="N94" t="n">
        <x:f>((IF(N$1-'Underlying Mechanics'!$B$8&lt;0,0,'Underlying Mechanics'!$B$22*'Underlying Mechanics'!$B$15*INDEX('Underlying Mechanics'!$B$31:$B$51,N$1-'Underlying Mechanics'!$B$8+1)*'Underlying Mechanics'!$B$5))*(1-$A94))-IF(N$1=0,'Underlying Mechanics'!$B$23*(1-$B94),0)-IF(N$1&gt;0,'Underlying Mechanics'!$B$22*'Underlying Mechanics'!$B$17,0)-IF(N$1&gt;0,'Underlying Mechanics'!$B$12*'Underlying Mechanics'!$B$18,0)</x:f>
        <x:v>35100</x:v>
      </x:c>
      <x:c r="O94" t="n">
        <x:f>((IF(O$1-'Underlying Mechanics'!$B$8&lt;0,0,'Underlying Mechanics'!$B$22*'Underlying Mechanics'!$B$15*INDEX('Underlying Mechanics'!$B$31:$B$51,O$1-'Underlying Mechanics'!$B$8+1)*'Underlying Mechanics'!$B$5))*(1-$A94))-IF(O$1=0,'Underlying Mechanics'!$B$23*(1-$B94),0)-IF(O$1&gt;0,'Underlying Mechanics'!$B$22*'Underlying Mechanics'!$B$17,0)-IF(O$1&gt;0,'Underlying Mechanics'!$B$12*'Underlying Mechanics'!$B$18,0)</x:f>
        <x:v>42300</x:v>
      </x:c>
      <x:c r="P94" t="n">
        <x:f>((IF(P$1-'Underlying Mechanics'!$B$8&lt;0,0,'Underlying Mechanics'!$B$22*'Underlying Mechanics'!$B$15*INDEX('Underlying Mechanics'!$B$31:$B$51,P$1-'Underlying Mechanics'!$B$8+1)*'Underlying Mechanics'!$B$5))*(1-$A94))-IF(P$1=0,'Underlying Mechanics'!$B$23*(1-$B94),0)-IF(P$1&gt;0,'Underlying Mechanics'!$B$22*'Underlying Mechanics'!$B$17,0)-IF(P$1&gt;0,'Underlying Mechanics'!$B$12*'Underlying Mechanics'!$B$18,0)</x:f>
        <x:v>49500</x:v>
      </x:c>
      <x:c r="Q94" t="n">
        <x:f>((IF(Q$1-'Underlying Mechanics'!$B$8&lt;0,0,'Underlying Mechanics'!$B$22*'Underlying Mechanics'!$B$15*INDEX('Underlying Mechanics'!$B$31:$B$51,Q$1-'Underlying Mechanics'!$B$8+1)*'Underlying Mechanics'!$B$5))*(1-$A94))-IF(Q$1=0,'Underlying Mechanics'!$B$23*(1-$B94),0)-IF(Q$1&gt;0,'Underlying Mechanics'!$B$22*'Underlying Mechanics'!$B$17,0)-IF(Q$1&gt;0,'Underlying Mechanics'!$B$12*'Underlying Mechanics'!$B$18,0)</x:f>
        <x:v>49500</x:v>
      </x:c>
      <x:c r="R94" t="n">
        <x:f>((IF(R$1-'Underlying Mechanics'!$B$8&lt;0,0,'Underlying Mechanics'!$B$22*'Underlying Mechanics'!$B$15*INDEX('Underlying Mechanics'!$B$31:$B$51,R$1-'Underlying Mechanics'!$B$8+1)*'Underlying Mechanics'!$B$5))*(1-$A94))-IF(R$1=0,'Underlying Mechanics'!$B$23*(1-$B94),0)-IF(R$1&gt;0,'Underlying Mechanics'!$B$22*'Underlying Mechanics'!$B$17,0)-IF(R$1&gt;0,'Underlying Mechanics'!$B$12*'Underlying Mechanics'!$B$18,0)</x:f>
        <x:v>49500</x:v>
      </x:c>
      <x:c r="S94" t="n">
        <x:f>((IF(S$1-'Underlying Mechanics'!$B$8&lt;0,0,'Underlying Mechanics'!$B$22*'Underlying Mechanics'!$B$15*INDEX('Underlying Mechanics'!$B$31:$B$51,S$1-'Underlying Mechanics'!$B$8+1)*'Underlying Mechanics'!$B$5))*(1-$A94))-IF(S$1=0,'Underlying Mechanics'!$B$23*(1-$B94),0)-IF(S$1&gt;0,'Underlying Mechanics'!$B$22*'Underlying Mechanics'!$B$17,0)-IF(S$1&gt;0,'Underlying Mechanics'!$B$12*'Underlying Mechanics'!$B$18,0)</x:f>
        <x:v>49500</x:v>
      </x:c>
      <x:c r="T94" t="n">
        <x:f>((IF(T$1-'Underlying Mechanics'!$B$8&lt;0,0,'Underlying Mechanics'!$B$22*'Underlying Mechanics'!$B$15*INDEX('Underlying Mechanics'!$B$31:$B$51,T$1-'Underlying Mechanics'!$B$8+1)*'Underlying Mechanics'!$B$5))*(1-$A94))-IF(T$1=0,'Underlying Mechanics'!$B$23*(1-$B94),0)-IF(T$1&gt;0,'Underlying Mechanics'!$B$22*'Underlying Mechanics'!$B$17,0)-IF(T$1&gt;0,'Underlying Mechanics'!$B$12*'Underlying Mechanics'!$B$18,0)</x:f>
        <x:v>49500</x:v>
      </x:c>
      <x:c r="U94" t="n">
        <x:f>((IF(U$1-'Underlying Mechanics'!$B$8&lt;0,0,'Underlying Mechanics'!$B$22*'Underlying Mechanics'!$B$15*INDEX('Underlying Mechanics'!$B$31:$B$51,U$1-'Underlying Mechanics'!$B$8+1)*'Underlying Mechanics'!$B$5))*(1-$A94))-IF(U$1=0,'Underlying Mechanics'!$B$23*(1-$B94),0)-IF(U$1&gt;0,'Underlying Mechanics'!$B$22*'Underlying Mechanics'!$B$17,0)-IF(U$1&gt;0,'Underlying Mechanics'!$B$12*'Underlying Mechanics'!$B$18,0)</x:f>
        <x:v>49500</x:v>
      </x:c>
      <x:c r="V94" t="n">
        <x:f>((IF(V$1-'Underlying Mechanics'!$B$8&lt;0,0,'Underlying Mechanics'!$B$22*'Underlying Mechanics'!$B$15*INDEX('Underlying Mechanics'!$B$31:$B$51,V$1-'Underlying Mechanics'!$B$8+1)*'Underlying Mechanics'!$B$5))*(1-$A94))-IF(V$1=0,'Underlying Mechanics'!$B$23*(1-$B94),0)-IF(V$1&gt;0,'Underlying Mechanics'!$B$22*'Underlying Mechanics'!$B$17,0)-IF(V$1&gt;0,'Underlying Mechanics'!$B$12*'Underlying Mechanics'!$B$18,0)</x:f>
        <x:v>49500</x:v>
      </x:c>
      <x:c r="W94" t="n">
        <x:f>((IF(W$1-'Underlying Mechanics'!$B$8&lt;0,0,'Underlying Mechanics'!$B$22*'Underlying Mechanics'!$B$15*INDEX('Underlying Mechanics'!$B$31:$B$51,W$1-'Underlying Mechanics'!$B$8+1)*'Underlying Mechanics'!$B$5))*(1-$A94))-IF(W$1=0,'Underlying Mechanics'!$B$23*(1-$B94),0)-IF(W$1&gt;0,'Underlying Mechanics'!$B$22*'Underlying Mechanics'!$B$17,0)-IF(W$1&gt;0,'Underlying Mechanics'!$B$12*'Underlying Mechanics'!$B$18,0)</x:f>
        <x:v>49500</x:v>
      </x:c>
      <x:c r="X94" t="n">
        <x:f>IFERROR(IRR(C94:W94),-1)</x:f>
        <x:v>0.07522919469325345</x:v>
      </x:c>
    </x:row>
    <x:row r="95">
      <x:c r="A95" t="n">
        <x:v>0.4</x:v>
      </x:c>
      <x:c r="B95" t="n">
        <x:v>0.45</x:v>
      </x:c>
      <x:c r="C95" t="n">
        <x:f>((IF(C$1-'Underlying Mechanics'!$B$8&lt;0,0,'Underlying Mechanics'!$B$22*'Underlying Mechanics'!$B$15*INDEX('Underlying Mechanics'!$B$31:$B$51,C$1-'Underlying Mechanics'!$B$8+1)*'Underlying Mechanics'!$B$5))*(1-$A95))-IF(C$1=0,'Underlying Mechanics'!$B$23*(1-$B95),0)-IF(C$1&gt;0,'Underlying Mechanics'!$B$22*'Underlying Mechanics'!$B$17,0)-IF(C$1&gt;0,'Underlying Mechanics'!$B$12*'Underlying Mechanics'!$B$18,0)</x:f>
        <x:v>-82500</x:v>
      </x:c>
      <x:c r="D95" t="n">
        <x:f>((IF(D$1-'Underlying Mechanics'!$B$8&lt;0,0,'Underlying Mechanics'!$B$22*'Underlying Mechanics'!$B$15*INDEX('Underlying Mechanics'!$B$31:$B$51,D$1-'Underlying Mechanics'!$B$8+1)*'Underlying Mechanics'!$B$5))*(1-$A95))-IF(D$1=0,'Underlying Mechanics'!$B$23*(1-$B95),0)-IF(D$1&gt;0,'Underlying Mechanics'!$B$22*'Underlying Mechanics'!$B$17,0)-IF(D$1&gt;0,'Underlying Mechanics'!$B$12*'Underlying Mechanics'!$B$18,0)</x:f>
        <x:v>-22500</x:v>
      </x:c>
      <x:c r="E95" t="n">
        <x:f>((IF(E$1-'Underlying Mechanics'!$B$8&lt;0,0,'Underlying Mechanics'!$B$22*'Underlying Mechanics'!$B$15*INDEX('Underlying Mechanics'!$B$31:$B$51,E$1-'Underlying Mechanics'!$B$8+1)*'Underlying Mechanics'!$B$5))*(1-$A95))-IF(E$1=0,'Underlying Mechanics'!$B$23*(1-$B95),0)-IF(E$1&gt;0,'Underlying Mechanics'!$B$22*'Underlying Mechanics'!$B$17,0)-IF(E$1&gt;0,'Underlying Mechanics'!$B$12*'Underlying Mechanics'!$B$18,0)</x:f>
        <x:v>-22500</x:v>
      </x:c>
      <x:c r="F95" t="n">
        <x:f>((IF(F$1-'Underlying Mechanics'!$B$8&lt;0,0,'Underlying Mechanics'!$B$22*'Underlying Mechanics'!$B$15*INDEX('Underlying Mechanics'!$B$31:$B$51,F$1-'Underlying Mechanics'!$B$8+1)*'Underlying Mechanics'!$B$5))*(1-$A95))-IF(F$1=0,'Underlying Mechanics'!$B$23*(1-$B95),0)-IF(F$1&gt;0,'Underlying Mechanics'!$B$22*'Underlying Mechanics'!$B$17,0)-IF(F$1&gt;0,'Underlying Mechanics'!$B$12*'Underlying Mechanics'!$B$18,0)</x:f>
        <x:v>-21060</x:v>
      </x:c>
      <x:c r="G95" t="n">
        <x:f>((IF(G$1-'Underlying Mechanics'!$B$8&lt;0,0,'Underlying Mechanics'!$B$22*'Underlying Mechanics'!$B$15*INDEX('Underlying Mechanics'!$B$31:$B$51,G$1-'Underlying Mechanics'!$B$8+1)*'Underlying Mechanics'!$B$5))*(1-$A95))-IF(G$1=0,'Underlying Mechanics'!$B$23*(1-$B95),0)-IF(G$1&gt;0,'Underlying Mechanics'!$B$22*'Underlying Mechanics'!$B$17,0)-IF(G$1&gt;0,'Underlying Mechanics'!$B$12*'Underlying Mechanics'!$B$18,0)</x:f>
        <x:v>-18900</x:v>
      </x:c>
      <x:c r="H95" t="n">
        <x:f>((IF(H$1-'Underlying Mechanics'!$B$8&lt;0,0,'Underlying Mechanics'!$B$22*'Underlying Mechanics'!$B$15*INDEX('Underlying Mechanics'!$B$31:$B$51,H$1-'Underlying Mechanics'!$B$8+1)*'Underlying Mechanics'!$B$5))*(1-$A95))-IF(H$1=0,'Underlying Mechanics'!$B$23*(1-$B95),0)-IF(H$1&gt;0,'Underlying Mechanics'!$B$22*'Underlying Mechanics'!$B$17,0)-IF(H$1&gt;0,'Underlying Mechanics'!$B$12*'Underlying Mechanics'!$B$18,0)</x:f>
        <x:v>-15300</x:v>
      </x:c>
      <x:c r="I95" t="n">
        <x:f>((IF(I$1-'Underlying Mechanics'!$B$8&lt;0,0,'Underlying Mechanics'!$B$22*'Underlying Mechanics'!$B$15*INDEX('Underlying Mechanics'!$B$31:$B$51,I$1-'Underlying Mechanics'!$B$8+1)*'Underlying Mechanics'!$B$5))*(1-$A95))-IF(I$1=0,'Underlying Mechanics'!$B$23*(1-$B95),0)-IF(I$1&gt;0,'Underlying Mechanics'!$B$22*'Underlying Mechanics'!$B$17,0)-IF(I$1&gt;0,'Underlying Mechanics'!$B$12*'Underlying Mechanics'!$B$18,0)</x:f>
        <x:v>-9540</x:v>
      </x:c>
      <x:c r="J95" t="n">
        <x:f>((IF(J$1-'Underlying Mechanics'!$B$8&lt;0,0,'Underlying Mechanics'!$B$22*'Underlying Mechanics'!$B$15*INDEX('Underlying Mechanics'!$B$31:$B$51,J$1-'Underlying Mechanics'!$B$8+1)*'Underlying Mechanics'!$B$5))*(1-$A95))-IF(J$1=0,'Underlying Mechanics'!$B$23*(1-$B95),0)-IF(J$1&gt;0,'Underlying Mechanics'!$B$22*'Underlying Mechanics'!$B$17,0)-IF(J$1&gt;0,'Underlying Mechanics'!$B$12*'Underlying Mechanics'!$B$18,0)</x:f>
        <x:v>-2339.9999999999964</x:v>
      </x:c>
      <x:c r="K95" t="n">
        <x:f>((IF(K$1-'Underlying Mechanics'!$B$8&lt;0,0,'Underlying Mechanics'!$B$22*'Underlying Mechanics'!$B$15*INDEX('Underlying Mechanics'!$B$31:$B$51,K$1-'Underlying Mechanics'!$B$8+1)*'Underlying Mechanics'!$B$5))*(1-$A95))-IF(K$1=0,'Underlying Mechanics'!$B$23*(1-$B95),0)-IF(K$1&gt;0,'Underlying Mechanics'!$B$22*'Underlying Mechanics'!$B$17,0)-IF(K$1&gt;0,'Underlying Mechanics'!$B$12*'Underlying Mechanics'!$B$18,0)</x:f>
        <x:v>6300</x:v>
      </x:c>
      <x:c r="L95" t="n">
        <x:f>((IF(L$1-'Underlying Mechanics'!$B$8&lt;0,0,'Underlying Mechanics'!$B$22*'Underlying Mechanics'!$B$15*INDEX('Underlying Mechanics'!$B$31:$B$51,L$1-'Underlying Mechanics'!$B$8+1)*'Underlying Mechanics'!$B$5))*(1-$A95))-IF(L$1=0,'Underlying Mechanics'!$B$23*(1-$B95),0)-IF(L$1&gt;0,'Underlying Mechanics'!$B$22*'Underlying Mechanics'!$B$17,0)-IF(L$1&gt;0,'Underlying Mechanics'!$B$12*'Underlying Mechanics'!$B$18,0)</x:f>
        <x:v>16380</x:v>
      </x:c>
      <x:c r="M95" t="n">
        <x:f>((IF(M$1-'Underlying Mechanics'!$B$8&lt;0,0,'Underlying Mechanics'!$B$22*'Underlying Mechanics'!$B$15*INDEX('Underlying Mechanics'!$B$31:$B$51,M$1-'Underlying Mechanics'!$B$8+1)*'Underlying Mechanics'!$B$5))*(1-$A95))-IF(M$1=0,'Underlying Mechanics'!$B$23*(1-$B95),0)-IF(M$1&gt;0,'Underlying Mechanics'!$B$22*'Underlying Mechanics'!$B$17,0)-IF(M$1&gt;0,'Underlying Mechanics'!$B$12*'Underlying Mechanics'!$B$18,0)</x:f>
        <x:v>26460.000000000007</x:v>
      </x:c>
      <x:c r="N95" t="n">
        <x:f>((IF(N$1-'Underlying Mechanics'!$B$8&lt;0,0,'Underlying Mechanics'!$B$22*'Underlying Mechanics'!$B$15*INDEX('Underlying Mechanics'!$B$31:$B$51,N$1-'Underlying Mechanics'!$B$8+1)*'Underlying Mechanics'!$B$5))*(1-$A95))-IF(N$1=0,'Underlying Mechanics'!$B$23*(1-$B95),0)-IF(N$1&gt;0,'Underlying Mechanics'!$B$22*'Underlying Mechanics'!$B$17,0)-IF(N$1&gt;0,'Underlying Mechanics'!$B$12*'Underlying Mechanics'!$B$18,0)</x:f>
        <x:v>35100</x:v>
      </x:c>
      <x:c r="O95" t="n">
        <x:f>((IF(O$1-'Underlying Mechanics'!$B$8&lt;0,0,'Underlying Mechanics'!$B$22*'Underlying Mechanics'!$B$15*INDEX('Underlying Mechanics'!$B$31:$B$51,O$1-'Underlying Mechanics'!$B$8+1)*'Underlying Mechanics'!$B$5))*(1-$A95))-IF(O$1=0,'Underlying Mechanics'!$B$23*(1-$B95),0)-IF(O$1&gt;0,'Underlying Mechanics'!$B$22*'Underlying Mechanics'!$B$17,0)-IF(O$1&gt;0,'Underlying Mechanics'!$B$12*'Underlying Mechanics'!$B$18,0)</x:f>
        <x:v>42300</x:v>
      </x:c>
      <x:c r="P95" t="n">
        <x:f>((IF(P$1-'Underlying Mechanics'!$B$8&lt;0,0,'Underlying Mechanics'!$B$22*'Underlying Mechanics'!$B$15*INDEX('Underlying Mechanics'!$B$31:$B$51,P$1-'Underlying Mechanics'!$B$8+1)*'Underlying Mechanics'!$B$5))*(1-$A95))-IF(P$1=0,'Underlying Mechanics'!$B$23*(1-$B95),0)-IF(P$1&gt;0,'Underlying Mechanics'!$B$22*'Underlying Mechanics'!$B$17,0)-IF(P$1&gt;0,'Underlying Mechanics'!$B$12*'Underlying Mechanics'!$B$18,0)</x:f>
        <x:v>49500</x:v>
      </x:c>
      <x:c r="Q95" t="n">
        <x:f>((IF(Q$1-'Underlying Mechanics'!$B$8&lt;0,0,'Underlying Mechanics'!$B$22*'Underlying Mechanics'!$B$15*INDEX('Underlying Mechanics'!$B$31:$B$51,Q$1-'Underlying Mechanics'!$B$8+1)*'Underlying Mechanics'!$B$5))*(1-$A95))-IF(Q$1=0,'Underlying Mechanics'!$B$23*(1-$B95),0)-IF(Q$1&gt;0,'Underlying Mechanics'!$B$22*'Underlying Mechanics'!$B$17,0)-IF(Q$1&gt;0,'Underlying Mechanics'!$B$12*'Underlying Mechanics'!$B$18,0)</x:f>
        <x:v>49500</x:v>
      </x:c>
      <x:c r="R95" t="n">
        <x:f>((IF(R$1-'Underlying Mechanics'!$B$8&lt;0,0,'Underlying Mechanics'!$B$22*'Underlying Mechanics'!$B$15*INDEX('Underlying Mechanics'!$B$31:$B$51,R$1-'Underlying Mechanics'!$B$8+1)*'Underlying Mechanics'!$B$5))*(1-$A95))-IF(R$1=0,'Underlying Mechanics'!$B$23*(1-$B95),0)-IF(R$1&gt;0,'Underlying Mechanics'!$B$22*'Underlying Mechanics'!$B$17,0)-IF(R$1&gt;0,'Underlying Mechanics'!$B$12*'Underlying Mechanics'!$B$18,0)</x:f>
        <x:v>49500</x:v>
      </x:c>
      <x:c r="S95" t="n">
        <x:f>((IF(S$1-'Underlying Mechanics'!$B$8&lt;0,0,'Underlying Mechanics'!$B$22*'Underlying Mechanics'!$B$15*INDEX('Underlying Mechanics'!$B$31:$B$51,S$1-'Underlying Mechanics'!$B$8+1)*'Underlying Mechanics'!$B$5))*(1-$A95))-IF(S$1=0,'Underlying Mechanics'!$B$23*(1-$B95),0)-IF(S$1&gt;0,'Underlying Mechanics'!$B$22*'Underlying Mechanics'!$B$17,0)-IF(S$1&gt;0,'Underlying Mechanics'!$B$12*'Underlying Mechanics'!$B$18,0)</x:f>
        <x:v>49500</x:v>
      </x:c>
      <x:c r="T95" t="n">
        <x:f>((IF(T$1-'Underlying Mechanics'!$B$8&lt;0,0,'Underlying Mechanics'!$B$22*'Underlying Mechanics'!$B$15*INDEX('Underlying Mechanics'!$B$31:$B$51,T$1-'Underlying Mechanics'!$B$8+1)*'Underlying Mechanics'!$B$5))*(1-$A95))-IF(T$1=0,'Underlying Mechanics'!$B$23*(1-$B95),0)-IF(T$1&gt;0,'Underlying Mechanics'!$B$22*'Underlying Mechanics'!$B$17,0)-IF(T$1&gt;0,'Underlying Mechanics'!$B$12*'Underlying Mechanics'!$B$18,0)</x:f>
        <x:v>49500</x:v>
      </x:c>
      <x:c r="U95" t="n">
        <x:f>((IF(U$1-'Underlying Mechanics'!$B$8&lt;0,0,'Underlying Mechanics'!$B$22*'Underlying Mechanics'!$B$15*INDEX('Underlying Mechanics'!$B$31:$B$51,U$1-'Underlying Mechanics'!$B$8+1)*'Underlying Mechanics'!$B$5))*(1-$A95))-IF(U$1=0,'Underlying Mechanics'!$B$23*(1-$B95),0)-IF(U$1&gt;0,'Underlying Mechanics'!$B$22*'Underlying Mechanics'!$B$17,0)-IF(U$1&gt;0,'Underlying Mechanics'!$B$12*'Underlying Mechanics'!$B$18,0)</x:f>
        <x:v>49500</x:v>
      </x:c>
      <x:c r="V95" t="n">
        <x:f>((IF(V$1-'Underlying Mechanics'!$B$8&lt;0,0,'Underlying Mechanics'!$B$22*'Underlying Mechanics'!$B$15*INDEX('Underlying Mechanics'!$B$31:$B$51,V$1-'Underlying Mechanics'!$B$8+1)*'Underlying Mechanics'!$B$5))*(1-$A95))-IF(V$1=0,'Underlying Mechanics'!$B$23*(1-$B95),0)-IF(V$1&gt;0,'Underlying Mechanics'!$B$22*'Underlying Mechanics'!$B$17,0)-IF(V$1&gt;0,'Underlying Mechanics'!$B$12*'Underlying Mechanics'!$B$18,0)</x:f>
        <x:v>49500</x:v>
      </x:c>
      <x:c r="W95" t="n">
        <x:f>((IF(W$1-'Underlying Mechanics'!$B$8&lt;0,0,'Underlying Mechanics'!$B$22*'Underlying Mechanics'!$B$15*INDEX('Underlying Mechanics'!$B$31:$B$51,W$1-'Underlying Mechanics'!$B$8+1)*'Underlying Mechanics'!$B$5))*(1-$A95))-IF(W$1=0,'Underlying Mechanics'!$B$23*(1-$B95),0)-IF(W$1&gt;0,'Underlying Mechanics'!$B$22*'Underlying Mechanics'!$B$17,0)-IF(W$1&gt;0,'Underlying Mechanics'!$B$12*'Underlying Mechanics'!$B$18,0)</x:f>
        <x:v>49500</x:v>
      </x:c>
      <x:c r="X95" t="n">
        <x:f>IFERROR(IRR(C95:W95),-1)</x:f>
        <x:v>0.07882584924715512</x:v>
      </x:c>
    </x:row>
    <x:row r="96">
      <x:c r="A96" t="n">
        <x:v>0.4</x:v>
      </x:c>
      <x:c r="B96" t="n">
        <x:v>0.5</x:v>
      </x:c>
      <x:c r="C96" t="n">
        <x:f>((IF(C$1-'Underlying Mechanics'!$B$8&lt;0,0,'Underlying Mechanics'!$B$22*'Underlying Mechanics'!$B$15*INDEX('Underlying Mechanics'!$B$31:$B$51,C$1-'Underlying Mechanics'!$B$8+1)*'Underlying Mechanics'!$B$5))*(1-$A96))-IF(C$1=0,'Underlying Mechanics'!$B$23*(1-$B96),0)-IF(C$1&gt;0,'Underlying Mechanics'!$B$22*'Underlying Mechanics'!$B$17,0)-IF(C$1&gt;0,'Underlying Mechanics'!$B$12*'Underlying Mechanics'!$B$18,0)</x:f>
        <x:v>-75000</x:v>
      </x:c>
      <x:c r="D96" t="n">
        <x:f>((IF(D$1-'Underlying Mechanics'!$B$8&lt;0,0,'Underlying Mechanics'!$B$22*'Underlying Mechanics'!$B$15*INDEX('Underlying Mechanics'!$B$31:$B$51,D$1-'Underlying Mechanics'!$B$8+1)*'Underlying Mechanics'!$B$5))*(1-$A96))-IF(D$1=0,'Underlying Mechanics'!$B$23*(1-$B96),0)-IF(D$1&gt;0,'Underlying Mechanics'!$B$22*'Underlying Mechanics'!$B$17,0)-IF(D$1&gt;0,'Underlying Mechanics'!$B$12*'Underlying Mechanics'!$B$18,0)</x:f>
        <x:v>-22500</x:v>
      </x:c>
      <x:c r="E96" t="n">
        <x:f>((IF(E$1-'Underlying Mechanics'!$B$8&lt;0,0,'Underlying Mechanics'!$B$22*'Underlying Mechanics'!$B$15*INDEX('Underlying Mechanics'!$B$31:$B$51,E$1-'Underlying Mechanics'!$B$8+1)*'Underlying Mechanics'!$B$5))*(1-$A96))-IF(E$1=0,'Underlying Mechanics'!$B$23*(1-$B96),0)-IF(E$1&gt;0,'Underlying Mechanics'!$B$22*'Underlying Mechanics'!$B$17,0)-IF(E$1&gt;0,'Underlying Mechanics'!$B$12*'Underlying Mechanics'!$B$18,0)</x:f>
        <x:v>-22500</x:v>
      </x:c>
      <x:c r="F96" t="n">
        <x:f>((IF(F$1-'Underlying Mechanics'!$B$8&lt;0,0,'Underlying Mechanics'!$B$22*'Underlying Mechanics'!$B$15*INDEX('Underlying Mechanics'!$B$31:$B$51,F$1-'Underlying Mechanics'!$B$8+1)*'Underlying Mechanics'!$B$5))*(1-$A96))-IF(F$1=0,'Underlying Mechanics'!$B$23*(1-$B96),0)-IF(F$1&gt;0,'Underlying Mechanics'!$B$22*'Underlying Mechanics'!$B$17,0)-IF(F$1&gt;0,'Underlying Mechanics'!$B$12*'Underlying Mechanics'!$B$18,0)</x:f>
        <x:v>-21060</x:v>
      </x:c>
      <x:c r="G96" t="n">
        <x:f>((IF(G$1-'Underlying Mechanics'!$B$8&lt;0,0,'Underlying Mechanics'!$B$22*'Underlying Mechanics'!$B$15*INDEX('Underlying Mechanics'!$B$31:$B$51,G$1-'Underlying Mechanics'!$B$8+1)*'Underlying Mechanics'!$B$5))*(1-$A96))-IF(G$1=0,'Underlying Mechanics'!$B$23*(1-$B96),0)-IF(G$1&gt;0,'Underlying Mechanics'!$B$22*'Underlying Mechanics'!$B$17,0)-IF(G$1&gt;0,'Underlying Mechanics'!$B$12*'Underlying Mechanics'!$B$18,0)</x:f>
        <x:v>-18900</x:v>
      </x:c>
      <x:c r="H96" t="n">
        <x:f>((IF(H$1-'Underlying Mechanics'!$B$8&lt;0,0,'Underlying Mechanics'!$B$22*'Underlying Mechanics'!$B$15*INDEX('Underlying Mechanics'!$B$31:$B$51,H$1-'Underlying Mechanics'!$B$8+1)*'Underlying Mechanics'!$B$5))*(1-$A96))-IF(H$1=0,'Underlying Mechanics'!$B$23*(1-$B96),0)-IF(H$1&gt;0,'Underlying Mechanics'!$B$22*'Underlying Mechanics'!$B$17,0)-IF(H$1&gt;0,'Underlying Mechanics'!$B$12*'Underlying Mechanics'!$B$18,0)</x:f>
        <x:v>-15300</x:v>
      </x:c>
      <x:c r="I96" t="n">
        <x:f>((IF(I$1-'Underlying Mechanics'!$B$8&lt;0,0,'Underlying Mechanics'!$B$22*'Underlying Mechanics'!$B$15*INDEX('Underlying Mechanics'!$B$31:$B$51,I$1-'Underlying Mechanics'!$B$8+1)*'Underlying Mechanics'!$B$5))*(1-$A96))-IF(I$1=0,'Underlying Mechanics'!$B$23*(1-$B96),0)-IF(I$1&gt;0,'Underlying Mechanics'!$B$22*'Underlying Mechanics'!$B$17,0)-IF(I$1&gt;0,'Underlying Mechanics'!$B$12*'Underlying Mechanics'!$B$18,0)</x:f>
        <x:v>-9540</x:v>
      </x:c>
      <x:c r="J96" t="n">
        <x:f>((IF(J$1-'Underlying Mechanics'!$B$8&lt;0,0,'Underlying Mechanics'!$B$22*'Underlying Mechanics'!$B$15*INDEX('Underlying Mechanics'!$B$31:$B$51,J$1-'Underlying Mechanics'!$B$8+1)*'Underlying Mechanics'!$B$5))*(1-$A96))-IF(J$1=0,'Underlying Mechanics'!$B$23*(1-$B96),0)-IF(J$1&gt;0,'Underlying Mechanics'!$B$22*'Underlying Mechanics'!$B$17,0)-IF(J$1&gt;0,'Underlying Mechanics'!$B$12*'Underlying Mechanics'!$B$18,0)</x:f>
        <x:v>-2339.9999999999964</x:v>
      </x:c>
      <x:c r="K96" t="n">
        <x:f>((IF(K$1-'Underlying Mechanics'!$B$8&lt;0,0,'Underlying Mechanics'!$B$22*'Underlying Mechanics'!$B$15*INDEX('Underlying Mechanics'!$B$31:$B$51,K$1-'Underlying Mechanics'!$B$8+1)*'Underlying Mechanics'!$B$5))*(1-$A96))-IF(K$1=0,'Underlying Mechanics'!$B$23*(1-$B96),0)-IF(K$1&gt;0,'Underlying Mechanics'!$B$22*'Underlying Mechanics'!$B$17,0)-IF(K$1&gt;0,'Underlying Mechanics'!$B$12*'Underlying Mechanics'!$B$18,0)</x:f>
        <x:v>6300</x:v>
      </x:c>
      <x:c r="L96" t="n">
        <x:f>((IF(L$1-'Underlying Mechanics'!$B$8&lt;0,0,'Underlying Mechanics'!$B$22*'Underlying Mechanics'!$B$15*INDEX('Underlying Mechanics'!$B$31:$B$51,L$1-'Underlying Mechanics'!$B$8+1)*'Underlying Mechanics'!$B$5))*(1-$A96))-IF(L$1=0,'Underlying Mechanics'!$B$23*(1-$B96),0)-IF(L$1&gt;0,'Underlying Mechanics'!$B$22*'Underlying Mechanics'!$B$17,0)-IF(L$1&gt;0,'Underlying Mechanics'!$B$12*'Underlying Mechanics'!$B$18,0)</x:f>
        <x:v>16380</x:v>
      </x:c>
      <x:c r="M96" t="n">
        <x:f>((IF(M$1-'Underlying Mechanics'!$B$8&lt;0,0,'Underlying Mechanics'!$B$22*'Underlying Mechanics'!$B$15*INDEX('Underlying Mechanics'!$B$31:$B$51,M$1-'Underlying Mechanics'!$B$8+1)*'Underlying Mechanics'!$B$5))*(1-$A96))-IF(M$1=0,'Underlying Mechanics'!$B$23*(1-$B96),0)-IF(M$1&gt;0,'Underlying Mechanics'!$B$22*'Underlying Mechanics'!$B$17,0)-IF(M$1&gt;0,'Underlying Mechanics'!$B$12*'Underlying Mechanics'!$B$18,0)</x:f>
        <x:v>26460.000000000007</x:v>
      </x:c>
      <x:c r="N96" t="n">
        <x:f>((IF(N$1-'Underlying Mechanics'!$B$8&lt;0,0,'Underlying Mechanics'!$B$22*'Underlying Mechanics'!$B$15*INDEX('Underlying Mechanics'!$B$31:$B$51,N$1-'Underlying Mechanics'!$B$8+1)*'Underlying Mechanics'!$B$5))*(1-$A96))-IF(N$1=0,'Underlying Mechanics'!$B$23*(1-$B96),0)-IF(N$1&gt;0,'Underlying Mechanics'!$B$22*'Underlying Mechanics'!$B$17,0)-IF(N$1&gt;0,'Underlying Mechanics'!$B$12*'Underlying Mechanics'!$B$18,0)</x:f>
        <x:v>35100</x:v>
      </x:c>
      <x:c r="O96" t="n">
        <x:f>((IF(O$1-'Underlying Mechanics'!$B$8&lt;0,0,'Underlying Mechanics'!$B$22*'Underlying Mechanics'!$B$15*INDEX('Underlying Mechanics'!$B$31:$B$51,O$1-'Underlying Mechanics'!$B$8+1)*'Underlying Mechanics'!$B$5))*(1-$A96))-IF(O$1=0,'Underlying Mechanics'!$B$23*(1-$B96),0)-IF(O$1&gt;0,'Underlying Mechanics'!$B$22*'Underlying Mechanics'!$B$17,0)-IF(O$1&gt;0,'Underlying Mechanics'!$B$12*'Underlying Mechanics'!$B$18,0)</x:f>
        <x:v>42300</x:v>
      </x:c>
      <x:c r="P96" t="n">
        <x:f>((IF(P$1-'Underlying Mechanics'!$B$8&lt;0,0,'Underlying Mechanics'!$B$22*'Underlying Mechanics'!$B$15*INDEX('Underlying Mechanics'!$B$31:$B$51,P$1-'Underlying Mechanics'!$B$8+1)*'Underlying Mechanics'!$B$5))*(1-$A96))-IF(P$1=0,'Underlying Mechanics'!$B$23*(1-$B96),0)-IF(P$1&gt;0,'Underlying Mechanics'!$B$22*'Underlying Mechanics'!$B$17,0)-IF(P$1&gt;0,'Underlying Mechanics'!$B$12*'Underlying Mechanics'!$B$18,0)</x:f>
        <x:v>49500</x:v>
      </x:c>
      <x:c r="Q96" t="n">
        <x:f>((IF(Q$1-'Underlying Mechanics'!$B$8&lt;0,0,'Underlying Mechanics'!$B$22*'Underlying Mechanics'!$B$15*INDEX('Underlying Mechanics'!$B$31:$B$51,Q$1-'Underlying Mechanics'!$B$8+1)*'Underlying Mechanics'!$B$5))*(1-$A96))-IF(Q$1=0,'Underlying Mechanics'!$B$23*(1-$B96),0)-IF(Q$1&gt;0,'Underlying Mechanics'!$B$22*'Underlying Mechanics'!$B$17,0)-IF(Q$1&gt;0,'Underlying Mechanics'!$B$12*'Underlying Mechanics'!$B$18,0)</x:f>
        <x:v>49500</x:v>
      </x:c>
      <x:c r="R96" t="n">
        <x:f>((IF(R$1-'Underlying Mechanics'!$B$8&lt;0,0,'Underlying Mechanics'!$B$22*'Underlying Mechanics'!$B$15*INDEX('Underlying Mechanics'!$B$31:$B$51,R$1-'Underlying Mechanics'!$B$8+1)*'Underlying Mechanics'!$B$5))*(1-$A96))-IF(R$1=0,'Underlying Mechanics'!$B$23*(1-$B96),0)-IF(R$1&gt;0,'Underlying Mechanics'!$B$22*'Underlying Mechanics'!$B$17,0)-IF(R$1&gt;0,'Underlying Mechanics'!$B$12*'Underlying Mechanics'!$B$18,0)</x:f>
        <x:v>49500</x:v>
      </x:c>
      <x:c r="S96" t="n">
        <x:f>((IF(S$1-'Underlying Mechanics'!$B$8&lt;0,0,'Underlying Mechanics'!$B$22*'Underlying Mechanics'!$B$15*INDEX('Underlying Mechanics'!$B$31:$B$51,S$1-'Underlying Mechanics'!$B$8+1)*'Underlying Mechanics'!$B$5))*(1-$A96))-IF(S$1=0,'Underlying Mechanics'!$B$23*(1-$B96),0)-IF(S$1&gt;0,'Underlying Mechanics'!$B$22*'Underlying Mechanics'!$B$17,0)-IF(S$1&gt;0,'Underlying Mechanics'!$B$12*'Underlying Mechanics'!$B$18,0)</x:f>
        <x:v>49500</x:v>
      </x:c>
      <x:c r="T96" t="n">
        <x:f>((IF(T$1-'Underlying Mechanics'!$B$8&lt;0,0,'Underlying Mechanics'!$B$22*'Underlying Mechanics'!$B$15*INDEX('Underlying Mechanics'!$B$31:$B$51,T$1-'Underlying Mechanics'!$B$8+1)*'Underlying Mechanics'!$B$5))*(1-$A96))-IF(T$1=0,'Underlying Mechanics'!$B$23*(1-$B96),0)-IF(T$1&gt;0,'Underlying Mechanics'!$B$22*'Underlying Mechanics'!$B$17,0)-IF(T$1&gt;0,'Underlying Mechanics'!$B$12*'Underlying Mechanics'!$B$18,0)</x:f>
        <x:v>49500</x:v>
      </x:c>
      <x:c r="U96" t="n">
        <x:f>((IF(U$1-'Underlying Mechanics'!$B$8&lt;0,0,'Underlying Mechanics'!$B$22*'Underlying Mechanics'!$B$15*INDEX('Underlying Mechanics'!$B$31:$B$51,U$1-'Underlying Mechanics'!$B$8+1)*'Underlying Mechanics'!$B$5))*(1-$A96))-IF(U$1=0,'Underlying Mechanics'!$B$23*(1-$B96),0)-IF(U$1&gt;0,'Underlying Mechanics'!$B$22*'Underlying Mechanics'!$B$17,0)-IF(U$1&gt;0,'Underlying Mechanics'!$B$12*'Underlying Mechanics'!$B$18,0)</x:f>
        <x:v>49500</x:v>
      </x:c>
      <x:c r="V96" t="n">
        <x:f>((IF(V$1-'Underlying Mechanics'!$B$8&lt;0,0,'Underlying Mechanics'!$B$22*'Underlying Mechanics'!$B$15*INDEX('Underlying Mechanics'!$B$31:$B$51,V$1-'Underlying Mechanics'!$B$8+1)*'Underlying Mechanics'!$B$5))*(1-$A96))-IF(V$1=0,'Underlying Mechanics'!$B$23*(1-$B96),0)-IF(V$1&gt;0,'Underlying Mechanics'!$B$22*'Underlying Mechanics'!$B$17,0)-IF(V$1&gt;0,'Underlying Mechanics'!$B$12*'Underlying Mechanics'!$B$18,0)</x:f>
        <x:v>49500</x:v>
      </x:c>
      <x:c r="W96" t="n">
        <x:f>((IF(W$1-'Underlying Mechanics'!$B$8&lt;0,0,'Underlying Mechanics'!$B$22*'Underlying Mechanics'!$B$15*INDEX('Underlying Mechanics'!$B$31:$B$51,W$1-'Underlying Mechanics'!$B$8+1)*'Underlying Mechanics'!$B$5))*(1-$A96))-IF(W$1=0,'Underlying Mechanics'!$B$23*(1-$B96),0)-IF(W$1&gt;0,'Underlying Mechanics'!$B$22*'Underlying Mechanics'!$B$17,0)-IF(W$1&gt;0,'Underlying Mechanics'!$B$12*'Underlying Mechanics'!$B$18,0)</x:f>
        <x:v>49500</x:v>
      </x:c>
      <x:c r="X96" t="n">
        <x:f>IFERROR(IRR(C96:W96),-1)</x:f>
        <x:v>0.08264390392744929</x:v>
      </x:c>
    </x:row>
    <x:row r="97">
      <x:c r="A97" t="n">
        <x:v>0.4</x:v>
      </x:c>
      <x:c r="B97" t="n">
        <x:v>0.55</x:v>
      </x:c>
      <x:c r="C97" t="n">
        <x:f>((IF(C$1-'Underlying Mechanics'!$B$8&lt;0,0,'Underlying Mechanics'!$B$22*'Underlying Mechanics'!$B$15*INDEX('Underlying Mechanics'!$B$31:$B$51,C$1-'Underlying Mechanics'!$B$8+1)*'Underlying Mechanics'!$B$5))*(1-$A97))-IF(C$1=0,'Underlying Mechanics'!$B$23*(1-$B97),0)-IF(C$1&gt;0,'Underlying Mechanics'!$B$22*'Underlying Mechanics'!$B$17,0)-IF(C$1&gt;0,'Underlying Mechanics'!$B$12*'Underlying Mechanics'!$B$18,0)</x:f>
        <x:v>-67500</x:v>
      </x:c>
      <x:c r="D97" t="n">
        <x:f>((IF(D$1-'Underlying Mechanics'!$B$8&lt;0,0,'Underlying Mechanics'!$B$22*'Underlying Mechanics'!$B$15*INDEX('Underlying Mechanics'!$B$31:$B$51,D$1-'Underlying Mechanics'!$B$8+1)*'Underlying Mechanics'!$B$5))*(1-$A97))-IF(D$1=0,'Underlying Mechanics'!$B$23*(1-$B97),0)-IF(D$1&gt;0,'Underlying Mechanics'!$B$22*'Underlying Mechanics'!$B$17,0)-IF(D$1&gt;0,'Underlying Mechanics'!$B$12*'Underlying Mechanics'!$B$18,0)</x:f>
        <x:v>-22500</x:v>
      </x:c>
      <x:c r="E97" t="n">
        <x:f>((IF(E$1-'Underlying Mechanics'!$B$8&lt;0,0,'Underlying Mechanics'!$B$22*'Underlying Mechanics'!$B$15*INDEX('Underlying Mechanics'!$B$31:$B$51,E$1-'Underlying Mechanics'!$B$8+1)*'Underlying Mechanics'!$B$5))*(1-$A97))-IF(E$1=0,'Underlying Mechanics'!$B$23*(1-$B97),0)-IF(E$1&gt;0,'Underlying Mechanics'!$B$22*'Underlying Mechanics'!$B$17,0)-IF(E$1&gt;0,'Underlying Mechanics'!$B$12*'Underlying Mechanics'!$B$18,0)</x:f>
        <x:v>-22500</x:v>
      </x:c>
      <x:c r="F97" t="n">
        <x:f>((IF(F$1-'Underlying Mechanics'!$B$8&lt;0,0,'Underlying Mechanics'!$B$22*'Underlying Mechanics'!$B$15*INDEX('Underlying Mechanics'!$B$31:$B$51,F$1-'Underlying Mechanics'!$B$8+1)*'Underlying Mechanics'!$B$5))*(1-$A97))-IF(F$1=0,'Underlying Mechanics'!$B$23*(1-$B97),0)-IF(F$1&gt;0,'Underlying Mechanics'!$B$22*'Underlying Mechanics'!$B$17,0)-IF(F$1&gt;0,'Underlying Mechanics'!$B$12*'Underlying Mechanics'!$B$18,0)</x:f>
        <x:v>-21060</x:v>
      </x:c>
      <x:c r="G97" t="n">
        <x:f>((IF(G$1-'Underlying Mechanics'!$B$8&lt;0,0,'Underlying Mechanics'!$B$22*'Underlying Mechanics'!$B$15*INDEX('Underlying Mechanics'!$B$31:$B$51,G$1-'Underlying Mechanics'!$B$8+1)*'Underlying Mechanics'!$B$5))*(1-$A97))-IF(G$1=0,'Underlying Mechanics'!$B$23*(1-$B97),0)-IF(G$1&gt;0,'Underlying Mechanics'!$B$22*'Underlying Mechanics'!$B$17,0)-IF(G$1&gt;0,'Underlying Mechanics'!$B$12*'Underlying Mechanics'!$B$18,0)</x:f>
        <x:v>-18900</x:v>
      </x:c>
      <x:c r="H97" t="n">
        <x:f>((IF(H$1-'Underlying Mechanics'!$B$8&lt;0,0,'Underlying Mechanics'!$B$22*'Underlying Mechanics'!$B$15*INDEX('Underlying Mechanics'!$B$31:$B$51,H$1-'Underlying Mechanics'!$B$8+1)*'Underlying Mechanics'!$B$5))*(1-$A97))-IF(H$1=0,'Underlying Mechanics'!$B$23*(1-$B97),0)-IF(H$1&gt;0,'Underlying Mechanics'!$B$22*'Underlying Mechanics'!$B$17,0)-IF(H$1&gt;0,'Underlying Mechanics'!$B$12*'Underlying Mechanics'!$B$18,0)</x:f>
        <x:v>-15300</x:v>
      </x:c>
      <x:c r="I97" t="n">
        <x:f>((IF(I$1-'Underlying Mechanics'!$B$8&lt;0,0,'Underlying Mechanics'!$B$22*'Underlying Mechanics'!$B$15*INDEX('Underlying Mechanics'!$B$31:$B$51,I$1-'Underlying Mechanics'!$B$8+1)*'Underlying Mechanics'!$B$5))*(1-$A97))-IF(I$1=0,'Underlying Mechanics'!$B$23*(1-$B97),0)-IF(I$1&gt;0,'Underlying Mechanics'!$B$22*'Underlying Mechanics'!$B$17,0)-IF(I$1&gt;0,'Underlying Mechanics'!$B$12*'Underlying Mechanics'!$B$18,0)</x:f>
        <x:v>-9540</x:v>
      </x:c>
      <x:c r="J97" t="n">
        <x:f>((IF(J$1-'Underlying Mechanics'!$B$8&lt;0,0,'Underlying Mechanics'!$B$22*'Underlying Mechanics'!$B$15*INDEX('Underlying Mechanics'!$B$31:$B$51,J$1-'Underlying Mechanics'!$B$8+1)*'Underlying Mechanics'!$B$5))*(1-$A97))-IF(J$1=0,'Underlying Mechanics'!$B$23*(1-$B97),0)-IF(J$1&gt;0,'Underlying Mechanics'!$B$22*'Underlying Mechanics'!$B$17,0)-IF(J$1&gt;0,'Underlying Mechanics'!$B$12*'Underlying Mechanics'!$B$18,0)</x:f>
        <x:v>-2339.9999999999964</x:v>
      </x:c>
      <x:c r="K97" t="n">
        <x:f>((IF(K$1-'Underlying Mechanics'!$B$8&lt;0,0,'Underlying Mechanics'!$B$22*'Underlying Mechanics'!$B$15*INDEX('Underlying Mechanics'!$B$31:$B$51,K$1-'Underlying Mechanics'!$B$8+1)*'Underlying Mechanics'!$B$5))*(1-$A97))-IF(K$1=0,'Underlying Mechanics'!$B$23*(1-$B97),0)-IF(K$1&gt;0,'Underlying Mechanics'!$B$22*'Underlying Mechanics'!$B$17,0)-IF(K$1&gt;0,'Underlying Mechanics'!$B$12*'Underlying Mechanics'!$B$18,0)</x:f>
        <x:v>6300</x:v>
      </x:c>
      <x:c r="L97" t="n">
        <x:f>((IF(L$1-'Underlying Mechanics'!$B$8&lt;0,0,'Underlying Mechanics'!$B$22*'Underlying Mechanics'!$B$15*INDEX('Underlying Mechanics'!$B$31:$B$51,L$1-'Underlying Mechanics'!$B$8+1)*'Underlying Mechanics'!$B$5))*(1-$A97))-IF(L$1=0,'Underlying Mechanics'!$B$23*(1-$B97),0)-IF(L$1&gt;0,'Underlying Mechanics'!$B$22*'Underlying Mechanics'!$B$17,0)-IF(L$1&gt;0,'Underlying Mechanics'!$B$12*'Underlying Mechanics'!$B$18,0)</x:f>
        <x:v>16380</x:v>
      </x:c>
      <x:c r="M97" t="n">
        <x:f>((IF(M$1-'Underlying Mechanics'!$B$8&lt;0,0,'Underlying Mechanics'!$B$22*'Underlying Mechanics'!$B$15*INDEX('Underlying Mechanics'!$B$31:$B$51,M$1-'Underlying Mechanics'!$B$8+1)*'Underlying Mechanics'!$B$5))*(1-$A97))-IF(M$1=0,'Underlying Mechanics'!$B$23*(1-$B97),0)-IF(M$1&gt;0,'Underlying Mechanics'!$B$22*'Underlying Mechanics'!$B$17,0)-IF(M$1&gt;0,'Underlying Mechanics'!$B$12*'Underlying Mechanics'!$B$18,0)</x:f>
        <x:v>26460.000000000007</x:v>
      </x:c>
      <x:c r="N97" t="n">
        <x:f>((IF(N$1-'Underlying Mechanics'!$B$8&lt;0,0,'Underlying Mechanics'!$B$22*'Underlying Mechanics'!$B$15*INDEX('Underlying Mechanics'!$B$31:$B$51,N$1-'Underlying Mechanics'!$B$8+1)*'Underlying Mechanics'!$B$5))*(1-$A97))-IF(N$1=0,'Underlying Mechanics'!$B$23*(1-$B97),0)-IF(N$1&gt;0,'Underlying Mechanics'!$B$22*'Underlying Mechanics'!$B$17,0)-IF(N$1&gt;0,'Underlying Mechanics'!$B$12*'Underlying Mechanics'!$B$18,0)</x:f>
        <x:v>35100</x:v>
      </x:c>
      <x:c r="O97" t="n">
        <x:f>((IF(O$1-'Underlying Mechanics'!$B$8&lt;0,0,'Underlying Mechanics'!$B$22*'Underlying Mechanics'!$B$15*INDEX('Underlying Mechanics'!$B$31:$B$51,O$1-'Underlying Mechanics'!$B$8+1)*'Underlying Mechanics'!$B$5))*(1-$A97))-IF(O$1=0,'Underlying Mechanics'!$B$23*(1-$B97),0)-IF(O$1&gt;0,'Underlying Mechanics'!$B$22*'Underlying Mechanics'!$B$17,0)-IF(O$1&gt;0,'Underlying Mechanics'!$B$12*'Underlying Mechanics'!$B$18,0)</x:f>
        <x:v>42300</x:v>
      </x:c>
      <x:c r="P97" t="n">
        <x:f>((IF(P$1-'Underlying Mechanics'!$B$8&lt;0,0,'Underlying Mechanics'!$B$22*'Underlying Mechanics'!$B$15*INDEX('Underlying Mechanics'!$B$31:$B$51,P$1-'Underlying Mechanics'!$B$8+1)*'Underlying Mechanics'!$B$5))*(1-$A97))-IF(P$1=0,'Underlying Mechanics'!$B$23*(1-$B97),0)-IF(P$1&gt;0,'Underlying Mechanics'!$B$22*'Underlying Mechanics'!$B$17,0)-IF(P$1&gt;0,'Underlying Mechanics'!$B$12*'Underlying Mechanics'!$B$18,0)</x:f>
        <x:v>49500</x:v>
      </x:c>
      <x:c r="Q97" t="n">
        <x:f>((IF(Q$1-'Underlying Mechanics'!$B$8&lt;0,0,'Underlying Mechanics'!$B$22*'Underlying Mechanics'!$B$15*INDEX('Underlying Mechanics'!$B$31:$B$51,Q$1-'Underlying Mechanics'!$B$8+1)*'Underlying Mechanics'!$B$5))*(1-$A97))-IF(Q$1=0,'Underlying Mechanics'!$B$23*(1-$B97),0)-IF(Q$1&gt;0,'Underlying Mechanics'!$B$22*'Underlying Mechanics'!$B$17,0)-IF(Q$1&gt;0,'Underlying Mechanics'!$B$12*'Underlying Mechanics'!$B$18,0)</x:f>
        <x:v>49500</x:v>
      </x:c>
      <x:c r="R97" t="n">
        <x:f>((IF(R$1-'Underlying Mechanics'!$B$8&lt;0,0,'Underlying Mechanics'!$B$22*'Underlying Mechanics'!$B$15*INDEX('Underlying Mechanics'!$B$31:$B$51,R$1-'Underlying Mechanics'!$B$8+1)*'Underlying Mechanics'!$B$5))*(1-$A97))-IF(R$1=0,'Underlying Mechanics'!$B$23*(1-$B97),0)-IF(R$1&gt;0,'Underlying Mechanics'!$B$22*'Underlying Mechanics'!$B$17,0)-IF(R$1&gt;0,'Underlying Mechanics'!$B$12*'Underlying Mechanics'!$B$18,0)</x:f>
        <x:v>49500</x:v>
      </x:c>
      <x:c r="S97" t="n">
        <x:f>((IF(S$1-'Underlying Mechanics'!$B$8&lt;0,0,'Underlying Mechanics'!$B$22*'Underlying Mechanics'!$B$15*INDEX('Underlying Mechanics'!$B$31:$B$51,S$1-'Underlying Mechanics'!$B$8+1)*'Underlying Mechanics'!$B$5))*(1-$A97))-IF(S$1=0,'Underlying Mechanics'!$B$23*(1-$B97),0)-IF(S$1&gt;0,'Underlying Mechanics'!$B$22*'Underlying Mechanics'!$B$17,0)-IF(S$1&gt;0,'Underlying Mechanics'!$B$12*'Underlying Mechanics'!$B$18,0)</x:f>
        <x:v>49500</x:v>
      </x:c>
      <x:c r="T97" t="n">
        <x:f>((IF(T$1-'Underlying Mechanics'!$B$8&lt;0,0,'Underlying Mechanics'!$B$22*'Underlying Mechanics'!$B$15*INDEX('Underlying Mechanics'!$B$31:$B$51,T$1-'Underlying Mechanics'!$B$8+1)*'Underlying Mechanics'!$B$5))*(1-$A97))-IF(T$1=0,'Underlying Mechanics'!$B$23*(1-$B97),0)-IF(T$1&gt;0,'Underlying Mechanics'!$B$22*'Underlying Mechanics'!$B$17,0)-IF(T$1&gt;0,'Underlying Mechanics'!$B$12*'Underlying Mechanics'!$B$18,0)</x:f>
        <x:v>49500</x:v>
      </x:c>
      <x:c r="U97" t="n">
        <x:f>((IF(U$1-'Underlying Mechanics'!$B$8&lt;0,0,'Underlying Mechanics'!$B$22*'Underlying Mechanics'!$B$15*INDEX('Underlying Mechanics'!$B$31:$B$51,U$1-'Underlying Mechanics'!$B$8+1)*'Underlying Mechanics'!$B$5))*(1-$A97))-IF(U$1=0,'Underlying Mechanics'!$B$23*(1-$B97),0)-IF(U$1&gt;0,'Underlying Mechanics'!$B$22*'Underlying Mechanics'!$B$17,0)-IF(U$1&gt;0,'Underlying Mechanics'!$B$12*'Underlying Mechanics'!$B$18,0)</x:f>
        <x:v>49500</x:v>
      </x:c>
      <x:c r="V97" t="n">
        <x:f>((IF(V$1-'Underlying Mechanics'!$B$8&lt;0,0,'Underlying Mechanics'!$B$22*'Underlying Mechanics'!$B$15*INDEX('Underlying Mechanics'!$B$31:$B$51,V$1-'Underlying Mechanics'!$B$8+1)*'Underlying Mechanics'!$B$5))*(1-$A97))-IF(V$1=0,'Underlying Mechanics'!$B$23*(1-$B97),0)-IF(V$1&gt;0,'Underlying Mechanics'!$B$22*'Underlying Mechanics'!$B$17,0)-IF(V$1&gt;0,'Underlying Mechanics'!$B$12*'Underlying Mechanics'!$B$18,0)</x:f>
        <x:v>49500</x:v>
      </x:c>
      <x:c r="W97" t="n">
        <x:f>((IF(W$1-'Underlying Mechanics'!$B$8&lt;0,0,'Underlying Mechanics'!$B$22*'Underlying Mechanics'!$B$15*INDEX('Underlying Mechanics'!$B$31:$B$51,W$1-'Underlying Mechanics'!$B$8+1)*'Underlying Mechanics'!$B$5))*(1-$A97))-IF(W$1=0,'Underlying Mechanics'!$B$23*(1-$B97),0)-IF(W$1&gt;0,'Underlying Mechanics'!$B$22*'Underlying Mechanics'!$B$17,0)-IF(W$1&gt;0,'Underlying Mechanics'!$B$12*'Underlying Mechanics'!$B$18,0)</x:f>
        <x:v>49500</x:v>
      </x:c>
      <x:c r="X97" t="n">
        <x:f>IFERROR(IRR(C97:W97),-1)</x:f>
        <x:v>0.0867118034092847</x:v>
      </x:c>
    </x:row>
    <x:row r="98">
      <x:c r="A98" t="n">
        <x:v>0.4</x:v>
      </x:c>
      <x:c r="B98" t="n">
        <x:v>0.6</x:v>
      </x:c>
      <x:c r="C98" t="n">
        <x:f>((IF(C$1-'Underlying Mechanics'!$B$8&lt;0,0,'Underlying Mechanics'!$B$22*'Underlying Mechanics'!$B$15*INDEX('Underlying Mechanics'!$B$31:$B$51,C$1-'Underlying Mechanics'!$B$8+1)*'Underlying Mechanics'!$B$5))*(1-$A98))-IF(C$1=0,'Underlying Mechanics'!$B$23*(1-$B98),0)-IF(C$1&gt;0,'Underlying Mechanics'!$B$22*'Underlying Mechanics'!$B$17,0)-IF(C$1&gt;0,'Underlying Mechanics'!$B$12*'Underlying Mechanics'!$B$18,0)</x:f>
        <x:v>-60000</x:v>
      </x:c>
      <x:c r="D98" t="n">
        <x:f>((IF(D$1-'Underlying Mechanics'!$B$8&lt;0,0,'Underlying Mechanics'!$B$22*'Underlying Mechanics'!$B$15*INDEX('Underlying Mechanics'!$B$31:$B$51,D$1-'Underlying Mechanics'!$B$8+1)*'Underlying Mechanics'!$B$5))*(1-$A98))-IF(D$1=0,'Underlying Mechanics'!$B$23*(1-$B98),0)-IF(D$1&gt;0,'Underlying Mechanics'!$B$22*'Underlying Mechanics'!$B$17,0)-IF(D$1&gt;0,'Underlying Mechanics'!$B$12*'Underlying Mechanics'!$B$18,0)</x:f>
        <x:v>-22500</x:v>
      </x:c>
      <x:c r="E98" t="n">
        <x:f>((IF(E$1-'Underlying Mechanics'!$B$8&lt;0,0,'Underlying Mechanics'!$B$22*'Underlying Mechanics'!$B$15*INDEX('Underlying Mechanics'!$B$31:$B$51,E$1-'Underlying Mechanics'!$B$8+1)*'Underlying Mechanics'!$B$5))*(1-$A98))-IF(E$1=0,'Underlying Mechanics'!$B$23*(1-$B98),0)-IF(E$1&gt;0,'Underlying Mechanics'!$B$22*'Underlying Mechanics'!$B$17,0)-IF(E$1&gt;0,'Underlying Mechanics'!$B$12*'Underlying Mechanics'!$B$18,0)</x:f>
        <x:v>-22500</x:v>
      </x:c>
      <x:c r="F98" t="n">
        <x:f>((IF(F$1-'Underlying Mechanics'!$B$8&lt;0,0,'Underlying Mechanics'!$B$22*'Underlying Mechanics'!$B$15*INDEX('Underlying Mechanics'!$B$31:$B$51,F$1-'Underlying Mechanics'!$B$8+1)*'Underlying Mechanics'!$B$5))*(1-$A98))-IF(F$1=0,'Underlying Mechanics'!$B$23*(1-$B98),0)-IF(F$1&gt;0,'Underlying Mechanics'!$B$22*'Underlying Mechanics'!$B$17,0)-IF(F$1&gt;0,'Underlying Mechanics'!$B$12*'Underlying Mechanics'!$B$18,0)</x:f>
        <x:v>-21060</x:v>
      </x:c>
      <x:c r="G98" t="n">
        <x:f>((IF(G$1-'Underlying Mechanics'!$B$8&lt;0,0,'Underlying Mechanics'!$B$22*'Underlying Mechanics'!$B$15*INDEX('Underlying Mechanics'!$B$31:$B$51,G$1-'Underlying Mechanics'!$B$8+1)*'Underlying Mechanics'!$B$5))*(1-$A98))-IF(G$1=0,'Underlying Mechanics'!$B$23*(1-$B98),0)-IF(G$1&gt;0,'Underlying Mechanics'!$B$22*'Underlying Mechanics'!$B$17,0)-IF(G$1&gt;0,'Underlying Mechanics'!$B$12*'Underlying Mechanics'!$B$18,0)</x:f>
        <x:v>-18900</x:v>
      </x:c>
      <x:c r="H98" t="n">
        <x:f>((IF(H$1-'Underlying Mechanics'!$B$8&lt;0,0,'Underlying Mechanics'!$B$22*'Underlying Mechanics'!$B$15*INDEX('Underlying Mechanics'!$B$31:$B$51,H$1-'Underlying Mechanics'!$B$8+1)*'Underlying Mechanics'!$B$5))*(1-$A98))-IF(H$1=0,'Underlying Mechanics'!$B$23*(1-$B98),0)-IF(H$1&gt;0,'Underlying Mechanics'!$B$22*'Underlying Mechanics'!$B$17,0)-IF(H$1&gt;0,'Underlying Mechanics'!$B$12*'Underlying Mechanics'!$B$18,0)</x:f>
        <x:v>-15300</x:v>
      </x:c>
      <x:c r="I98" t="n">
        <x:f>((IF(I$1-'Underlying Mechanics'!$B$8&lt;0,0,'Underlying Mechanics'!$B$22*'Underlying Mechanics'!$B$15*INDEX('Underlying Mechanics'!$B$31:$B$51,I$1-'Underlying Mechanics'!$B$8+1)*'Underlying Mechanics'!$B$5))*(1-$A98))-IF(I$1=0,'Underlying Mechanics'!$B$23*(1-$B98),0)-IF(I$1&gt;0,'Underlying Mechanics'!$B$22*'Underlying Mechanics'!$B$17,0)-IF(I$1&gt;0,'Underlying Mechanics'!$B$12*'Underlying Mechanics'!$B$18,0)</x:f>
        <x:v>-9540</x:v>
      </x:c>
      <x:c r="J98" t="n">
        <x:f>((IF(J$1-'Underlying Mechanics'!$B$8&lt;0,0,'Underlying Mechanics'!$B$22*'Underlying Mechanics'!$B$15*INDEX('Underlying Mechanics'!$B$31:$B$51,J$1-'Underlying Mechanics'!$B$8+1)*'Underlying Mechanics'!$B$5))*(1-$A98))-IF(J$1=0,'Underlying Mechanics'!$B$23*(1-$B98),0)-IF(J$1&gt;0,'Underlying Mechanics'!$B$22*'Underlying Mechanics'!$B$17,0)-IF(J$1&gt;0,'Underlying Mechanics'!$B$12*'Underlying Mechanics'!$B$18,0)</x:f>
        <x:v>-2339.9999999999964</x:v>
      </x:c>
      <x:c r="K98" t="n">
        <x:f>((IF(K$1-'Underlying Mechanics'!$B$8&lt;0,0,'Underlying Mechanics'!$B$22*'Underlying Mechanics'!$B$15*INDEX('Underlying Mechanics'!$B$31:$B$51,K$1-'Underlying Mechanics'!$B$8+1)*'Underlying Mechanics'!$B$5))*(1-$A98))-IF(K$1=0,'Underlying Mechanics'!$B$23*(1-$B98),0)-IF(K$1&gt;0,'Underlying Mechanics'!$B$22*'Underlying Mechanics'!$B$17,0)-IF(K$1&gt;0,'Underlying Mechanics'!$B$12*'Underlying Mechanics'!$B$18,0)</x:f>
        <x:v>6300</x:v>
      </x:c>
      <x:c r="L98" t="n">
        <x:f>((IF(L$1-'Underlying Mechanics'!$B$8&lt;0,0,'Underlying Mechanics'!$B$22*'Underlying Mechanics'!$B$15*INDEX('Underlying Mechanics'!$B$31:$B$51,L$1-'Underlying Mechanics'!$B$8+1)*'Underlying Mechanics'!$B$5))*(1-$A98))-IF(L$1=0,'Underlying Mechanics'!$B$23*(1-$B98),0)-IF(L$1&gt;0,'Underlying Mechanics'!$B$22*'Underlying Mechanics'!$B$17,0)-IF(L$1&gt;0,'Underlying Mechanics'!$B$12*'Underlying Mechanics'!$B$18,0)</x:f>
        <x:v>16380</x:v>
      </x:c>
      <x:c r="M98" t="n">
        <x:f>((IF(M$1-'Underlying Mechanics'!$B$8&lt;0,0,'Underlying Mechanics'!$B$22*'Underlying Mechanics'!$B$15*INDEX('Underlying Mechanics'!$B$31:$B$51,M$1-'Underlying Mechanics'!$B$8+1)*'Underlying Mechanics'!$B$5))*(1-$A98))-IF(M$1=0,'Underlying Mechanics'!$B$23*(1-$B98),0)-IF(M$1&gt;0,'Underlying Mechanics'!$B$22*'Underlying Mechanics'!$B$17,0)-IF(M$1&gt;0,'Underlying Mechanics'!$B$12*'Underlying Mechanics'!$B$18,0)</x:f>
        <x:v>26460.000000000007</x:v>
      </x:c>
      <x:c r="N98" t="n">
        <x:f>((IF(N$1-'Underlying Mechanics'!$B$8&lt;0,0,'Underlying Mechanics'!$B$22*'Underlying Mechanics'!$B$15*INDEX('Underlying Mechanics'!$B$31:$B$51,N$1-'Underlying Mechanics'!$B$8+1)*'Underlying Mechanics'!$B$5))*(1-$A98))-IF(N$1=0,'Underlying Mechanics'!$B$23*(1-$B98),0)-IF(N$1&gt;0,'Underlying Mechanics'!$B$22*'Underlying Mechanics'!$B$17,0)-IF(N$1&gt;0,'Underlying Mechanics'!$B$12*'Underlying Mechanics'!$B$18,0)</x:f>
        <x:v>35100</x:v>
      </x:c>
      <x:c r="O98" t="n">
        <x:f>((IF(O$1-'Underlying Mechanics'!$B$8&lt;0,0,'Underlying Mechanics'!$B$22*'Underlying Mechanics'!$B$15*INDEX('Underlying Mechanics'!$B$31:$B$51,O$1-'Underlying Mechanics'!$B$8+1)*'Underlying Mechanics'!$B$5))*(1-$A98))-IF(O$1=0,'Underlying Mechanics'!$B$23*(1-$B98),0)-IF(O$1&gt;0,'Underlying Mechanics'!$B$22*'Underlying Mechanics'!$B$17,0)-IF(O$1&gt;0,'Underlying Mechanics'!$B$12*'Underlying Mechanics'!$B$18,0)</x:f>
        <x:v>42300</x:v>
      </x:c>
      <x:c r="P98" t="n">
        <x:f>((IF(P$1-'Underlying Mechanics'!$B$8&lt;0,0,'Underlying Mechanics'!$B$22*'Underlying Mechanics'!$B$15*INDEX('Underlying Mechanics'!$B$31:$B$51,P$1-'Underlying Mechanics'!$B$8+1)*'Underlying Mechanics'!$B$5))*(1-$A98))-IF(P$1=0,'Underlying Mechanics'!$B$23*(1-$B98),0)-IF(P$1&gt;0,'Underlying Mechanics'!$B$22*'Underlying Mechanics'!$B$17,0)-IF(P$1&gt;0,'Underlying Mechanics'!$B$12*'Underlying Mechanics'!$B$18,0)</x:f>
        <x:v>49500</x:v>
      </x:c>
      <x:c r="Q98" t="n">
        <x:f>((IF(Q$1-'Underlying Mechanics'!$B$8&lt;0,0,'Underlying Mechanics'!$B$22*'Underlying Mechanics'!$B$15*INDEX('Underlying Mechanics'!$B$31:$B$51,Q$1-'Underlying Mechanics'!$B$8+1)*'Underlying Mechanics'!$B$5))*(1-$A98))-IF(Q$1=0,'Underlying Mechanics'!$B$23*(1-$B98),0)-IF(Q$1&gt;0,'Underlying Mechanics'!$B$22*'Underlying Mechanics'!$B$17,0)-IF(Q$1&gt;0,'Underlying Mechanics'!$B$12*'Underlying Mechanics'!$B$18,0)</x:f>
        <x:v>49500</x:v>
      </x:c>
      <x:c r="R98" t="n">
        <x:f>((IF(R$1-'Underlying Mechanics'!$B$8&lt;0,0,'Underlying Mechanics'!$B$22*'Underlying Mechanics'!$B$15*INDEX('Underlying Mechanics'!$B$31:$B$51,R$1-'Underlying Mechanics'!$B$8+1)*'Underlying Mechanics'!$B$5))*(1-$A98))-IF(R$1=0,'Underlying Mechanics'!$B$23*(1-$B98),0)-IF(R$1&gt;0,'Underlying Mechanics'!$B$22*'Underlying Mechanics'!$B$17,0)-IF(R$1&gt;0,'Underlying Mechanics'!$B$12*'Underlying Mechanics'!$B$18,0)</x:f>
        <x:v>49500</x:v>
      </x:c>
      <x:c r="S98" t="n">
        <x:f>((IF(S$1-'Underlying Mechanics'!$B$8&lt;0,0,'Underlying Mechanics'!$B$22*'Underlying Mechanics'!$B$15*INDEX('Underlying Mechanics'!$B$31:$B$51,S$1-'Underlying Mechanics'!$B$8+1)*'Underlying Mechanics'!$B$5))*(1-$A98))-IF(S$1=0,'Underlying Mechanics'!$B$23*(1-$B98),0)-IF(S$1&gt;0,'Underlying Mechanics'!$B$22*'Underlying Mechanics'!$B$17,0)-IF(S$1&gt;0,'Underlying Mechanics'!$B$12*'Underlying Mechanics'!$B$18,0)</x:f>
        <x:v>49500</x:v>
      </x:c>
      <x:c r="T98" t="n">
        <x:f>((IF(T$1-'Underlying Mechanics'!$B$8&lt;0,0,'Underlying Mechanics'!$B$22*'Underlying Mechanics'!$B$15*INDEX('Underlying Mechanics'!$B$31:$B$51,T$1-'Underlying Mechanics'!$B$8+1)*'Underlying Mechanics'!$B$5))*(1-$A98))-IF(T$1=0,'Underlying Mechanics'!$B$23*(1-$B98),0)-IF(T$1&gt;0,'Underlying Mechanics'!$B$22*'Underlying Mechanics'!$B$17,0)-IF(T$1&gt;0,'Underlying Mechanics'!$B$12*'Underlying Mechanics'!$B$18,0)</x:f>
        <x:v>49500</x:v>
      </x:c>
      <x:c r="U98" t="n">
        <x:f>((IF(U$1-'Underlying Mechanics'!$B$8&lt;0,0,'Underlying Mechanics'!$B$22*'Underlying Mechanics'!$B$15*INDEX('Underlying Mechanics'!$B$31:$B$51,U$1-'Underlying Mechanics'!$B$8+1)*'Underlying Mechanics'!$B$5))*(1-$A98))-IF(U$1=0,'Underlying Mechanics'!$B$23*(1-$B98),0)-IF(U$1&gt;0,'Underlying Mechanics'!$B$22*'Underlying Mechanics'!$B$17,0)-IF(U$1&gt;0,'Underlying Mechanics'!$B$12*'Underlying Mechanics'!$B$18,0)</x:f>
        <x:v>49500</x:v>
      </x:c>
      <x:c r="V98" t="n">
        <x:f>((IF(V$1-'Underlying Mechanics'!$B$8&lt;0,0,'Underlying Mechanics'!$B$22*'Underlying Mechanics'!$B$15*INDEX('Underlying Mechanics'!$B$31:$B$51,V$1-'Underlying Mechanics'!$B$8+1)*'Underlying Mechanics'!$B$5))*(1-$A98))-IF(V$1=0,'Underlying Mechanics'!$B$23*(1-$B98),0)-IF(V$1&gt;0,'Underlying Mechanics'!$B$22*'Underlying Mechanics'!$B$17,0)-IF(V$1&gt;0,'Underlying Mechanics'!$B$12*'Underlying Mechanics'!$B$18,0)</x:f>
        <x:v>49500</x:v>
      </x:c>
      <x:c r="W98" t="n">
        <x:f>((IF(W$1-'Underlying Mechanics'!$B$8&lt;0,0,'Underlying Mechanics'!$B$22*'Underlying Mechanics'!$B$15*INDEX('Underlying Mechanics'!$B$31:$B$51,W$1-'Underlying Mechanics'!$B$8+1)*'Underlying Mechanics'!$B$5))*(1-$A98))-IF(W$1=0,'Underlying Mechanics'!$B$23*(1-$B98),0)-IF(W$1&gt;0,'Underlying Mechanics'!$B$22*'Underlying Mechanics'!$B$17,0)-IF(W$1&gt;0,'Underlying Mechanics'!$B$12*'Underlying Mechanics'!$B$18,0)</x:f>
        <x:v>49500</x:v>
      </x:c>
      <x:c r="X98" t="n">
        <x:f>IFERROR(IRR(C98:W98),-1)</x:f>
        <x:v>0.0910638575395424</x:v>
      </x:c>
    </x:row>
    <x:row r="99">
      <x:c r="A99" t="n">
        <x:v>0.4</x:v>
      </x:c>
      <x:c r="B99" t="n">
        <x:v>0.65</x:v>
      </x:c>
      <x:c r="C99" t="n">
        <x:f>((IF(C$1-'Underlying Mechanics'!$B$8&lt;0,0,'Underlying Mechanics'!$B$22*'Underlying Mechanics'!$B$15*INDEX('Underlying Mechanics'!$B$31:$B$51,C$1-'Underlying Mechanics'!$B$8+1)*'Underlying Mechanics'!$B$5))*(1-$A99))-IF(C$1=0,'Underlying Mechanics'!$B$23*(1-$B99),0)-IF(C$1&gt;0,'Underlying Mechanics'!$B$22*'Underlying Mechanics'!$B$17,0)-IF(C$1&gt;0,'Underlying Mechanics'!$B$12*'Underlying Mechanics'!$B$18,0)</x:f>
        <x:v>-52500</x:v>
      </x:c>
      <x:c r="D99" t="n">
        <x:f>((IF(D$1-'Underlying Mechanics'!$B$8&lt;0,0,'Underlying Mechanics'!$B$22*'Underlying Mechanics'!$B$15*INDEX('Underlying Mechanics'!$B$31:$B$51,D$1-'Underlying Mechanics'!$B$8+1)*'Underlying Mechanics'!$B$5))*(1-$A99))-IF(D$1=0,'Underlying Mechanics'!$B$23*(1-$B99),0)-IF(D$1&gt;0,'Underlying Mechanics'!$B$22*'Underlying Mechanics'!$B$17,0)-IF(D$1&gt;0,'Underlying Mechanics'!$B$12*'Underlying Mechanics'!$B$18,0)</x:f>
        <x:v>-22500</x:v>
      </x:c>
      <x:c r="E99" t="n">
        <x:f>((IF(E$1-'Underlying Mechanics'!$B$8&lt;0,0,'Underlying Mechanics'!$B$22*'Underlying Mechanics'!$B$15*INDEX('Underlying Mechanics'!$B$31:$B$51,E$1-'Underlying Mechanics'!$B$8+1)*'Underlying Mechanics'!$B$5))*(1-$A99))-IF(E$1=0,'Underlying Mechanics'!$B$23*(1-$B99),0)-IF(E$1&gt;0,'Underlying Mechanics'!$B$22*'Underlying Mechanics'!$B$17,0)-IF(E$1&gt;0,'Underlying Mechanics'!$B$12*'Underlying Mechanics'!$B$18,0)</x:f>
        <x:v>-22500</x:v>
      </x:c>
      <x:c r="F99" t="n">
        <x:f>((IF(F$1-'Underlying Mechanics'!$B$8&lt;0,0,'Underlying Mechanics'!$B$22*'Underlying Mechanics'!$B$15*INDEX('Underlying Mechanics'!$B$31:$B$51,F$1-'Underlying Mechanics'!$B$8+1)*'Underlying Mechanics'!$B$5))*(1-$A99))-IF(F$1=0,'Underlying Mechanics'!$B$23*(1-$B99),0)-IF(F$1&gt;0,'Underlying Mechanics'!$B$22*'Underlying Mechanics'!$B$17,0)-IF(F$1&gt;0,'Underlying Mechanics'!$B$12*'Underlying Mechanics'!$B$18,0)</x:f>
        <x:v>-21060</x:v>
      </x:c>
      <x:c r="G99" t="n">
        <x:f>((IF(G$1-'Underlying Mechanics'!$B$8&lt;0,0,'Underlying Mechanics'!$B$22*'Underlying Mechanics'!$B$15*INDEX('Underlying Mechanics'!$B$31:$B$51,G$1-'Underlying Mechanics'!$B$8+1)*'Underlying Mechanics'!$B$5))*(1-$A99))-IF(G$1=0,'Underlying Mechanics'!$B$23*(1-$B99),0)-IF(G$1&gt;0,'Underlying Mechanics'!$B$22*'Underlying Mechanics'!$B$17,0)-IF(G$1&gt;0,'Underlying Mechanics'!$B$12*'Underlying Mechanics'!$B$18,0)</x:f>
        <x:v>-18900</x:v>
      </x:c>
      <x:c r="H99" t="n">
        <x:f>((IF(H$1-'Underlying Mechanics'!$B$8&lt;0,0,'Underlying Mechanics'!$B$22*'Underlying Mechanics'!$B$15*INDEX('Underlying Mechanics'!$B$31:$B$51,H$1-'Underlying Mechanics'!$B$8+1)*'Underlying Mechanics'!$B$5))*(1-$A99))-IF(H$1=0,'Underlying Mechanics'!$B$23*(1-$B99),0)-IF(H$1&gt;0,'Underlying Mechanics'!$B$22*'Underlying Mechanics'!$B$17,0)-IF(H$1&gt;0,'Underlying Mechanics'!$B$12*'Underlying Mechanics'!$B$18,0)</x:f>
        <x:v>-15300</x:v>
      </x:c>
      <x:c r="I99" t="n">
        <x:f>((IF(I$1-'Underlying Mechanics'!$B$8&lt;0,0,'Underlying Mechanics'!$B$22*'Underlying Mechanics'!$B$15*INDEX('Underlying Mechanics'!$B$31:$B$51,I$1-'Underlying Mechanics'!$B$8+1)*'Underlying Mechanics'!$B$5))*(1-$A99))-IF(I$1=0,'Underlying Mechanics'!$B$23*(1-$B99),0)-IF(I$1&gt;0,'Underlying Mechanics'!$B$22*'Underlying Mechanics'!$B$17,0)-IF(I$1&gt;0,'Underlying Mechanics'!$B$12*'Underlying Mechanics'!$B$18,0)</x:f>
        <x:v>-9540</x:v>
      </x:c>
      <x:c r="J99" t="n">
        <x:f>((IF(J$1-'Underlying Mechanics'!$B$8&lt;0,0,'Underlying Mechanics'!$B$22*'Underlying Mechanics'!$B$15*INDEX('Underlying Mechanics'!$B$31:$B$51,J$1-'Underlying Mechanics'!$B$8+1)*'Underlying Mechanics'!$B$5))*(1-$A99))-IF(J$1=0,'Underlying Mechanics'!$B$23*(1-$B99),0)-IF(J$1&gt;0,'Underlying Mechanics'!$B$22*'Underlying Mechanics'!$B$17,0)-IF(J$1&gt;0,'Underlying Mechanics'!$B$12*'Underlying Mechanics'!$B$18,0)</x:f>
        <x:v>-2339.9999999999964</x:v>
      </x:c>
      <x:c r="K99" t="n">
        <x:f>((IF(K$1-'Underlying Mechanics'!$B$8&lt;0,0,'Underlying Mechanics'!$B$22*'Underlying Mechanics'!$B$15*INDEX('Underlying Mechanics'!$B$31:$B$51,K$1-'Underlying Mechanics'!$B$8+1)*'Underlying Mechanics'!$B$5))*(1-$A99))-IF(K$1=0,'Underlying Mechanics'!$B$23*(1-$B99),0)-IF(K$1&gt;0,'Underlying Mechanics'!$B$22*'Underlying Mechanics'!$B$17,0)-IF(K$1&gt;0,'Underlying Mechanics'!$B$12*'Underlying Mechanics'!$B$18,0)</x:f>
        <x:v>6300</x:v>
      </x:c>
      <x:c r="L99" t="n">
        <x:f>((IF(L$1-'Underlying Mechanics'!$B$8&lt;0,0,'Underlying Mechanics'!$B$22*'Underlying Mechanics'!$B$15*INDEX('Underlying Mechanics'!$B$31:$B$51,L$1-'Underlying Mechanics'!$B$8+1)*'Underlying Mechanics'!$B$5))*(1-$A99))-IF(L$1=0,'Underlying Mechanics'!$B$23*(1-$B99),0)-IF(L$1&gt;0,'Underlying Mechanics'!$B$22*'Underlying Mechanics'!$B$17,0)-IF(L$1&gt;0,'Underlying Mechanics'!$B$12*'Underlying Mechanics'!$B$18,0)</x:f>
        <x:v>16380</x:v>
      </x:c>
      <x:c r="M99" t="n">
        <x:f>((IF(M$1-'Underlying Mechanics'!$B$8&lt;0,0,'Underlying Mechanics'!$B$22*'Underlying Mechanics'!$B$15*INDEX('Underlying Mechanics'!$B$31:$B$51,M$1-'Underlying Mechanics'!$B$8+1)*'Underlying Mechanics'!$B$5))*(1-$A99))-IF(M$1=0,'Underlying Mechanics'!$B$23*(1-$B99),0)-IF(M$1&gt;0,'Underlying Mechanics'!$B$22*'Underlying Mechanics'!$B$17,0)-IF(M$1&gt;0,'Underlying Mechanics'!$B$12*'Underlying Mechanics'!$B$18,0)</x:f>
        <x:v>26460.000000000007</x:v>
      </x:c>
      <x:c r="N99" t="n">
        <x:f>((IF(N$1-'Underlying Mechanics'!$B$8&lt;0,0,'Underlying Mechanics'!$B$22*'Underlying Mechanics'!$B$15*INDEX('Underlying Mechanics'!$B$31:$B$51,N$1-'Underlying Mechanics'!$B$8+1)*'Underlying Mechanics'!$B$5))*(1-$A99))-IF(N$1=0,'Underlying Mechanics'!$B$23*(1-$B99),0)-IF(N$1&gt;0,'Underlying Mechanics'!$B$22*'Underlying Mechanics'!$B$17,0)-IF(N$1&gt;0,'Underlying Mechanics'!$B$12*'Underlying Mechanics'!$B$18,0)</x:f>
        <x:v>35100</x:v>
      </x:c>
      <x:c r="O99" t="n">
        <x:f>((IF(O$1-'Underlying Mechanics'!$B$8&lt;0,0,'Underlying Mechanics'!$B$22*'Underlying Mechanics'!$B$15*INDEX('Underlying Mechanics'!$B$31:$B$51,O$1-'Underlying Mechanics'!$B$8+1)*'Underlying Mechanics'!$B$5))*(1-$A99))-IF(O$1=0,'Underlying Mechanics'!$B$23*(1-$B99),0)-IF(O$1&gt;0,'Underlying Mechanics'!$B$22*'Underlying Mechanics'!$B$17,0)-IF(O$1&gt;0,'Underlying Mechanics'!$B$12*'Underlying Mechanics'!$B$18,0)</x:f>
        <x:v>42300</x:v>
      </x:c>
      <x:c r="P99" t="n">
        <x:f>((IF(P$1-'Underlying Mechanics'!$B$8&lt;0,0,'Underlying Mechanics'!$B$22*'Underlying Mechanics'!$B$15*INDEX('Underlying Mechanics'!$B$31:$B$51,P$1-'Underlying Mechanics'!$B$8+1)*'Underlying Mechanics'!$B$5))*(1-$A99))-IF(P$1=0,'Underlying Mechanics'!$B$23*(1-$B99),0)-IF(P$1&gt;0,'Underlying Mechanics'!$B$22*'Underlying Mechanics'!$B$17,0)-IF(P$1&gt;0,'Underlying Mechanics'!$B$12*'Underlying Mechanics'!$B$18,0)</x:f>
        <x:v>49500</x:v>
      </x:c>
      <x:c r="Q99" t="n">
        <x:f>((IF(Q$1-'Underlying Mechanics'!$B$8&lt;0,0,'Underlying Mechanics'!$B$22*'Underlying Mechanics'!$B$15*INDEX('Underlying Mechanics'!$B$31:$B$51,Q$1-'Underlying Mechanics'!$B$8+1)*'Underlying Mechanics'!$B$5))*(1-$A99))-IF(Q$1=0,'Underlying Mechanics'!$B$23*(1-$B99),0)-IF(Q$1&gt;0,'Underlying Mechanics'!$B$22*'Underlying Mechanics'!$B$17,0)-IF(Q$1&gt;0,'Underlying Mechanics'!$B$12*'Underlying Mechanics'!$B$18,0)</x:f>
        <x:v>49500</x:v>
      </x:c>
      <x:c r="R99" t="n">
        <x:f>((IF(R$1-'Underlying Mechanics'!$B$8&lt;0,0,'Underlying Mechanics'!$B$22*'Underlying Mechanics'!$B$15*INDEX('Underlying Mechanics'!$B$31:$B$51,R$1-'Underlying Mechanics'!$B$8+1)*'Underlying Mechanics'!$B$5))*(1-$A99))-IF(R$1=0,'Underlying Mechanics'!$B$23*(1-$B99),0)-IF(R$1&gt;0,'Underlying Mechanics'!$B$22*'Underlying Mechanics'!$B$17,0)-IF(R$1&gt;0,'Underlying Mechanics'!$B$12*'Underlying Mechanics'!$B$18,0)</x:f>
        <x:v>49500</x:v>
      </x:c>
      <x:c r="S99" t="n">
        <x:f>((IF(S$1-'Underlying Mechanics'!$B$8&lt;0,0,'Underlying Mechanics'!$B$22*'Underlying Mechanics'!$B$15*INDEX('Underlying Mechanics'!$B$31:$B$51,S$1-'Underlying Mechanics'!$B$8+1)*'Underlying Mechanics'!$B$5))*(1-$A99))-IF(S$1=0,'Underlying Mechanics'!$B$23*(1-$B99),0)-IF(S$1&gt;0,'Underlying Mechanics'!$B$22*'Underlying Mechanics'!$B$17,0)-IF(S$1&gt;0,'Underlying Mechanics'!$B$12*'Underlying Mechanics'!$B$18,0)</x:f>
        <x:v>49500</x:v>
      </x:c>
      <x:c r="T99" t="n">
        <x:f>((IF(T$1-'Underlying Mechanics'!$B$8&lt;0,0,'Underlying Mechanics'!$B$22*'Underlying Mechanics'!$B$15*INDEX('Underlying Mechanics'!$B$31:$B$51,T$1-'Underlying Mechanics'!$B$8+1)*'Underlying Mechanics'!$B$5))*(1-$A99))-IF(T$1=0,'Underlying Mechanics'!$B$23*(1-$B99),0)-IF(T$1&gt;0,'Underlying Mechanics'!$B$22*'Underlying Mechanics'!$B$17,0)-IF(T$1&gt;0,'Underlying Mechanics'!$B$12*'Underlying Mechanics'!$B$18,0)</x:f>
        <x:v>49500</x:v>
      </x:c>
      <x:c r="U99" t="n">
        <x:f>((IF(U$1-'Underlying Mechanics'!$B$8&lt;0,0,'Underlying Mechanics'!$B$22*'Underlying Mechanics'!$B$15*INDEX('Underlying Mechanics'!$B$31:$B$51,U$1-'Underlying Mechanics'!$B$8+1)*'Underlying Mechanics'!$B$5))*(1-$A99))-IF(U$1=0,'Underlying Mechanics'!$B$23*(1-$B99),0)-IF(U$1&gt;0,'Underlying Mechanics'!$B$22*'Underlying Mechanics'!$B$17,0)-IF(U$1&gt;0,'Underlying Mechanics'!$B$12*'Underlying Mechanics'!$B$18,0)</x:f>
        <x:v>49500</x:v>
      </x:c>
      <x:c r="V99" t="n">
        <x:f>((IF(V$1-'Underlying Mechanics'!$B$8&lt;0,0,'Underlying Mechanics'!$B$22*'Underlying Mechanics'!$B$15*INDEX('Underlying Mechanics'!$B$31:$B$51,V$1-'Underlying Mechanics'!$B$8+1)*'Underlying Mechanics'!$B$5))*(1-$A99))-IF(V$1=0,'Underlying Mechanics'!$B$23*(1-$B99),0)-IF(V$1&gt;0,'Underlying Mechanics'!$B$22*'Underlying Mechanics'!$B$17,0)-IF(V$1&gt;0,'Underlying Mechanics'!$B$12*'Underlying Mechanics'!$B$18,0)</x:f>
        <x:v>49500</x:v>
      </x:c>
      <x:c r="W99" t="n">
        <x:f>((IF(W$1-'Underlying Mechanics'!$B$8&lt;0,0,'Underlying Mechanics'!$B$22*'Underlying Mechanics'!$B$15*INDEX('Underlying Mechanics'!$B$31:$B$51,W$1-'Underlying Mechanics'!$B$8+1)*'Underlying Mechanics'!$B$5))*(1-$A99))-IF(W$1=0,'Underlying Mechanics'!$B$23*(1-$B99),0)-IF(W$1&gt;0,'Underlying Mechanics'!$B$22*'Underlying Mechanics'!$B$17,0)-IF(W$1&gt;0,'Underlying Mechanics'!$B$12*'Underlying Mechanics'!$B$18,0)</x:f>
        <x:v>49500</x:v>
      </x:c>
      <x:c r="X99" t="n">
        <x:f>IFERROR(IRR(C99:W99),-1)</x:f>
        <x:v>0.09574198169125332</x:v>
      </x:c>
    </x:row>
    <x:row r="100">
      <x:c r="A100" t="n">
        <x:v>0.4</x:v>
      </x:c>
      <x:c r="B100" t="n">
        <x:v>0.7</x:v>
      </x:c>
      <x:c r="C100" t="n">
        <x:f>((IF(C$1-'Underlying Mechanics'!$B$8&lt;0,0,'Underlying Mechanics'!$B$22*'Underlying Mechanics'!$B$15*INDEX('Underlying Mechanics'!$B$31:$B$51,C$1-'Underlying Mechanics'!$B$8+1)*'Underlying Mechanics'!$B$5))*(1-$A100))-IF(C$1=0,'Underlying Mechanics'!$B$23*(1-$B100),0)-IF(C$1&gt;0,'Underlying Mechanics'!$B$22*'Underlying Mechanics'!$B$17,0)-IF(C$1&gt;0,'Underlying Mechanics'!$B$12*'Underlying Mechanics'!$B$18,0)</x:f>
        <x:v>-45000.00000000001</x:v>
      </x:c>
      <x:c r="D100" t="n">
        <x:f>((IF(D$1-'Underlying Mechanics'!$B$8&lt;0,0,'Underlying Mechanics'!$B$22*'Underlying Mechanics'!$B$15*INDEX('Underlying Mechanics'!$B$31:$B$51,D$1-'Underlying Mechanics'!$B$8+1)*'Underlying Mechanics'!$B$5))*(1-$A100))-IF(D$1=0,'Underlying Mechanics'!$B$23*(1-$B100),0)-IF(D$1&gt;0,'Underlying Mechanics'!$B$22*'Underlying Mechanics'!$B$17,0)-IF(D$1&gt;0,'Underlying Mechanics'!$B$12*'Underlying Mechanics'!$B$18,0)</x:f>
        <x:v>-22500</x:v>
      </x:c>
      <x:c r="E100" t="n">
        <x:f>((IF(E$1-'Underlying Mechanics'!$B$8&lt;0,0,'Underlying Mechanics'!$B$22*'Underlying Mechanics'!$B$15*INDEX('Underlying Mechanics'!$B$31:$B$51,E$1-'Underlying Mechanics'!$B$8+1)*'Underlying Mechanics'!$B$5))*(1-$A100))-IF(E$1=0,'Underlying Mechanics'!$B$23*(1-$B100),0)-IF(E$1&gt;0,'Underlying Mechanics'!$B$22*'Underlying Mechanics'!$B$17,0)-IF(E$1&gt;0,'Underlying Mechanics'!$B$12*'Underlying Mechanics'!$B$18,0)</x:f>
        <x:v>-22500</x:v>
      </x:c>
      <x:c r="F100" t="n">
        <x:f>((IF(F$1-'Underlying Mechanics'!$B$8&lt;0,0,'Underlying Mechanics'!$B$22*'Underlying Mechanics'!$B$15*INDEX('Underlying Mechanics'!$B$31:$B$51,F$1-'Underlying Mechanics'!$B$8+1)*'Underlying Mechanics'!$B$5))*(1-$A100))-IF(F$1=0,'Underlying Mechanics'!$B$23*(1-$B100),0)-IF(F$1&gt;0,'Underlying Mechanics'!$B$22*'Underlying Mechanics'!$B$17,0)-IF(F$1&gt;0,'Underlying Mechanics'!$B$12*'Underlying Mechanics'!$B$18,0)</x:f>
        <x:v>-21060</x:v>
      </x:c>
      <x:c r="G100" t="n">
        <x:f>((IF(G$1-'Underlying Mechanics'!$B$8&lt;0,0,'Underlying Mechanics'!$B$22*'Underlying Mechanics'!$B$15*INDEX('Underlying Mechanics'!$B$31:$B$51,G$1-'Underlying Mechanics'!$B$8+1)*'Underlying Mechanics'!$B$5))*(1-$A100))-IF(G$1=0,'Underlying Mechanics'!$B$23*(1-$B100),0)-IF(G$1&gt;0,'Underlying Mechanics'!$B$22*'Underlying Mechanics'!$B$17,0)-IF(G$1&gt;0,'Underlying Mechanics'!$B$12*'Underlying Mechanics'!$B$18,0)</x:f>
        <x:v>-18900</x:v>
      </x:c>
      <x:c r="H100" t="n">
        <x:f>((IF(H$1-'Underlying Mechanics'!$B$8&lt;0,0,'Underlying Mechanics'!$B$22*'Underlying Mechanics'!$B$15*INDEX('Underlying Mechanics'!$B$31:$B$51,H$1-'Underlying Mechanics'!$B$8+1)*'Underlying Mechanics'!$B$5))*(1-$A100))-IF(H$1=0,'Underlying Mechanics'!$B$23*(1-$B100),0)-IF(H$1&gt;0,'Underlying Mechanics'!$B$22*'Underlying Mechanics'!$B$17,0)-IF(H$1&gt;0,'Underlying Mechanics'!$B$12*'Underlying Mechanics'!$B$18,0)</x:f>
        <x:v>-15300</x:v>
      </x:c>
      <x:c r="I100" t="n">
        <x:f>((IF(I$1-'Underlying Mechanics'!$B$8&lt;0,0,'Underlying Mechanics'!$B$22*'Underlying Mechanics'!$B$15*INDEX('Underlying Mechanics'!$B$31:$B$51,I$1-'Underlying Mechanics'!$B$8+1)*'Underlying Mechanics'!$B$5))*(1-$A100))-IF(I$1=0,'Underlying Mechanics'!$B$23*(1-$B100),0)-IF(I$1&gt;0,'Underlying Mechanics'!$B$22*'Underlying Mechanics'!$B$17,0)-IF(I$1&gt;0,'Underlying Mechanics'!$B$12*'Underlying Mechanics'!$B$18,0)</x:f>
        <x:v>-9540</x:v>
      </x:c>
      <x:c r="J100" t="n">
        <x:f>((IF(J$1-'Underlying Mechanics'!$B$8&lt;0,0,'Underlying Mechanics'!$B$22*'Underlying Mechanics'!$B$15*INDEX('Underlying Mechanics'!$B$31:$B$51,J$1-'Underlying Mechanics'!$B$8+1)*'Underlying Mechanics'!$B$5))*(1-$A100))-IF(J$1=0,'Underlying Mechanics'!$B$23*(1-$B100),0)-IF(J$1&gt;0,'Underlying Mechanics'!$B$22*'Underlying Mechanics'!$B$17,0)-IF(J$1&gt;0,'Underlying Mechanics'!$B$12*'Underlying Mechanics'!$B$18,0)</x:f>
        <x:v>-2339.9999999999964</x:v>
      </x:c>
      <x:c r="K100" t="n">
        <x:f>((IF(K$1-'Underlying Mechanics'!$B$8&lt;0,0,'Underlying Mechanics'!$B$22*'Underlying Mechanics'!$B$15*INDEX('Underlying Mechanics'!$B$31:$B$51,K$1-'Underlying Mechanics'!$B$8+1)*'Underlying Mechanics'!$B$5))*(1-$A100))-IF(K$1=0,'Underlying Mechanics'!$B$23*(1-$B100),0)-IF(K$1&gt;0,'Underlying Mechanics'!$B$22*'Underlying Mechanics'!$B$17,0)-IF(K$1&gt;0,'Underlying Mechanics'!$B$12*'Underlying Mechanics'!$B$18,0)</x:f>
        <x:v>6300</x:v>
      </x:c>
      <x:c r="L100" t="n">
        <x:f>((IF(L$1-'Underlying Mechanics'!$B$8&lt;0,0,'Underlying Mechanics'!$B$22*'Underlying Mechanics'!$B$15*INDEX('Underlying Mechanics'!$B$31:$B$51,L$1-'Underlying Mechanics'!$B$8+1)*'Underlying Mechanics'!$B$5))*(1-$A100))-IF(L$1=0,'Underlying Mechanics'!$B$23*(1-$B100),0)-IF(L$1&gt;0,'Underlying Mechanics'!$B$22*'Underlying Mechanics'!$B$17,0)-IF(L$1&gt;0,'Underlying Mechanics'!$B$12*'Underlying Mechanics'!$B$18,0)</x:f>
        <x:v>16380</x:v>
      </x:c>
      <x:c r="M100" t="n">
        <x:f>((IF(M$1-'Underlying Mechanics'!$B$8&lt;0,0,'Underlying Mechanics'!$B$22*'Underlying Mechanics'!$B$15*INDEX('Underlying Mechanics'!$B$31:$B$51,M$1-'Underlying Mechanics'!$B$8+1)*'Underlying Mechanics'!$B$5))*(1-$A100))-IF(M$1=0,'Underlying Mechanics'!$B$23*(1-$B100),0)-IF(M$1&gt;0,'Underlying Mechanics'!$B$22*'Underlying Mechanics'!$B$17,0)-IF(M$1&gt;0,'Underlying Mechanics'!$B$12*'Underlying Mechanics'!$B$18,0)</x:f>
        <x:v>26460.000000000007</x:v>
      </x:c>
      <x:c r="N100" t="n">
        <x:f>((IF(N$1-'Underlying Mechanics'!$B$8&lt;0,0,'Underlying Mechanics'!$B$22*'Underlying Mechanics'!$B$15*INDEX('Underlying Mechanics'!$B$31:$B$51,N$1-'Underlying Mechanics'!$B$8+1)*'Underlying Mechanics'!$B$5))*(1-$A100))-IF(N$1=0,'Underlying Mechanics'!$B$23*(1-$B100),0)-IF(N$1&gt;0,'Underlying Mechanics'!$B$22*'Underlying Mechanics'!$B$17,0)-IF(N$1&gt;0,'Underlying Mechanics'!$B$12*'Underlying Mechanics'!$B$18,0)</x:f>
        <x:v>35100</x:v>
      </x:c>
      <x:c r="O100" t="n">
        <x:f>((IF(O$1-'Underlying Mechanics'!$B$8&lt;0,0,'Underlying Mechanics'!$B$22*'Underlying Mechanics'!$B$15*INDEX('Underlying Mechanics'!$B$31:$B$51,O$1-'Underlying Mechanics'!$B$8+1)*'Underlying Mechanics'!$B$5))*(1-$A100))-IF(O$1=0,'Underlying Mechanics'!$B$23*(1-$B100),0)-IF(O$1&gt;0,'Underlying Mechanics'!$B$22*'Underlying Mechanics'!$B$17,0)-IF(O$1&gt;0,'Underlying Mechanics'!$B$12*'Underlying Mechanics'!$B$18,0)</x:f>
        <x:v>42300</x:v>
      </x:c>
      <x:c r="P100" t="n">
        <x:f>((IF(P$1-'Underlying Mechanics'!$B$8&lt;0,0,'Underlying Mechanics'!$B$22*'Underlying Mechanics'!$B$15*INDEX('Underlying Mechanics'!$B$31:$B$51,P$1-'Underlying Mechanics'!$B$8+1)*'Underlying Mechanics'!$B$5))*(1-$A100))-IF(P$1=0,'Underlying Mechanics'!$B$23*(1-$B100),0)-IF(P$1&gt;0,'Underlying Mechanics'!$B$22*'Underlying Mechanics'!$B$17,0)-IF(P$1&gt;0,'Underlying Mechanics'!$B$12*'Underlying Mechanics'!$B$18,0)</x:f>
        <x:v>49500</x:v>
      </x:c>
      <x:c r="Q100" t="n">
        <x:f>((IF(Q$1-'Underlying Mechanics'!$B$8&lt;0,0,'Underlying Mechanics'!$B$22*'Underlying Mechanics'!$B$15*INDEX('Underlying Mechanics'!$B$31:$B$51,Q$1-'Underlying Mechanics'!$B$8+1)*'Underlying Mechanics'!$B$5))*(1-$A100))-IF(Q$1=0,'Underlying Mechanics'!$B$23*(1-$B100),0)-IF(Q$1&gt;0,'Underlying Mechanics'!$B$22*'Underlying Mechanics'!$B$17,0)-IF(Q$1&gt;0,'Underlying Mechanics'!$B$12*'Underlying Mechanics'!$B$18,0)</x:f>
        <x:v>49500</x:v>
      </x:c>
      <x:c r="R100" t="n">
        <x:f>((IF(R$1-'Underlying Mechanics'!$B$8&lt;0,0,'Underlying Mechanics'!$B$22*'Underlying Mechanics'!$B$15*INDEX('Underlying Mechanics'!$B$31:$B$51,R$1-'Underlying Mechanics'!$B$8+1)*'Underlying Mechanics'!$B$5))*(1-$A100))-IF(R$1=0,'Underlying Mechanics'!$B$23*(1-$B100),0)-IF(R$1&gt;0,'Underlying Mechanics'!$B$22*'Underlying Mechanics'!$B$17,0)-IF(R$1&gt;0,'Underlying Mechanics'!$B$12*'Underlying Mechanics'!$B$18,0)</x:f>
        <x:v>49500</x:v>
      </x:c>
      <x:c r="S100" t="n">
        <x:f>((IF(S$1-'Underlying Mechanics'!$B$8&lt;0,0,'Underlying Mechanics'!$B$22*'Underlying Mechanics'!$B$15*INDEX('Underlying Mechanics'!$B$31:$B$51,S$1-'Underlying Mechanics'!$B$8+1)*'Underlying Mechanics'!$B$5))*(1-$A100))-IF(S$1=0,'Underlying Mechanics'!$B$23*(1-$B100),0)-IF(S$1&gt;0,'Underlying Mechanics'!$B$22*'Underlying Mechanics'!$B$17,0)-IF(S$1&gt;0,'Underlying Mechanics'!$B$12*'Underlying Mechanics'!$B$18,0)</x:f>
        <x:v>49500</x:v>
      </x:c>
      <x:c r="T100" t="n">
        <x:f>((IF(T$1-'Underlying Mechanics'!$B$8&lt;0,0,'Underlying Mechanics'!$B$22*'Underlying Mechanics'!$B$15*INDEX('Underlying Mechanics'!$B$31:$B$51,T$1-'Underlying Mechanics'!$B$8+1)*'Underlying Mechanics'!$B$5))*(1-$A100))-IF(T$1=0,'Underlying Mechanics'!$B$23*(1-$B100),0)-IF(T$1&gt;0,'Underlying Mechanics'!$B$22*'Underlying Mechanics'!$B$17,0)-IF(T$1&gt;0,'Underlying Mechanics'!$B$12*'Underlying Mechanics'!$B$18,0)</x:f>
        <x:v>49500</x:v>
      </x:c>
      <x:c r="U100" t="n">
        <x:f>((IF(U$1-'Underlying Mechanics'!$B$8&lt;0,0,'Underlying Mechanics'!$B$22*'Underlying Mechanics'!$B$15*INDEX('Underlying Mechanics'!$B$31:$B$51,U$1-'Underlying Mechanics'!$B$8+1)*'Underlying Mechanics'!$B$5))*(1-$A100))-IF(U$1=0,'Underlying Mechanics'!$B$23*(1-$B100),0)-IF(U$1&gt;0,'Underlying Mechanics'!$B$22*'Underlying Mechanics'!$B$17,0)-IF(U$1&gt;0,'Underlying Mechanics'!$B$12*'Underlying Mechanics'!$B$18,0)</x:f>
        <x:v>49500</x:v>
      </x:c>
      <x:c r="V100" t="n">
        <x:f>((IF(V$1-'Underlying Mechanics'!$B$8&lt;0,0,'Underlying Mechanics'!$B$22*'Underlying Mechanics'!$B$15*INDEX('Underlying Mechanics'!$B$31:$B$51,V$1-'Underlying Mechanics'!$B$8+1)*'Underlying Mechanics'!$B$5))*(1-$A100))-IF(V$1=0,'Underlying Mechanics'!$B$23*(1-$B100),0)-IF(V$1&gt;0,'Underlying Mechanics'!$B$22*'Underlying Mechanics'!$B$17,0)-IF(V$1&gt;0,'Underlying Mechanics'!$B$12*'Underlying Mechanics'!$B$18,0)</x:f>
        <x:v>49500</x:v>
      </x:c>
      <x:c r="W100" t="n">
        <x:f>((IF(W$1-'Underlying Mechanics'!$B$8&lt;0,0,'Underlying Mechanics'!$B$22*'Underlying Mechanics'!$B$15*INDEX('Underlying Mechanics'!$B$31:$B$51,W$1-'Underlying Mechanics'!$B$8+1)*'Underlying Mechanics'!$B$5))*(1-$A100))-IF(W$1=0,'Underlying Mechanics'!$B$23*(1-$B100),0)-IF(W$1&gt;0,'Underlying Mechanics'!$B$22*'Underlying Mechanics'!$B$17,0)-IF(W$1&gt;0,'Underlying Mechanics'!$B$12*'Underlying Mechanics'!$B$18,0)</x:f>
        <x:v>49500</x:v>
      </x:c>
      <x:c r="X100" t="n">
        <x:f>IFERROR(IRR(C100:W100),-1)</x:f>
        <x:v>0.10079813890782771</x:v>
      </x:c>
    </x:row>
    <x:row r="101">
      <x:c r="A101" t="n">
        <x:v>0.4</x:v>
      </x:c>
      <x:c r="B101" t="n">
        <x:v>0.75</x:v>
      </x:c>
      <x:c r="C101" t="n">
        <x:f>((IF(C$1-'Underlying Mechanics'!$B$8&lt;0,0,'Underlying Mechanics'!$B$22*'Underlying Mechanics'!$B$15*INDEX('Underlying Mechanics'!$B$31:$B$51,C$1-'Underlying Mechanics'!$B$8+1)*'Underlying Mechanics'!$B$5))*(1-$A101))-IF(C$1=0,'Underlying Mechanics'!$B$23*(1-$B101),0)-IF(C$1&gt;0,'Underlying Mechanics'!$B$22*'Underlying Mechanics'!$B$17,0)-IF(C$1&gt;0,'Underlying Mechanics'!$B$12*'Underlying Mechanics'!$B$18,0)</x:f>
        <x:v>-37500</x:v>
      </x:c>
      <x:c r="D101" t="n">
        <x:f>((IF(D$1-'Underlying Mechanics'!$B$8&lt;0,0,'Underlying Mechanics'!$B$22*'Underlying Mechanics'!$B$15*INDEX('Underlying Mechanics'!$B$31:$B$51,D$1-'Underlying Mechanics'!$B$8+1)*'Underlying Mechanics'!$B$5))*(1-$A101))-IF(D$1=0,'Underlying Mechanics'!$B$23*(1-$B101),0)-IF(D$1&gt;0,'Underlying Mechanics'!$B$22*'Underlying Mechanics'!$B$17,0)-IF(D$1&gt;0,'Underlying Mechanics'!$B$12*'Underlying Mechanics'!$B$18,0)</x:f>
        <x:v>-22500</x:v>
      </x:c>
      <x:c r="E101" t="n">
        <x:f>((IF(E$1-'Underlying Mechanics'!$B$8&lt;0,0,'Underlying Mechanics'!$B$22*'Underlying Mechanics'!$B$15*INDEX('Underlying Mechanics'!$B$31:$B$51,E$1-'Underlying Mechanics'!$B$8+1)*'Underlying Mechanics'!$B$5))*(1-$A101))-IF(E$1=0,'Underlying Mechanics'!$B$23*(1-$B101),0)-IF(E$1&gt;0,'Underlying Mechanics'!$B$22*'Underlying Mechanics'!$B$17,0)-IF(E$1&gt;0,'Underlying Mechanics'!$B$12*'Underlying Mechanics'!$B$18,0)</x:f>
        <x:v>-22500</x:v>
      </x:c>
      <x:c r="F101" t="n">
        <x:f>((IF(F$1-'Underlying Mechanics'!$B$8&lt;0,0,'Underlying Mechanics'!$B$22*'Underlying Mechanics'!$B$15*INDEX('Underlying Mechanics'!$B$31:$B$51,F$1-'Underlying Mechanics'!$B$8+1)*'Underlying Mechanics'!$B$5))*(1-$A101))-IF(F$1=0,'Underlying Mechanics'!$B$23*(1-$B101),0)-IF(F$1&gt;0,'Underlying Mechanics'!$B$22*'Underlying Mechanics'!$B$17,0)-IF(F$1&gt;0,'Underlying Mechanics'!$B$12*'Underlying Mechanics'!$B$18,0)</x:f>
        <x:v>-21060</x:v>
      </x:c>
      <x:c r="G101" t="n">
        <x:f>((IF(G$1-'Underlying Mechanics'!$B$8&lt;0,0,'Underlying Mechanics'!$B$22*'Underlying Mechanics'!$B$15*INDEX('Underlying Mechanics'!$B$31:$B$51,G$1-'Underlying Mechanics'!$B$8+1)*'Underlying Mechanics'!$B$5))*(1-$A101))-IF(G$1=0,'Underlying Mechanics'!$B$23*(1-$B101),0)-IF(G$1&gt;0,'Underlying Mechanics'!$B$22*'Underlying Mechanics'!$B$17,0)-IF(G$1&gt;0,'Underlying Mechanics'!$B$12*'Underlying Mechanics'!$B$18,0)</x:f>
        <x:v>-18900</x:v>
      </x:c>
      <x:c r="H101" t="n">
        <x:f>((IF(H$1-'Underlying Mechanics'!$B$8&lt;0,0,'Underlying Mechanics'!$B$22*'Underlying Mechanics'!$B$15*INDEX('Underlying Mechanics'!$B$31:$B$51,H$1-'Underlying Mechanics'!$B$8+1)*'Underlying Mechanics'!$B$5))*(1-$A101))-IF(H$1=0,'Underlying Mechanics'!$B$23*(1-$B101),0)-IF(H$1&gt;0,'Underlying Mechanics'!$B$22*'Underlying Mechanics'!$B$17,0)-IF(H$1&gt;0,'Underlying Mechanics'!$B$12*'Underlying Mechanics'!$B$18,0)</x:f>
        <x:v>-15300</x:v>
      </x:c>
      <x:c r="I101" t="n">
        <x:f>((IF(I$1-'Underlying Mechanics'!$B$8&lt;0,0,'Underlying Mechanics'!$B$22*'Underlying Mechanics'!$B$15*INDEX('Underlying Mechanics'!$B$31:$B$51,I$1-'Underlying Mechanics'!$B$8+1)*'Underlying Mechanics'!$B$5))*(1-$A101))-IF(I$1=0,'Underlying Mechanics'!$B$23*(1-$B101),0)-IF(I$1&gt;0,'Underlying Mechanics'!$B$22*'Underlying Mechanics'!$B$17,0)-IF(I$1&gt;0,'Underlying Mechanics'!$B$12*'Underlying Mechanics'!$B$18,0)</x:f>
        <x:v>-9540</x:v>
      </x:c>
      <x:c r="J101" t="n">
        <x:f>((IF(J$1-'Underlying Mechanics'!$B$8&lt;0,0,'Underlying Mechanics'!$B$22*'Underlying Mechanics'!$B$15*INDEX('Underlying Mechanics'!$B$31:$B$51,J$1-'Underlying Mechanics'!$B$8+1)*'Underlying Mechanics'!$B$5))*(1-$A101))-IF(J$1=0,'Underlying Mechanics'!$B$23*(1-$B101),0)-IF(J$1&gt;0,'Underlying Mechanics'!$B$22*'Underlying Mechanics'!$B$17,0)-IF(J$1&gt;0,'Underlying Mechanics'!$B$12*'Underlying Mechanics'!$B$18,0)</x:f>
        <x:v>-2339.9999999999964</x:v>
      </x:c>
      <x:c r="K101" t="n">
        <x:f>((IF(K$1-'Underlying Mechanics'!$B$8&lt;0,0,'Underlying Mechanics'!$B$22*'Underlying Mechanics'!$B$15*INDEX('Underlying Mechanics'!$B$31:$B$51,K$1-'Underlying Mechanics'!$B$8+1)*'Underlying Mechanics'!$B$5))*(1-$A101))-IF(K$1=0,'Underlying Mechanics'!$B$23*(1-$B101),0)-IF(K$1&gt;0,'Underlying Mechanics'!$B$22*'Underlying Mechanics'!$B$17,0)-IF(K$1&gt;0,'Underlying Mechanics'!$B$12*'Underlying Mechanics'!$B$18,0)</x:f>
        <x:v>6300</x:v>
      </x:c>
      <x:c r="L101" t="n">
        <x:f>((IF(L$1-'Underlying Mechanics'!$B$8&lt;0,0,'Underlying Mechanics'!$B$22*'Underlying Mechanics'!$B$15*INDEX('Underlying Mechanics'!$B$31:$B$51,L$1-'Underlying Mechanics'!$B$8+1)*'Underlying Mechanics'!$B$5))*(1-$A101))-IF(L$1=0,'Underlying Mechanics'!$B$23*(1-$B101),0)-IF(L$1&gt;0,'Underlying Mechanics'!$B$22*'Underlying Mechanics'!$B$17,0)-IF(L$1&gt;0,'Underlying Mechanics'!$B$12*'Underlying Mechanics'!$B$18,0)</x:f>
        <x:v>16380</x:v>
      </x:c>
      <x:c r="M101" t="n">
        <x:f>((IF(M$1-'Underlying Mechanics'!$B$8&lt;0,0,'Underlying Mechanics'!$B$22*'Underlying Mechanics'!$B$15*INDEX('Underlying Mechanics'!$B$31:$B$51,M$1-'Underlying Mechanics'!$B$8+1)*'Underlying Mechanics'!$B$5))*(1-$A101))-IF(M$1=0,'Underlying Mechanics'!$B$23*(1-$B101),0)-IF(M$1&gt;0,'Underlying Mechanics'!$B$22*'Underlying Mechanics'!$B$17,0)-IF(M$1&gt;0,'Underlying Mechanics'!$B$12*'Underlying Mechanics'!$B$18,0)</x:f>
        <x:v>26460.000000000007</x:v>
      </x:c>
      <x:c r="N101" t="n">
        <x:f>((IF(N$1-'Underlying Mechanics'!$B$8&lt;0,0,'Underlying Mechanics'!$B$22*'Underlying Mechanics'!$B$15*INDEX('Underlying Mechanics'!$B$31:$B$51,N$1-'Underlying Mechanics'!$B$8+1)*'Underlying Mechanics'!$B$5))*(1-$A101))-IF(N$1=0,'Underlying Mechanics'!$B$23*(1-$B101),0)-IF(N$1&gt;0,'Underlying Mechanics'!$B$22*'Underlying Mechanics'!$B$17,0)-IF(N$1&gt;0,'Underlying Mechanics'!$B$12*'Underlying Mechanics'!$B$18,0)</x:f>
        <x:v>35100</x:v>
      </x:c>
      <x:c r="O101" t="n">
        <x:f>((IF(O$1-'Underlying Mechanics'!$B$8&lt;0,0,'Underlying Mechanics'!$B$22*'Underlying Mechanics'!$B$15*INDEX('Underlying Mechanics'!$B$31:$B$51,O$1-'Underlying Mechanics'!$B$8+1)*'Underlying Mechanics'!$B$5))*(1-$A101))-IF(O$1=0,'Underlying Mechanics'!$B$23*(1-$B101),0)-IF(O$1&gt;0,'Underlying Mechanics'!$B$22*'Underlying Mechanics'!$B$17,0)-IF(O$1&gt;0,'Underlying Mechanics'!$B$12*'Underlying Mechanics'!$B$18,0)</x:f>
        <x:v>42300</x:v>
      </x:c>
      <x:c r="P101" t="n">
        <x:f>((IF(P$1-'Underlying Mechanics'!$B$8&lt;0,0,'Underlying Mechanics'!$B$22*'Underlying Mechanics'!$B$15*INDEX('Underlying Mechanics'!$B$31:$B$51,P$1-'Underlying Mechanics'!$B$8+1)*'Underlying Mechanics'!$B$5))*(1-$A101))-IF(P$1=0,'Underlying Mechanics'!$B$23*(1-$B101),0)-IF(P$1&gt;0,'Underlying Mechanics'!$B$22*'Underlying Mechanics'!$B$17,0)-IF(P$1&gt;0,'Underlying Mechanics'!$B$12*'Underlying Mechanics'!$B$18,0)</x:f>
        <x:v>49500</x:v>
      </x:c>
      <x:c r="Q101" t="n">
        <x:f>((IF(Q$1-'Underlying Mechanics'!$B$8&lt;0,0,'Underlying Mechanics'!$B$22*'Underlying Mechanics'!$B$15*INDEX('Underlying Mechanics'!$B$31:$B$51,Q$1-'Underlying Mechanics'!$B$8+1)*'Underlying Mechanics'!$B$5))*(1-$A101))-IF(Q$1=0,'Underlying Mechanics'!$B$23*(1-$B101),0)-IF(Q$1&gt;0,'Underlying Mechanics'!$B$22*'Underlying Mechanics'!$B$17,0)-IF(Q$1&gt;0,'Underlying Mechanics'!$B$12*'Underlying Mechanics'!$B$18,0)</x:f>
        <x:v>49500</x:v>
      </x:c>
      <x:c r="R101" t="n">
        <x:f>((IF(R$1-'Underlying Mechanics'!$B$8&lt;0,0,'Underlying Mechanics'!$B$22*'Underlying Mechanics'!$B$15*INDEX('Underlying Mechanics'!$B$31:$B$51,R$1-'Underlying Mechanics'!$B$8+1)*'Underlying Mechanics'!$B$5))*(1-$A101))-IF(R$1=0,'Underlying Mechanics'!$B$23*(1-$B101),0)-IF(R$1&gt;0,'Underlying Mechanics'!$B$22*'Underlying Mechanics'!$B$17,0)-IF(R$1&gt;0,'Underlying Mechanics'!$B$12*'Underlying Mechanics'!$B$18,0)</x:f>
        <x:v>49500</x:v>
      </x:c>
      <x:c r="S101" t="n">
        <x:f>((IF(S$1-'Underlying Mechanics'!$B$8&lt;0,0,'Underlying Mechanics'!$B$22*'Underlying Mechanics'!$B$15*INDEX('Underlying Mechanics'!$B$31:$B$51,S$1-'Underlying Mechanics'!$B$8+1)*'Underlying Mechanics'!$B$5))*(1-$A101))-IF(S$1=0,'Underlying Mechanics'!$B$23*(1-$B101),0)-IF(S$1&gt;0,'Underlying Mechanics'!$B$22*'Underlying Mechanics'!$B$17,0)-IF(S$1&gt;0,'Underlying Mechanics'!$B$12*'Underlying Mechanics'!$B$18,0)</x:f>
        <x:v>49500</x:v>
      </x:c>
      <x:c r="T101" t="n">
        <x:f>((IF(T$1-'Underlying Mechanics'!$B$8&lt;0,0,'Underlying Mechanics'!$B$22*'Underlying Mechanics'!$B$15*INDEX('Underlying Mechanics'!$B$31:$B$51,T$1-'Underlying Mechanics'!$B$8+1)*'Underlying Mechanics'!$B$5))*(1-$A101))-IF(T$1=0,'Underlying Mechanics'!$B$23*(1-$B101),0)-IF(T$1&gt;0,'Underlying Mechanics'!$B$22*'Underlying Mechanics'!$B$17,0)-IF(T$1&gt;0,'Underlying Mechanics'!$B$12*'Underlying Mechanics'!$B$18,0)</x:f>
        <x:v>49500</x:v>
      </x:c>
      <x:c r="U101" t="n">
        <x:f>((IF(U$1-'Underlying Mechanics'!$B$8&lt;0,0,'Underlying Mechanics'!$B$22*'Underlying Mechanics'!$B$15*INDEX('Underlying Mechanics'!$B$31:$B$51,U$1-'Underlying Mechanics'!$B$8+1)*'Underlying Mechanics'!$B$5))*(1-$A101))-IF(U$1=0,'Underlying Mechanics'!$B$23*(1-$B101),0)-IF(U$1&gt;0,'Underlying Mechanics'!$B$22*'Underlying Mechanics'!$B$17,0)-IF(U$1&gt;0,'Underlying Mechanics'!$B$12*'Underlying Mechanics'!$B$18,0)</x:f>
        <x:v>49500</x:v>
      </x:c>
      <x:c r="V101" t="n">
        <x:f>((IF(V$1-'Underlying Mechanics'!$B$8&lt;0,0,'Underlying Mechanics'!$B$22*'Underlying Mechanics'!$B$15*INDEX('Underlying Mechanics'!$B$31:$B$51,V$1-'Underlying Mechanics'!$B$8+1)*'Underlying Mechanics'!$B$5))*(1-$A101))-IF(V$1=0,'Underlying Mechanics'!$B$23*(1-$B101),0)-IF(V$1&gt;0,'Underlying Mechanics'!$B$22*'Underlying Mechanics'!$B$17,0)-IF(V$1&gt;0,'Underlying Mechanics'!$B$12*'Underlying Mechanics'!$B$18,0)</x:f>
        <x:v>49500</x:v>
      </x:c>
      <x:c r="W101" t="n">
        <x:f>((IF(W$1-'Underlying Mechanics'!$B$8&lt;0,0,'Underlying Mechanics'!$B$22*'Underlying Mechanics'!$B$15*INDEX('Underlying Mechanics'!$B$31:$B$51,W$1-'Underlying Mechanics'!$B$8+1)*'Underlying Mechanics'!$B$5))*(1-$A101))-IF(W$1=0,'Underlying Mechanics'!$B$23*(1-$B101),0)-IF(W$1&gt;0,'Underlying Mechanics'!$B$22*'Underlying Mechanics'!$B$17,0)-IF(W$1&gt;0,'Underlying Mechanics'!$B$12*'Underlying Mechanics'!$B$18,0)</x:f>
        <x:v>49500</x:v>
      </x:c>
      <x:c r="X101" t="n">
        <x:f>IFERROR(IRR(C101:W101),-1)</x:f>
        <x:v>0.10629785597353453</x:v>
      </x:c>
    </x:row>
    <x:row r="102">
      <x:c r="A102" t="n">
        <x:v>0.4</x:v>
      </x:c>
      <x:c r="B102" t="n">
        <x:v>0.8</x:v>
      </x:c>
      <x:c r="C102" t="n">
        <x:f>((IF(C$1-'Underlying Mechanics'!$B$8&lt;0,0,'Underlying Mechanics'!$B$22*'Underlying Mechanics'!$B$15*INDEX('Underlying Mechanics'!$B$31:$B$51,C$1-'Underlying Mechanics'!$B$8+1)*'Underlying Mechanics'!$B$5))*(1-$A102))-IF(C$1=0,'Underlying Mechanics'!$B$23*(1-$B102),0)-IF(C$1&gt;0,'Underlying Mechanics'!$B$22*'Underlying Mechanics'!$B$17,0)-IF(C$1&gt;0,'Underlying Mechanics'!$B$12*'Underlying Mechanics'!$B$18,0)</x:f>
        <x:v>-29999.999999999993</x:v>
      </x:c>
      <x:c r="D102" t="n">
        <x:f>((IF(D$1-'Underlying Mechanics'!$B$8&lt;0,0,'Underlying Mechanics'!$B$22*'Underlying Mechanics'!$B$15*INDEX('Underlying Mechanics'!$B$31:$B$51,D$1-'Underlying Mechanics'!$B$8+1)*'Underlying Mechanics'!$B$5))*(1-$A102))-IF(D$1=0,'Underlying Mechanics'!$B$23*(1-$B102),0)-IF(D$1&gt;0,'Underlying Mechanics'!$B$22*'Underlying Mechanics'!$B$17,0)-IF(D$1&gt;0,'Underlying Mechanics'!$B$12*'Underlying Mechanics'!$B$18,0)</x:f>
        <x:v>-22500</x:v>
      </x:c>
      <x:c r="E102" t="n">
        <x:f>((IF(E$1-'Underlying Mechanics'!$B$8&lt;0,0,'Underlying Mechanics'!$B$22*'Underlying Mechanics'!$B$15*INDEX('Underlying Mechanics'!$B$31:$B$51,E$1-'Underlying Mechanics'!$B$8+1)*'Underlying Mechanics'!$B$5))*(1-$A102))-IF(E$1=0,'Underlying Mechanics'!$B$23*(1-$B102),0)-IF(E$1&gt;0,'Underlying Mechanics'!$B$22*'Underlying Mechanics'!$B$17,0)-IF(E$1&gt;0,'Underlying Mechanics'!$B$12*'Underlying Mechanics'!$B$18,0)</x:f>
        <x:v>-22500</x:v>
      </x:c>
      <x:c r="F102" t="n">
        <x:f>((IF(F$1-'Underlying Mechanics'!$B$8&lt;0,0,'Underlying Mechanics'!$B$22*'Underlying Mechanics'!$B$15*INDEX('Underlying Mechanics'!$B$31:$B$51,F$1-'Underlying Mechanics'!$B$8+1)*'Underlying Mechanics'!$B$5))*(1-$A102))-IF(F$1=0,'Underlying Mechanics'!$B$23*(1-$B102),0)-IF(F$1&gt;0,'Underlying Mechanics'!$B$22*'Underlying Mechanics'!$B$17,0)-IF(F$1&gt;0,'Underlying Mechanics'!$B$12*'Underlying Mechanics'!$B$18,0)</x:f>
        <x:v>-21060</x:v>
      </x:c>
      <x:c r="G102" t="n">
        <x:f>((IF(G$1-'Underlying Mechanics'!$B$8&lt;0,0,'Underlying Mechanics'!$B$22*'Underlying Mechanics'!$B$15*INDEX('Underlying Mechanics'!$B$31:$B$51,G$1-'Underlying Mechanics'!$B$8+1)*'Underlying Mechanics'!$B$5))*(1-$A102))-IF(G$1=0,'Underlying Mechanics'!$B$23*(1-$B102),0)-IF(G$1&gt;0,'Underlying Mechanics'!$B$22*'Underlying Mechanics'!$B$17,0)-IF(G$1&gt;0,'Underlying Mechanics'!$B$12*'Underlying Mechanics'!$B$18,0)</x:f>
        <x:v>-18900</x:v>
      </x:c>
      <x:c r="H102" t="n">
        <x:f>((IF(H$1-'Underlying Mechanics'!$B$8&lt;0,0,'Underlying Mechanics'!$B$22*'Underlying Mechanics'!$B$15*INDEX('Underlying Mechanics'!$B$31:$B$51,H$1-'Underlying Mechanics'!$B$8+1)*'Underlying Mechanics'!$B$5))*(1-$A102))-IF(H$1=0,'Underlying Mechanics'!$B$23*(1-$B102),0)-IF(H$1&gt;0,'Underlying Mechanics'!$B$22*'Underlying Mechanics'!$B$17,0)-IF(H$1&gt;0,'Underlying Mechanics'!$B$12*'Underlying Mechanics'!$B$18,0)</x:f>
        <x:v>-15300</x:v>
      </x:c>
      <x:c r="I102" t="n">
        <x:f>((IF(I$1-'Underlying Mechanics'!$B$8&lt;0,0,'Underlying Mechanics'!$B$22*'Underlying Mechanics'!$B$15*INDEX('Underlying Mechanics'!$B$31:$B$51,I$1-'Underlying Mechanics'!$B$8+1)*'Underlying Mechanics'!$B$5))*(1-$A102))-IF(I$1=0,'Underlying Mechanics'!$B$23*(1-$B102),0)-IF(I$1&gt;0,'Underlying Mechanics'!$B$22*'Underlying Mechanics'!$B$17,0)-IF(I$1&gt;0,'Underlying Mechanics'!$B$12*'Underlying Mechanics'!$B$18,0)</x:f>
        <x:v>-9540</x:v>
      </x:c>
      <x:c r="J102" t="n">
        <x:f>((IF(J$1-'Underlying Mechanics'!$B$8&lt;0,0,'Underlying Mechanics'!$B$22*'Underlying Mechanics'!$B$15*INDEX('Underlying Mechanics'!$B$31:$B$51,J$1-'Underlying Mechanics'!$B$8+1)*'Underlying Mechanics'!$B$5))*(1-$A102))-IF(J$1=0,'Underlying Mechanics'!$B$23*(1-$B102),0)-IF(J$1&gt;0,'Underlying Mechanics'!$B$22*'Underlying Mechanics'!$B$17,0)-IF(J$1&gt;0,'Underlying Mechanics'!$B$12*'Underlying Mechanics'!$B$18,0)</x:f>
        <x:v>-2339.9999999999964</x:v>
      </x:c>
      <x:c r="K102" t="n">
        <x:f>((IF(K$1-'Underlying Mechanics'!$B$8&lt;0,0,'Underlying Mechanics'!$B$22*'Underlying Mechanics'!$B$15*INDEX('Underlying Mechanics'!$B$31:$B$51,K$1-'Underlying Mechanics'!$B$8+1)*'Underlying Mechanics'!$B$5))*(1-$A102))-IF(K$1=0,'Underlying Mechanics'!$B$23*(1-$B102),0)-IF(K$1&gt;0,'Underlying Mechanics'!$B$22*'Underlying Mechanics'!$B$17,0)-IF(K$1&gt;0,'Underlying Mechanics'!$B$12*'Underlying Mechanics'!$B$18,0)</x:f>
        <x:v>6300</x:v>
      </x:c>
      <x:c r="L102" t="n">
        <x:f>((IF(L$1-'Underlying Mechanics'!$B$8&lt;0,0,'Underlying Mechanics'!$B$22*'Underlying Mechanics'!$B$15*INDEX('Underlying Mechanics'!$B$31:$B$51,L$1-'Underlying Mechanics'!$B$8+1)*'Underlying Mechanics'!$B$5))*(1-$A102))-IF(L$1=0,'Underlying Mechanics'!$B$23*(1-$B102),0)-IF(L$1&gt;0,'Underlying Mechanics'!$B$22*'Underlying Mechanics'!$B$17,0)-IF(L$1&gt;0,'Underlying Mechanics'!$B$12*'Underlying Mechanics'!$B$18,0)</x:f>
        <x:v>16380</x:v>
      </x:c>
      <x:c r="M102" t="n">
        <x:f>((IF(M$1-'Underlying Mechanics'!$B$8&lt;0,0,'Underlying Mechanics'!$B$22*'Underlying Mechanics'!$B$15*INDEX('Underlying Mechanics'!$B$31:$B$51,M$1-'Underlying Mechanics'!$B$8+1)*'Underlying Mechanics'!$B$5))*(1-$A102))-IF(M$1=0,'Underlying Mechanics'!$B$23*(1-$B102),0)-IF(M$1&gt;0,'Underlying Mechanics'!$B$22*'Underlying Mechanics'!$B$17,0)-IF(M$1&gt;0,'Underlying Mechanics'!$B$12*'Underlying Mechanics'!$B$18,0)</x:f>
        <x:v>26460.000000000007</x:v>
      </x:c>
      <x:c r="N102" t="n">
        <x:f>((IF(N$1-'Underlying Mechanics'!$B$8&lt;0,0,'Underlying Mechanics'!$B$22*'Underlying Mechanics'!$B$15*INDEX('Underlying Mechanics'!$B$31:$B$51,N$1-'Underlying Mechanics'!$B$8+1)*'Underlying Mechanics'!$B$5))*(1-$A102))-IF(N$1=0,'Underlying Mechanics'!$B$23*(1-$B102),0)-IF(N$1&gt;0,'Underlying Mechanics'!$B$22*'Underlying Mechanics'!$B$17,0)-IF(N$1&gt;0,'Underlying Mechanics'!$B$12*'Underlying Mechanics'!$B$18,0)</x:f>
        <x:v>35100</x:v>
      </x:c>
      <x:c r="O102" t="n">
        <x:f>((IF(O$1-'Underlying Mechanics'!$B$8&lt;0,0,'Underlying Mechanics'!$B$22*'Underlying Mechanics'!$B$15*INDEX('Underlying Mechanics'!$B$31:$B$51,O$1-'Underlying Mechanics'!$B$8+1)*'Underlying Mechanics'!$B$5))*(1-$A102))-IF(O$1=0,'Underlying Mechanics'!$B$23*(1-$B102),0)-IF(O$1&gt;0,'Underlying Mechanics'!$B$22*'Underlying Mechanics'!$B$17,0)-IF(O$1&gt;0,'Underlying Mechanics'!$B$12*'Underlying Mechanics'!$B$18,0)</x:f>
        <x:v>42300</x:v>
      </x:c>
      <x:c r="P102" t="n">
        <x:f>((IF(P$1-'Underlying Mechanics'!$B$8&lt;0,0,'Underlying Mechanics'!$B$22*'Underlying Mechanics'!$B$15*INDEX('Underlying Mechanics'!$B$31:$B$51,P$1-'Underlying Mechanics'!$B$8+1)*'Underlying Mechanics'!$B$5))*(1-$A102))-IF(P$1=0,'Underlying Mechanics'!$B$23*(1-$B102),0)-IF(P$1&gt;0,'Underlying Mechanics'!$B$22*'Underlying Mechanics'!$B$17,0)-IF(P$1&gt;0,'Underlying Mechanics'!$B$12*'Underlying Mechanics'!$B$18,0)</x:f>
        <x:v>49500</x:v>
      </x:c>
      <x:c r="Q102" t="n">
        <x:f>((IF(Q$1-'Underlying Mechanics'!$B$8&lt;0,0,'Underlying Mechanics'!$B$22*'Underlying Mechanics'!$B$15*INDEX('Underlying Mechanics'!$B$31:$B$51,Q$1-'Underlying Mechanics'!$B$8+1)*'Underlying Mechanics'!$B$5))*(1-$A102))-IF(Q$1=0,'Underlying Mechanics'!$B$23*(1-$B102),0)-IF(Q$1&gt;0,'Underlying Mechanics'!$B$22*'Underlying Mechanics'!$B$17,0)-IF(Q$1&gt;0,'Underlying Mechanics'!$B$12*'Underlying Mechanics'!$B$18,0)</x:f>
        <x:v>49500</x:v>
      </x:c>
      <x:c r="R102" t="n">
        <x:f>((IF(R$1-'Underlying Mechanics'!$B$8&lt;0,0,'Underlying Mechanics'!$B$22*'Underlying Mechanics'!$B$15*INDEX('Underlying Mechanics'!$B$31:$B$51,R$1-'Underlying Mechanics'!$B$8+1)*'Underlying Mechanics'!$B$5))*(1-$A102))-IF(R$1=0,'Underlying Mechanics'!$B$23*(1-$B102),0)-IF(R$1&gt;0,'Underlying Mechanics'!$B$22*'Underlying Mechanics'!$B$17,0)-IF(R$1&gt;0,'Underlying Mechanics'!$B$12*'Underlying Mechanics'!$B$18,0)</x:f>
        <x:v>49500</x:v>
      </x:c>
      <x:c r="S102" t="n">
        <x:f>((IF(S$1-'Underlying Mechanics'!$B$8&lt;0,0,'Underlying Mechanics'!$B$22*'Underlying Mechanics'!$B$15*INDEX('Underlying Mechanics'!$B$31:$B$51,S$1-'Underlying Mechanics'!$B$8+1)*'Underlying Mechanics'!$B$5))*(1-$A102))-IF(S$1=0,'Underlying Mechanics'!$B$23*(1-$B102),0)-IF(S$1&gt;0,'Underlying Mechanics'!$B$22*'Underlying Mechanics'!$B$17,0)-IF(S$1&gt;0,'Underlying Mechanics'!$B$12*'Underlying Mechanics'!$B$18,0)</x:f>
        <x:v>49500</x:v>
      </x:c>
      <x:c r="T102" t="n">
        <x:f>((IF(T$1-'Underlying Mechanics'!$B$8&lt;0,0,'Underlying Mechanics'!$B$22*'Underlying Mechanics'!$B$15*INDEX('Underlying Mechanics'!$B$31:$B$51,T$1-'Underlying Mechanics'!$B$8+1)*'Underlying Mechanics'!$B$5))*(1-$A102))-IF(T$1=0,'Underlying Mechanics'!$B$23*(1-$B102),0)-IF(T$1&gt;0,'Underlying Mechanics'!$B$22*'Underlying Mechanics'!$B$17,0)-IF(T$1&gt;0,'Underlying Mechanics'!$B$12*'Underlying Mechanics'!$B$18,0)</x:f>
        <x:v>49500</x:v>
      </x:c>
      <x:c r="U102" t="n">
        <x:f>((IF(U$1-'Underlying Mechanics'!$B$8&lt;0,0,'Underlying Mechanics'!$B$22*'Underlying Mechanics'!$B$15*INDEX('Underlying Mechanics'!$B$31:$B$51,U$1-'Underlying Mechanics'!$B$8+1)*'Underlying Mechanics'!$B$5))*(1-$A102))-IF(U$1=0,'Underlying Mechanics'!$B$23*(1-$B102),0)-IF(U$1&gt;0,'Underlying Mechanics'!$B$22*'Underlying Mechanics'!$B$17,0)-IF(U$1&gt;0,'Underlying Mechanics'!$B$12*'Underlying Mechanics'!$B$18,0)</x:f>
        <x:v>49500</x:v>
      </x:c>
      <x:c r="V102" t="n">
        <x:f>((IF(V$1-'Underlying Mechanics'!$B$8&lt;0,0,'Underlying Mechanics'!$B$22*'Underlying Mechanics'!$B$15*INDEX('Underlying Mechanics'!$B$31:$B$51,V$1-'Underlying Mechanics'!$B$8+1)*'Underlying Mechanics'!$B$5))*(1-$A102))-IF(V$1=0,'Underlying Mechanics'!$B$23*(1-$B102),0)-IF(V$1&gt;0,'Underlying Mechanics'!$B$22*'Underlying Mechanics'!$B$17,0)-IF(V$1&gt;0,'Underlying Mechanics'!$B$12*'Underlying Mechanics'!$B$18,0)</x:f>
        <x:v>49500</x:v>
      </x:c>
      <x:c r="W102" t="n">
        <x:f>((IF(W$1-'Underlying Mechanics'!$B$8&lt;0,0,'Underlying Mechanics'!$B$22*'Underlying Mechanics'!$B$15*INDEX('Underlying Mechanics'!$B$31:$B$51,W$1-'Underlying Mechanics'!$B$8+1)*'Underlying Mechanics'!$B$5))*(1-$A102))-IF(W$1=0,'Underlying Mechanics'!$B$23*(1-$B102),0)-IF(W$1&gt;0,'Underlying Mechanics'!$B$22*'Underlying Mechanics'!$B$17,0)-IF(W$1&gt;0,'Underlying Mechanics'!$B$12*'Underlying Mechanics'!$B$18,0)</x:f>
        <x:v>49500</x:v>
      </x:c>
      <x:c r="X102" t="n">
        <x:f>IFERROR(IRR(C102:W102),-1)</x:f>
        <x:v>0.1123254366750642</x:v>
      </x:c>
    </x:row>
    <x:row r="103">
      <x:c r="A103" t="n">
        <x:v>0.4</x:v>
      </x:c>
      <x:c r="B103" t="n">
        <x:v>0.85</x:v>
      </x:c>
      <x:c r="C103" t="n">
        <x:f>((IF(C$1-'Underlying Mechanics'!$B$8&lt;0,0,'Underlying Mechanics'!$B$22*'Underlying Mechanics'!$B$15*INDEX('Underlying Mechanics'!$B$31:$B$51,C$1-'Underlying Mechanics'!$B$8+1)*'Underlying Mechanics'!$B$5))*(1-$A103))-IF(C$1=0,'Underlying Mechanics'!$B$23*(1-$B103),0)-IF(C$1&gt;0,'Underlying Mechanics'!$B$22*'Underlying Mechanics'!$B$17,0)-IF(C$1&gt;0,'Underlying Mechanics'!$B$12*'Underlying Mechanics'!$B$18,0)</x:f>
        <x:v>-22500.000000000004</x:v>
      </x:c>
      <x:c r="D103" t="n">
        <x:f>((IF(D$1-'Underlying Mechanics'!$B$8&lt;0,0,'Underlying Mechanics'!$B$22*'Underlying Mechanics'!$B$15*INDEX('Underlying Mechanics'!$B$31:$B$51,D$1-'Underlying Mechanics'!$B$8+1)*'Underlying Mechanics'!$B$5))*(1-$A103))-IF(D$1=0,'Underlying Mechanics'!$B$23*(1-$B103),0)-IF(D$1&gt;0,'Underlying Mechanics'!$B$22*'Underlying Mechanics'!$B$17,0)-IF(D$1&gt;0,'Underlying Mechanics'!$B$12*'Underlying Mechanics'!$B$18,0)</x:f>
        <x:v>-22500</x:v>
      </x:c>
      <x:c r="E103" t="n">
        <x:f>((IF(E$1-'Underlying Mechanics'!$B$8&lt;0,0,'Underlying Mechanics'!$B$22*'Underlying Mechanics'!$B$15*INDEX('Underlying Mechanics'!$B$31:$B$51,E$1-'Underlying Mechanics'!$B$8+1)*'Underlying Mechanics'!$B$5))*(1-$A103))-IF(E$1=0,'Underlying Mechanics'!$B$23*(1-$B103),0)-IF(E$1&gt;0,'Underlying Mechanics'!$B$22*'Underlying Mechanics'!$B$17,0)-IF(E$1&gt;0,'Underlying Mechanics'!$B$12*'Underlying Mechanics'!$B$18,0)</x:f>
        <x:v>-22500</x:v>
      </x:c>
      <x:c r="F103" t="n">
        <x:f>((IF(F$1-'Underlying Mechanics'!$B$8&lt;0,0,'Underlying Mechanics'!$B$22*'Underlying Mechanics'!$B$15*INDEX('Underlying Mechanics'!$B$31:$B$51,F$1-'Underlying Mechanics'!$B$8+1)*'Underlying Mechanics'!$B$5))*(1-$A103))-IF(F$1=0,'Underlying Mechanics'!$B$23*(1-$B103),0)-IF(F$1&gt;0,'Underlying Mechanics'!$B$22*'Underlying Mechanics'!$B$17,0)-IF(F$1&gt;0,'Underlying Mechanics'!$B$12*'Underlying Mechanics'!$B$18,0)</x:f>
        <x:v>-21060</x:v>
      </x:c>
      <x:c r="G103" t="n">
        <x:f>((IF(G$1-'Underlying Mechanics'!$B$8&lt;0,0,'Underlying Mechanics'!$B$22*'Underlying Mechanics'!$B$15*INDEX('Underlying Mechanics'!$B$31:$B$51,G$1-'Underlying Mechanics'!$B$8+1)*'Underlying Mechanics'!$B$5))*(1-$A103))-IF(G$1=0,'Underlying Mechanics'!$B$23*(1-$B103),0)-IF(G$1&gt;0,'Underlying Mechanics'!$B$22*'Underlying Mechanics'!$B$17,0)-IF(G$1&gt;0,'Underlying Mechanics'!$B$12*'Underlying Mechanics'!$B$18,0)</x:f>
        <x:v>-18900</x:v>
      </x:c>
      <x:c r="H103" t="n">
        <x:f>((IF(H$1-'Underlying Mechanics'!$B$8&lt;0,0,'Underlying Mechanics'!$B$22*'Underlying Mechanics'!$B$15*INDEX('Underlying Mechanics'!$B$31:$B$51,H$1-'Underlying Mechanics'!$B$8+1)*'Underlying Mechanics'!$B$5))*(1-$A103))-IF(H$1=0,'Underlying Mechanics'!$B$23*(1-$B103),0)-IF(H$1&gt;0,'Underlying Mechanics'!$B$22*'Underlying Mechanics'!$B$17,0)-IF(H$1&gt;0,'Underlying Mechanics'!$B$12*'Underlying Mechanics'!$B$18,0)</x:f>
        <x:v>-15300</x:v>
      </x:c>
      <x:c r="I103" t="n">
        <x:f>((IF(I$1-'Underlying Mechanics'!$B$8&lt;0,0,'Underlying Mechanics'!$B$22*'Underlying Mechanics'!$B$15*INDEX('Underlying Mechanics'!$B$31:$B$51,I$1-'Underlying Mechanics'!$B$8+1)*'Underlying Mechanics'!$B$5))*(1-$A103))-IF(I$1=0,'Underlying Mechanics'!$B$23*(1-$B103),0)-IF(I$1&gt;0,'Underlying Mechanics'!$B$22*'Underlying Mechanics'!$B$17,0)-IF(I$1&gt;0,'Underlying Mechanics'!$B$12*'Underlying Mechanics'!$B$18,0)</x:f>
        <x:v>-9540</x:v>
      </x:c>
      <x:c r="J103" t="n">
        <x:f>((IF(J$1-'Underlying Mechanics'!$B$8&lt;0,0,'Underlying Mechanics'!$B$22*'Underlying Mechanics'!$B$15*INDEX('Underlying Mechanics'!$B$31:$B$51,J$1-'Underlying Mechanics'!$B$8+1)*'Underlying Mechanics'!$B$5))*(1-$A103))-IF(J$1=0,'Underlying Mechanics'!$B$23*(1-$B103),0)-IF(J$1&gt;0,'Underlying Mechanics'!$B$22*'Underlying Mechanics'!$B$17,0)-IF(J$1&gt;0,'Underlying Mechanics'!$B$12*'Underlying Mechanics'!$B$18,0)</x:f>
        <x:v>-2339.9999999999964</x:v>
      </x:c>
      <x:c r="K103" t="n">
        <x:f>((IF(K$1-'Underlying Mechanics'!$B$8&lt;0,0,'Underlying Mechanics'!$B$22*'Underlying Mechanics'!$B$15*INDEX('Underlying Mechanics'!$B$31:$B$51,K$1-'Underlying Mechanics'!$B$8+1)*'Underlying Mechanics'!$B$5))*(1-$A103))-IF(K$1=0,'Underlying Mechanics'!$B$23*(1-$B103),0)-IF(K$1&gt;0,'Underlying Mechanics'!$B$22*'Underlying Mechanics'!$B$17,0)-IF(K$1&gt;0,'Underlying Mechanics'!$B$12*'Underlying Mechanics'!$B$18,0)</x:f>
        <x:v>6300</x:v>
      </x:c>
      <x:c r="L103" t="n">
        <x:f>((IF(L$1-'Underlying Mechanics'!$B$8&lt;0,0,'Underlying Mechanics'!$B$22*'Underlying Mechanics'!$B$15*INDEX('Underlying Mechanics'!$B$31:$B$51,L$1-'Underlying Mechanics'!$B$8+1)*'Underlying Mechanics'!$B$5))*(1-$A103))-IF(L$1=0,'Underlying Mechanics'!$B$23*(1-$B103),0)-IF(L$1&gt;0,'Underlying Mechanics'!$B$22*'Underlying Mechanics'!$B$17,0)-IF(L$1&gt;0,'Underlying Mechanics'!$B$12*'Underlying Mechanics'!$B$18,0)</x:f>
        <x:v>16380</x:v>
      </x:c>
      <x:c r="M103" t="n">
        <x:f>((IF(M$1-'Underlying Mechanics'!$B$8&lt;0,0,'Underlying Mechanics'!$B$22*'Underlying Mechanics'!$B$15*INDEX('Underlying Mechanics'!$B$31:$B$51,M$1-'Underlying Mechanics'!$B$8+1)*'Underlying Mechanics'!$B$5))*(1-$A103))-IF(M$1=0,'Underlying Mechanics'!$B$23*(1-$B103),0)-IF(M$1&gt;0,'Underlying Mechanics'!$B$22*'Underlying Mechanics'!$B$17,0)-IF(M$1&gt;0,'Underlying Mechanics'!$B$12*'Underlying Mechanics'!$B$18,0)</x:f>
        <x:v>26460.000000000007</x:v>
      </x:c>
      <x:c r="N103" t="n">
        <x:f>((IF(N$1-'Underlying Mechanics'!$B$8&lt;0,0,'Underlying Mechanics'!$B$22*'Underlying Mechanics'!$B$15*INDEX('Underlying Mechanics'!$B$31:$B$51,N$1-'Underlying Mechanics'!$B$8+1)*'Underlying Mechanics'!$B$5))*(1-$A103))-IF(N$1=0,'Underlying Mechanics'!$B$23*(1-$B103),0)-IF(N$1&gt;0,'Underlying Mechanics'!$B$22*'Underlying Mechanics'!$B$17,0)-IF(N$1&gt;0,'Underlying Mechanics'!$B$12*'Underlying Mechanics'!$B$18,0)</x:f>
        <x:v>35100</x:v>
      </x:c>
      <x:c r="O103" t="n">
        <x:f>((IF(O$1-'Underlying Mechanics'!$B$8&lt;0,0,'Underlying Mechanics'!$B$22*'Underlying Mechanics'!$B$15*INDEX('Underlying Mechanics'!$B$31:$B$51,O$1-'Underlying Mechanics'!$B$8+1)*'Underlying Mechanics'!$B$5))*(1-$A103))-IF(O$1=0,'Underlying Mechanics'!$B$23*(1-$B103),0)-IF(O$1&gt;0,'Underlying Mechanics'!$B$22*'Underlying Mechanics'!$B$17,0)-IF(O$1&gt;0,'Underlying Mechanics'!$B$12*'Underlying Mechanics'!$B$18,0)</x:f>
        <x:v>42300</x:v>
      </x:c>
      <x:c r="P103" t="n">
        <x:f>((IF(P$1-'Underlying Mechanics'!$B$8&lt;0,0,'Underlying Mechanics'!$B$22*'Underlying Mechanics'!$B$15*INDEX('Underlying Mechanics'!$B$31:$B$51,P$1-'Underlying Mechanics'!$B$8+1)*'Underlying Mechanics'!$B$5))*(1-$A103))-IF(P$1=0,'Underlying Mechanics'!$B$23*(1-$B103),0)-IF(P$1&gt;0,'Underlying Mechanics'!$B$22*'Underlying Mechanics'!$B$17,0)-IF(P$1&gt;0,'Underlying Mechanics'!$B$12*'Underlying Mechanics'!$B$18,0)</x:f>
        <x:v>49500</x:v>
      </x:c>
      <x:c r="Q103" t="n">
        <x:f>((IF(Q$1-'Underlying Mechanics'!$B$8&lt;0,0,'Underlying Mechanics'!$B$22*'Underlying Mechanics'!$B$15*INDEX('Underlying Mechanics'!$B$31:$B$51,Q$1-'Underlying Mechanics'!$B$8+1)*'Underlying Mechanics'!$B$5))*(1-$A103))-IF(Q$1=0,'Underlying Mechanics'!$B$23*(1-$B103),0)-IF(Q$1&gt;0,'Underlying Mechanics'!$B$22*'Underlying Mechanics'!$B$17,0)-IF(Q$1&gt;0,'Underlying Mechanics'!$B$12*'Underlying Mechanics'!$B$18,0)</x:f>
        <x:v>49500</x:v>
      </x:c>
      <x:c r="R103" t="n">
        <x:f>((IF(R$1-'Underlying Mechanics'!$B$8&lt;0,0,'Underlying Mechanics'!$B$22*'Underlying Mechanics'!$B$15*INDEX('Underlying Mechanics'!$B$31:$B$51,R$1-'Underlying Mechanics'!$B$8+1)*'Underlying Mechanics'!$B$5))*(1-$A103))-IF(R$1=0,'Underlying Mechanics'!$B$23*(1-$B103),0)-IF(R$1&gt;0,'Underlying Mechanics'!$B$22*'Underlying Mechanics'!$B$17,0)-IF(R$1&gt;0,'Underlying Mechanics'!$B$12*'Underlying Mechanics'!$B$18,0)</x:f>
        <x:v>49500</x:v>
      </x:c>
      <x:c r="S103" t="n">
        <x:f>((IF(S$1-'Underlying Mechanics'!$B$8&lt;0,0,'Underlying Mechanics'!$B$22*'Underlying Mechanics'!$B$15*INDEX('Underlying Mechanics'!$B$31:$B$51,S$1-'Underlying Mechanics'!$B$8+1)*'Underlying Mechanics'!$B$5))*(1-$A103))-IF(S$1=0,'Underlying Mechanics'!$B$23*(1-$B103),0)-IF(S$1&gt;0,'Underlying Mechanics'!$B$22*'Underlying Mechanics'!$B$17,0)-IF(S$1&gt;0,'Underlying Mechanics'!$B$12*'Underlying Mechanics'!$B$18,0)</x:f>
        <x:v>49500</x:v>
      </x:c>
      <x:c r="T103" t="n">
        <x:f>((IF(T$1-'Underlying Mechanics'!$B$8&lt;0,0,'Underlying Mechanics'!$B$22*'Underlying Mechanics'!$B$15*INDEX('Underlying Mechanics'!$B$31:$B$51,T$1-'Underlying Mechanics'!$B$8+1)*'Underlying Mechanics'!$B$5))*(1-$A103))-IF(T$1=0,'Underlying Mechanics'!$B$23*(1-$B103),0)-IF(T$1&gt;0,'Underlying Mechanics'!$B$22*'Underlying Mechanics'!$B$17,0)-IF(T$1&gt;0,'Underlying Mechanics'!$B$12*'Underlying Mechanics'!$B$18,0)</x:f>
        <x:v>49500</x:v>
      </x:c>
      <x:c r="U103" t="n">
        <x:f>((IF(U$1-'Underlying Mechanics'!$B$8&lt;0,0,'Underlying Mechanics'!$B$22*'Underlying Mechanics'!$B$15*INDEX('Underlying Mechanics'!$B$31:$B$51,U$1-'Underlying Mechanics'!$B$8+1)*'Underlying Mechanics'!$B$5))*(1-$A103))-IF(U$1=0,'Underlying Mechanics'!$B$23*(1-$B103),0)-IF(U$1&gt;0,'Underlying Mechanics'!$B$22*'Underlying Mechanics'!$B$17,0)-IF(U$1&gt;0,'Underlying Mechanics'!$B$12*'Underlying Mechanics'!$B$18,0)</x:f>
        <x:v>49500</x:v>
      </x:c>
      <x:c r="V103" t="n">
        <x:f>((IF(V$1-'Underlying Mechanics'!$B$8&lt;0,0,'Underlying Mechanics'!$B$22*'Underlying Mechanics'!$B$15*INDEX('Underlying Mechanics'!$B$31:$B$51,V$1-'Underlying Mechanics'!$B$8+1)*'Underlying Mechanics'!$B$5))*(1-$A103))-IF(V$1=0,'Underlying Mechanics'!$B$23*(1-$B103),0)-IF(V$1&gt;0,'Underlying Mechanics'!$B$22*'Underlying Mechanics'!$B$17,0)-IF(V$1&gt;0,'Underlying Mechanics'!$B$12*'Underlying Mechanics'!$B$18,0)</x:f>
        <x:v>49500</x:v>
      </x:c>
      <x:c r="W103" t="n">
        <x:f>((IF(W$1-'Underlying Mechanics'!$B$8&lt;0,0,'Underlying Mechanics'!$B$22*'Underlying Mechanics'!$B$15*INDEX('Underlying Mechanics'!$B$31:$B$51,W$1-'Underlying Mechanics'!$B$8+1)*'Underlying Mechanics'!$B$5))*(1-$A103))-IF(W$1=0,'Underlying Mechanics'!$B$23*(1-$B103),0)-IF(W$1&gt;0,'Underlying Mechanics'!$B$22*'Underlying Mechanics'!$B$17,0)-IF(W$1&gt;0,'Underlying Mechanics'!$B$12*'Underlying Mechanics'!$B$18,0)</x:f>
        <x:v>49500</x:v>
      </x:c>
      <x:c r="X103" t="n">
        <x:f>IFERROR(IRR(C103:W103),-1)</x:f>
        <x:v>0.11899197338650276</x:v>
      </x:c>
    </x:row>
    <x:row r="104">
      <x:c r="A104" t="n">
        <x:v>0.4</x:v>
      </x:c>
      <x:c r="B104" t="n">
        <x:v>0.9</x:v>
      </x:c>
      <x:c r="C104" t="n">
        <x:f>((IF(C$1-'Underlying Mechanics'!$B$8&lt;0,0,'Underlying Mechanics'!$B$22*'Underlying Mechanics'!$B$15*INDEX('Underlying Mechanics'!$B$31:$B$51,C$1-'Underlying Mechanics'!$B$8+1)*'Underlying Mechanics'!$B$5))*(1-$A104))-IF(C$1=0,'Underlying Mechanics'!$B$23*(1-$B104),0)-IF(C$1&gt;0,'Underlying Mechanics'!$B$22*'Underlying Mechanics'!$B$17,0)-IF(C$1&gt;0,'Underlying Mechanics'!$B$12*'Underlying Mechanics'!$B$18,0)</x:f>
        <x:v>-14999.999999999996</x:v>
      </x:c>
      <x:c r="D104" t="n">
        <x:f>((IF(D$1-'Underlying Mechanics'!$B$8&lt;0,0,'Underlying Mechanics'!$B$22*'Underlying Mechanics'!$B$15*INDEX('Underlying Mechanics'!$B$31:$B$51,D$1-'Underlying Mechanics'!$B$8+1)*'Underlying Mechanics'!$B$5))*(1-$A104))-IF(D$1=0,'Underlying Mechanics'!$B$23*(1-$B104),0)-IF(D$1&gt;0,'Underlying Mechanics'!$B$22*'Underlying Mechanics'!$B$17,0)-IF(D$1&gt;0,'Underlying Mechanics'!$B$12*'Underlying Mechanics'!$B$18,0)</x:f>
        <x:v>-22500</x:v>
      </x:c>
      <x:c r="E104" t="n">
        <x:f>((IF(E$1-'Underlying Mechanics'!$B$8&lt;0,0,'Underlying Mechanics'!$B$22*'Underlying Mechanics'!$B$15*INDEX('Underlying Mechanics'!$B$31:$B$51,E$1-'Underlying Mechanics'!$B$8+1)*'Underlying Mechanics'!$B$5))*(1-$A104))-IF(E$1=0,'Underlying Mechanics'!$B$23*(1-$B104),0)-IF(E$1&gt;0,'Underlying Mechanics'!$B$22*'Underlying Mechanics'!$B$17,0)-IF(E$1&gt;0,'Underlying Mechanics'!$B$12*'Underlying Mechanics'!$B$18,0)</x:f>
        <x:v>-22500</x:v>
      </x:c>
      <x:c r="F104" t="n">
        <x:f>((IF(F$1-'Underlying Mechanics'!$B$8&lt;0,0,'Underlying Mechanics'!$B$22*'Underlying Mechanics'!$B$15*INDEX('Underlying Mechanics'!$B$31:$B$51,F$1-'Underlying Mechanics'!$B$8+1)*'Underlying Mechanics'!$B$5))*(1-$A104))-IF(F$1=0,'Underlying Mechanics'!$B$23*(1-$B104),0)-IF(F$1&gt;0,'Underlying Mechanics'!$B$22*'Underlying Mechanics'!$B$17,0)-IF(F$1&gt;0,'Underlying Mechanics'!$B$12*'Underlying Mechanics'!$B$18,0)</x:f>
        <x:v>-21060</x:v>
      </x:c>
      <x:c r="G104" t="n">
        <x:f>((IF(G$1-'Underlying Mechanics'!$B$8&lt;0,0,'Underlying Mechanics'!$B$22*'Underlying Mechanics'!$B$15*INDEX('Underlying Mechanics'!$B$31:$B$51,G$1-'Underlying Mechanics'!$B$8+1)*'Underlying Mechanics'!$B$5))*(1-$A104))-IF(G$1=0,'Underlying Mechanics'!$B$23*(1-$B104),0)-IF(G$1&gt;0,'Underlying Mechanics'!$B$22*'Underlying Mechanics'!$B$17,0)-IF(G$1&gt;0,'Underlying Mechanics'!$B$12*'Underlying Mechanics'!$B$18,0)</x:f>
        <x:v>-18900</x:v>
      </x:c>
      <x:c r="H104" t="n">
        <x:f>((IF(H$1-'Underlying Mechanics'!$B$8&lt;0,0,'Underlying Mechanics'!$B$22*'Underlying Mechanics'!$B$15*INDEX('Underlying Mechanics'!$B$31:$B$51,H$1-'Underlying Mechanics'!$B$8+1)*'Underlying Mechanics'!$B$5))*(1-$A104))-IF(H$1=0,'Underlying Mechanics'!$B$23*(1-$B104),0)-IF(H$1&gt;0,'Underlying Mechanics'!$B$22*'Underlying Mechanics'!$B$17,0)-IF(H$1&gt;0,'Underlying Mechanics'!$B$12*'Underlying Mechanics'!$B$18,0)</x:f>
        <x:v>-15300</x:v>
      </x:c>
      <x:c r="I104" t="n">
        <x:f>((IF(I$1-'Underlying Mechanics'!$B$8&lt;0,0,'Underlying Mechanics'!$B$22*'Underlying Mechanics'!$B$15*INDEX('Underlying Mechanics'!$B$31:$B$51,I$1-'Underlying Mechanics'!$B$8+1)*'Underlying Mechanics'!$B$5))*(1-$A104))-IF(I$1=0,'Underlying Mechanics'!$B$23*(1-$B104),0)-IF(I$1&gt;0,'Underlying Mechanics'!$B$22*'Underlying Mechanics'!$B$17,0)-IF(I$1&gt;0,'Underlying Mechanics'!$B$12*'Underlying Mechanics'!$B$18,0)</x:f>
        <x:v>-9540</x:v>
      </x:c>
      <x:c r="J104" t="n">
        <x:f>((IF(J$1-'Underlying Mechanics'!$B$8&lt;0,0,'Underlying Mechanics'!$B$22*'Underlying Mechanics'!$B$15*INDEX('Underlying Mechanics'!$B$31:$B$51,J$1-'Underlying Mechanics'!$B$8+1)*'Underlying Mechanics'!$B$5))*(1-$A104))-IF(J$1=0,'Underlying Mechanics'!$B$23*(1-$B104),0)-IF(J$1&gt;0,'Underlying Mechanics'!$B$22*'Underlying Mechanics'!$B$17,0)-IF(J$1&gt;0,'Underlying Mechanics'!$B$12*'Underlying Mechanics'!$B$18,0)</x:f>
        <x:v>-2339.9999999999964</x:v>
      </x:c>
      <x:c r="K104" t="n">
        <x:f>((IF(K$1-'Underlying Mechanics'!$B$8&lt;0,0,'Underlying Mechanics'!$B$22*'Underlying Mechanics'!$B$15*INDEX('Underlying Mechanics'!$B$31:$B$51,K$1-'Underlying Mechanics'!$B$8+1)*'Underlying Mechanics'!$B$5))*(1-$A104))-IF(K$1=0,'Underlying Mechanics'!$B$23*(1-$B104),0)-IF(K$1&gt;0,'Underlying Mechanics'!$B$22*'Underlying Mechanics'!$B$17,0)-IF(K$1&gt;0,'Underlying Mechanics'!$B$12*'Underlying Mechanics'!$B$18,0)</x:f>
        <x:v>6300</x:v>
      </x:c>
      <x:c r="L104" t="n">
        <x:f>((IF(L$1-'Underlying Mechanics'!$B$8&lt;0,0,'Underlying Mechanics'!$B$22*'Underlying Mechanics'!$B$15*INDEX('Underlying Mechanics'!$B$31:$B$51,L$1-'Underlying Mechanics'!$B$8+1)*'Underlying Mechanics'!$B$5))*(1-$A104))-IF(L$1=0,'Underlying Mechanics'!$B$23*(1-$B104),0)-IF(L$1&gt;0,'Underlying Mechanics'!$B$22*'Underlying Mechanics'!$B$17,0)-IF(L$1&gt;0,'Underlying Mechanics'!$B$12*'Underlying Mechanics'!$B$18,0)</x:f>
        <x:v>16380</x:v>
      </x:c>
      <x:c r="M104" t="n">
        <x:f>((IF(M$1-'Underlying Mechanics'!$B$8&lt;0,0,'Underlying Mechanics'!$B$22*'Underlying Mechanics'!$B$15*INDEX('Underlying Mechanics'!$B$31:$B$51,M$1-'Underlying Mechanics'!$B$8+1)*'Underlying Mechanics'!$B$5))*(1-$A104))-IF(M$1=0,'Underlying Mechanics'!$B$23*(1-$B104),0)-IF(M$1&gt;0,'Underlying Mechanics'!$B$22*'Underlying Mechanics'!$B$17,0)-IF(M$1&gt;0,'Underlying Mechanics'!$B$12*'Underlying Mechanics'!$B$18,0)</x:f>
        <x:v>26460.000000000007</x:v>
      </x:c>
      <x:c r="N104" t="n">
        <x:f>((IF(N$1-'Underlying Mechanics'!$B$8&lt;0,0,'Underlying Mechanics'!$B$22*'Underlying Mechanics'!$B$15*INDEX('Underlying Mechanics'!$B$31:$B$51,N$1-'Underlying Mechanics'!$B$8+1)*'Underlying Mechanics'!$B$5))*(1-$A104))-IF(N$1=0,'Underlying Mechanics'!$B$23*(1-$B104),0)-IF(N$1&gt;0,'Underlying Mechanics'!$B$22*'Underlying Mechanics'!$B$17,0)-IF(N$1&gt;0,'Underlying Mechanics'!$B$12*'Underlying Mechanics'!$B$18,0)</x:f>
        <x:v>35100</x:v>
      </x:c>
      <x:c r="O104" t="n">
        <x:f>((IF(O$1-'Underlying Mechanics'!$B$8&lt;0,0,'Underlying Mechanics'!$B$22*'Underlying Mechanics'!$B$15*INDEX('Underlying Mechanics'!$B$31:$B$51,O$1-'Underlying Mechanics'!$B$8+1)*'Underlying Mechanics'!$B$5))*(1-$A104))-IF(O$1=0,'Underlying Mechanics'!$B$23*(1-$B104),0)-IF(O$1&gt;0,'Underlying Mechanics'!$B$22*'Underlying Mechanics'!$B$17,0)-IF(O$1&gt;0,'Underlying Mechanics'!$B$12*'Underlying Mechanics'!$B$18,0)</x:f>
        <x:v>42300</x:v>
      </x:c>
      <x:c r="P104" t="n">
        <x:f>((IF(P$1-'Underlying Mechanics'!$B$8&lt;0,0,'Underlying Mechanics'!$B$22*'Underlying Mechanics'!$B$15*INDEX('Underlying Mechanics'!$B$31:$B$51,P$1-'Underlying Mechanics'!$B$8+1)*'Underlying Mechanics'!$B$5))*(1-$A104))-IF(P$1=0,'Underlying Mechanics'!$B$23*(1-$B104),0)-IF(P$1&gt;0,'Underlying Mechanics'!$B$22*'Underlying Mechanics'!$B$17,0)-IF(P$1&gt;0,'Underlying Mechanics'!$B$12*'Underlying Mechanics'!$B$18,0)</x:f>
        <x:v>49500</x:v>
      </x:c>
      <x:c r="Q104" t="n">
        <x:f>((IF(Q$1-'Underlying Mechanics'!$B$8&lt;0,0,'Underlying Mechanics'!$B$22*'Underlying Mechanics'!$B$15*INDEX('Underlying Mechanics'!$B$31:$B$51,Q$1-'Underlying Mechanics'!$B$8+1)*'Underlying Mechanics'!$B$5))*(1-$A104))-IF(Q$1=0,'Underlying Mechanics'!$B$23*(1-$B104),0)-IF(Q$1&gt;0,'Underlying Mechanics'!$B$22*'Underlying Mechanics'!$B$17,0)-IF(Q$1&gt;0,'Underlying Mechanics'!$B$12*'Underlying Mechanics'!$B$18,0)</x:f>
        <x:v>49500</x:v>
      </x:c>
      <x:c r="R104" t="n">
        <x:f>((IF(R$1-'Underlying Mechanics'!$B$8&lt;0,0,'Underlying Mechanics'!$B$22*'Underlying Mechanics'!$B$15*INDEX('Underlying Mechanics'!$B$31:$B$51,R$1-'Underlying Mechanics'!$B$8+1)*'Underlying Mechanics'!$B$5))*(1-$A104))-IF(R$1=0,'Underlying Mechanics'!$B$23*(1-$B104),0)-IF(R$1&gt;0,'Underlying Mechanics'!$B$22*'Underlying Mechanics'!$B$17,0)-IF(R$1&gt;0,'Underlying Mechanics'!$B$12*'Underlying Mechanics'!$B$18,0)</x:f>
        <x:v>49500</x:v>
      </x:c>
      <x:c r="S104" t="n">
        <x:f>((IF(S$1-'Underlying Mechanics'!$B$8&lt;0,0,'Underlying Mechanics'!$B$22*'Underlying Mechanics'!$B$15*INDEX('Underlying Mechanics'!$B$31:$B$51,S$1-'Underlying Mechanics'!$B$8+1)*'Underlying Mechanics'!$B$5))*(1-$A104))-IF(S$1=0,'Underlying Mechanics'!$B$23*(1-$B104),0)-IF(S$1&gt;0,'Underlying Mechanics'!$B$22*'Underlying Mechanics'!$B$17,0)-IF(S$1&gt;0,'Underlying Mechanics'!$B$12*'Underlying Mechanics'!$B$18,0)</x:f>
        <x:v>49500</x:v>
      </x:c>
      <x:c r="T104" t="n">
        <x:f>((IF(T$1-'Underlying Mechanics'!$B$8&lt;0,0,'Underlying Mechanics'!$B$22*'Underlying Mechanics'!$B$15*INDEX('Underlying Mechanics'!$B$31:$B$51,T$1-'Underlying Mechanics'!$B$8+1)*'Underlying Mechanics'!$B$5))*(1-$A104))-IF(T$1=0,'Underlying Mechanics'!$B$23*(1-$B104),0)-IF(T$1&gt;0,'Underlying Mechanics'!$B$22*'Underlying Mechanics'!$B$17,0)-IF(T$1&gt;0,'Underlying Mechanics'!$B$12*'Underlying Mechanics'!$B$18,0)</x:f>
        <x:v>49500</x:v>
      </x:c>
      <x:c r="U104" t="n">
        <x:f>((IF(U$1-'Underlying Mechanics'!$B$8&lt;0,0,'Underlying Mechanics'!$B$22*'Underlying Mechanics'!$B$15*INDEX('Underlying Mechanics'!$B$31:$B$51,U$1-'Underlying Mechanics'!$B$8+1)*'Underlying Mechanics'!$B$5))*(1-$A104))-IF(U$1=0,'Underlying Mechanics'!$B$23*(1-$B104),0)-IF(U$1&gt;0,'Underlying Mechanics'!$B$22*'Underlying Mechanics'!$B$17,0)-IF(U$1&gt;0,'Underlying Mechanics'!$B$12*'Underlying Mechanics'!$B$18,0)</x:f>
        <x:v>49500</x:v>
      </x:c>
      <x:c r="V104" t="n">
        <x:f>((IF(V$1-'Underlying Mechanics'!$B$8&lt;0,0,'Underlying Mechanics'!$B$22*'Underlying Mechanics'!$B$15*INDEX('Underlying Mechanics'!$B$31:$B$51,V$1-'Underlying Mechanics'!$B$8+1)*'Underlying Mechanics'!$B$5))*(1-$A104))-IF(V$1=0,'Underlying Mechanics'!$B$23*(1-$B104),0)-IF(V$1&gt;0,'Underlying Mechanics'!$B$22*'Underlying Mechanics'!$B$17,0)-IF(V$1&gt;0,'Underlying Mechanics'!$B$12*'Underlying Mechanics'!$B$18,0)</x:f>
        <x:v>49500</x:v>
      </x:c>
      <x:c r="W104" t="n">
        <x:f>((IF(W$1-'Underlying Mechanics'!$B$8&lt;0,0,'Underlying Mechanics'!$B$22*'Underlying Mechanics'!$B$15*INDEX('Underlying Mechanics'!$B$31:$B$51,W$1-'Underlying Mechanics'!$B$8+1)*'Underlying Mechanics'!$B$5))*(1-$A104))-IF(W$1=0,'Underlying Mechanics'!$B$23*(1-$B104),0)-IF(W$1&gt;0,'Underlying Mechanics'!$B$22*'Underlying Mechanics'!$B$17,0)-IF(W$1&gt;0,'Underlying Mechanics'!$B$12*'Underlying Mechanics'!$B$18,0)</x:f>
        <x:v>49500</x:v>
      </x:c>
      <x:c r="X104" t="n">
        <x:f>IFERROR(IRR(C104:W104),-1)</x:f>
        <x:v>0.12644819408980112</x:v>
      </x:c>
    </x:row>
    <x:row r="105">
      <x:c r="A105" t="n">
        <x:v>0.4</x:v>
      </x:c>
      <x:c r="B105" t="n">
        <x:v>0.95</x:v>
      </x:c>
      <x:c r="C105" t="n">
        <x:f>((IF(C$1-'Underlying Mechanics'!$B$8&lt;0,0,'Underlying Mechanics'!$B$22*'Underlying Mechanics'!$B$15*INDEX('Underlying Mechanics'!$B$31:$B$51,C$1-'Underlying Mechanics'!$B$8+1)*'Underlying Mechanics'!$B$5))*(1-$A105))-IF(C$1=0,'Underlying Mechanics'!$B$23*(1-$B105),0)-IF(C$1&gt;0,'Underlying Mechanics'!$B$22*'Underlying Mechanics'!$B$17,0)-IF(C$1&gt;0,'Underlying Mechanics'!$B$12*'Underlying Mechanics'!$B$18,0)</x:f>
        <x:v>-7500.000000000006</x:v>
      </x:c>
      <x:c r="D105" t="n">
        <x:f>((IF(D$1-'Underlying Mechanics'!$B$8&lt;0,0,'Underlying Mechanics'!$B$22*'Underlying Mechanics'!$B$15*INDEX('Underlying Mechanics'!$B$31:$B$51,D$1-'Underlying Mechanics'!$B$8+1)*'Underlying Mechanics'!$B$5))*(1-$A105))-IF(D$1=0,'Underlying Mechanics'!$B$23*(1-$B105),0)-IF(D$1&gt;0,'Underlying Mechanics'!$B$22*'Underlying Mechanics'!$B$17,0)-IF(D$1&gt;0,'Underlying Mechanics'!$B$12*'Underlying Mechanics'!$B$18,0)</x:f>
        <x:v>-22500</x:v>
      </x:c>
      <x:c r="E105" t="n">
        <x:f>((IF(E$1-'Underlying Mechanics'!$B$8&lt;0,0,'Underlying Mechanics'!$B$22*'Underlying Mechanics'!$B$15*INDEX('Underlying Mechanics'!$B$31:$B$51,E$1-'Underlying Mechanics'!$B$8+1)*'Underlying Mechanics'!$B$5))*(1-$A105))-IF(E$1=0,'Underlying Mechanics'!$B$23*(1-$B105),0)-IF(E$1&gt;0,'Underlying Mechanics'!$B$22*'Underlying Mechanics'!$B$17,0)-IF(E$1&gt;0,'Underlying Mechanics'!$B$12*'Underlying Mechanics'!$B$18,0)</x:f>
        <x:v>-22500</x:v>
      </x:c>
      <x:c r="F105" t="n">
        <x:f>((IF(F$1-'Underlying Mechanics'!$B$8&lt;0,0,'Underlying Mechanics'!$B$22*'Underlying Mechanics'!$B$15*INDEX('Underlying Mechanics'!$B$31:$B$51,F$1-'Underlying Mechanics'!$B$8+1)*'Underlying Mechanics'!$B$5))*(1-$A105))-IF(F$1=0,'Underlying Mechanics'!$B$23*(1-$B105),0)-IF(F$1&gt;0,'Underlying Mechanics'!$B$22*'Underlying Mechanics'!$B$17,0)-IF(F$1&gt;0,'Underlying Mechanics'!$B$12*'Underlying Mechanics'!$B$18,0)</x:f>
        <x:v>-21060</x:v>
      </x:c>
      <x:c r="G105" t="n">
        <x:f>((IF(G$1-'Underlying Mechanics'!$B$8&lt;0,0,'Underlying Mechanics'!$B$22*'Underlying Mechanics'!$B$15*INDEX('Underlying Mechanics'!$B$31:$B$51,G$1-'Underlying Mechanics'!$B$8+1)*'Underlying Mechanics'!$B$5))*(1-$A105))-IF(G$1=0,'Underlying Mechanics'!$B$23*(1-$B105),0)-IF(G$1&gt;0,'Underlying Mechanics'!$B$22*'Underlying Mechanics'!$B$17,0)-IF(G$1&gt;0,'Underlying Mechanics'!$B$12*'Underlying Mechanics'!$B$18,0)</x:f>
        <x:v>-18900</x:v>
      </x:c>
      <x:c r="H105" t="n">
        <x:f>((IF(H$1-'Underlying Mechanics'!$B$8&lt;0,0,'Underlying Mechanics'!$B$22*'Underlying Mechanics'!$B$15*INDEX('Underlying Mechanics'!$B$31:$B$51,H$1-'Underlying Mechanics'!$B$8+1)*'Underlying Mechanics'!$B$5))*(1-$A105))-IF(H$1=0,'Underlying Mechanics'!$B$23*(1-$B105),0)-IF(H$1&gt;0,'Underlying Mechanics'!$B$22*'Underlying Mechanics'!$B$17,0)-IF(H$1&gt;0,'Underlying Mechanics'!$B$12*'Underlying Mechanics'!$B$18,0)</x:f>
        <x:v>-15300</x:v>
      </x:c>
      <x:c r="I105" t="n">
        <x:f>((IF(I$1-'Underlying Mechanics'!$B$8&lt;0,0,'Underlying Mechanics'!$B$22*'Underlying Mechanics'!$B$15*INDEX('Underlying Mechanics'!$B$31:$B$51,I$1-'Underlying Mechanics'!$B$8+1)*'Underlying Mechanics'!$B$5))*(1-$A105))-IF(I$1=0,'Underlying Mechanics'!$B$23*(1-$B105),0)-IF(I$1&gt;0,'Underlying Mechanics'!$B$22*'Underlying Mechanics'!$B$17,0)-IF(I$1&gt;0,'Underlying Mechanics'!$B$12*'Underlying Mechanics'!$B$18,0)</x:f>
        <x:v>-9540</x:v>
      </x:c>
      <x:c r="J105" t="n">
        <x:f>((IF(J$1-'Underlying Mechanics'!$B$8&lt;0,0,'Underlying Mechanics'!$B$22*'Underlying Mechanics'!$B$15*INDEX('Underlying Mechanics'!$B$31:$B$51,J$1-'Underlying Mechanics'!$B$8+1)*'Underlying Mechanics'!$B$5))*(1-$A105))-IF(J$1=0,'Underlying Mechanics'!$B$23*(1-$B105),0)-IF(J$1&gt;0,'Underlying Mechanics'!$B$22*'Underlying Mechanics'!$B$17,0)-IF(J$1&gt;0,'Underlying Mechanics'!$B$12*'Underlying Mechanics'!$B$18,0)</x:f>
        <x:v>-2339.9999999999964</x:v>
      </x:c>
      <x:c r="K105" t="n">
        <x:f>((IF(K$1-'Underlying Mechanics'!$B$8&lt;0,0,'Underlying Mechanics'!$B$22*'Underlying Mechanics'!$B$15*INDEX('Underlying Mechanics'!$B$31:$B$51,K$1-'Underlying Mechanics'!$B$8+1)*'Underlying Mechanics'!$B$5))*(1-$A105))-IF(K$1=0,'Underlying Mechanics'!$B$23*(1-$B105),0)-IF(K$1&gt;0,'Underlying Mechanics'!$B$22*'Underlying Mechanics'!$B$17,0)-IF(K$1&gt;0,'Underlying Mechanics'!$B$12*'Underlying Mechanics'!$B$18,0)</x:f>
        <x:v>6300</x:v>
      </x:c>
      <x:c r="L105" t="n">
        <x:f>((IF(L$1-'Underlying Mechanics'!$B$8&lt;0,0,'Underlying Mechanics'!$B$22*'Underlying Mechanics'!$B$15*INDEX('Underlying Mechanics'!$B$31:$B$51,L$1-'Underlying Mechanics'!$B$8+1)*'Underlying Mechanics'!$B$5))*(1-$A105))-IF(L$1=0,'Underlying Mechanics'!$B$23*(1-$B105),0)-IF(L$1&gt;0,'Underlying Mechanics'!$B$22*'Underlying Mechanics'!$B$17,0)-IF(L$1&gt;0,'Underlying Mechanics'!$B$12*'Underlying Mechanics'!$B$18,0)</x:f>
        <x:v>16380</x:v>
      </x:c>
      <x:c r="M105" t="n">
        <x:f>((IF(M$1-'Underlying Mechanics'!$B$8&lt;0,0,'Underlying Mechanics'!$B$22*'Underlying Mechanics'!$B$15*INDEX('Underlying Mechanics'!$B$31:$B$51,M$1-'Underlying Mechanics'!$B$8+1)*'Underlying Mechanics'!$B$5))*(1-$A105))-IF(M$1=0,'Underlying Mechanics'!$B$23*(1-$B105),0)-IF(M$1&gt;0,'Underlying Mechanics'!$B$22*'Underlying Mechanics'!$B$17,0)-IF(M$1&gt;0,'Underlying Mechanics'!$B$12*'Underlying Mechanics'!$B$18,0)</x:f>
        <x:v>26460.000000000007</x:v>
      </x:c>
      <x:c r="N105" t="n">
        <x:f>((IF(N$1-'Underlying Mechanics'!$B$8&lt;0,0,'Underlying Mechanics'!$B$22*'Underlying Mechanics'!$B$15*INDEX('Underlying Mechanics'!$B$31:$B$51,N$1-'Underlying Mechanics'!$B$8+1)*'Underlying Mechanics'!$B$5))*(1-$A105))-IF(N$1=0,'Underlying Mechanics'!$B$23*(1-$B105),0)-IF(N$1&gt;0,'Underlying Mechanics'!$B$22*'Underlying Mechanics'!$B$17,0)-IF(N$1&gt;0,'Underlying Mechanics'!$B$12*'Underlying Mechanics'!$B$18,0)</x:f>
        <x:v>35100</x:v>
      </x:c>
      <x:c r="O105" t="n">
        <x:f>((IF(O$1-'Underlying Mechanics'!$B$8&lt;0,0,'Underlying Mechanics'!$B$22*'Underlying Mechanics'!$B$15*INDEX('Underlying Mechanics'!$B$31:$B$51,O$1-'Underlying Mechanics'!$B$8+1)*'Underlying Mechanics'!$B$5))*(1-$A105))-IF(O$1=0,'Underlying Mechanics'!$B$23*(1-$B105),0)-IF(O$1&gt;0,'Underlying Mechanics'!$B$22*'Underlying Mechanics'!$B$17,0)-IF(O$1&gt;0,'Underlying Mechanics'!$B$12*'Underlying Mechanics'!$B$18,0)</x:f>
        <x:v>42300</x:v>
      </x:c>
      <x:c r="P105" t="n">
        <x:f>((IF(P$1-'Underlying Mechanics'!$B$8&lt;0,0,'Underlying Mechanics'!$B$22*'Underlying Mechanics'!$B$15*INDEX('Underlying Mechanics'!$B$31:$B$51,P$1-'Underlying Mechanics'!$B$8+1)*'Underlying Mechanics'!$B$5))*(1-$A105))-IF(P$1=0,'Underlying Mechanics'!$B$23*(1-$B105),0)-IF(P$1&gt;0,'Underlying Mechanics'!$B$22*'Underlying Mechanics'!$B$17,0)-IF(P$1&gt;0,'Underlying Mechanics'!$B$12*'Underlying Mechanics'!$B$18,0)</x:f>
        <x:v>49500</x:v>
      </x:c>
      <x:c r="Q105" t="n">
        <x:f>((IF(Q$1-'Underlying Mechanics'!$B$8&lt;0,0,'Underlying Mechanics'!$B$22*'Underlying Mechanics'!$B$15*INDEX('Underlying Mechanics'!$B$31:$B$51,Q$1-'Underlying Mechanics'!$B$8+1)*'Underlying Mechanics'!$B$5))*(1-$A105))-IF(Q$1=0,'Underlying Mechanics'!$B$23*(1-$B105),0)-IF(Q$1&gt;0,'Underlying Mechanics'!$B$22*'Underlying Mechanics'!$B$17,0)-IF(Q$1&gt;0,'Underlying Mechanics'!$B$12*'Underlying Mechanics'!$B$18,0)</x:f>
        <x:v>49500</x:v>
      </x:c>
      <x:c r="R105" t="n">
        <x:f>((IF(R$1-'Underlying Mechanics'!$B$8&lt;0,0,'Underlying Mechanics'!$B$22*'Underlying Mechanics'!$B$15*INDEX('Underlying Mechanics'!$B$31:$B$51,R$1-'Underlying Mechanics'!$B$8+1)*'Underlying Mechanics'!$B$5))*(1-$A105))-IF(R$1=0,'Underlying Mechanics'!$B$23*(1-$B105),0)-IF(R$1&gt;0,'Underlying Mechanics'!$B$22*'Underlying Mechanics'!$B$17,0)-IF(R$1&gt;0,'Underlying Mechanics'!$B$12*'Underlying Mechanics'!$B$18,0)</x:f>
        <x:v>49500</x:v>
      </x:c>
      <x:c r="S105" t="n">
        <x:f>((IF(S$1-'Underlying Mechanics'!$B$8&lt;0,0,'Underlying Mechanics'!$B$22*'Underlying Mechanics'!$B$15*INDEX('Underlying Mechanics'!$B$31:$B$51,S$1-'Underlying Mechanics'!$B$8+1)*'Underlying Mechanics'!$B$5))*(1-$A105))-IF(S$1=0,'Underlying Mechanics'!$B$23*(1-$B105),0)-IF(S$1&gt;0,'Underlying Mechanics'!$B$22*'Underlying Mechanics'!$B$17,0)-IF(S$1&gt;0,'Underlying Mechanics'!$B$12*'Underlying Mechanics'!$B$18,0)</x:f>
        <x:v>49500</x:v>
      </x:c>
      <x:c r="T105" t="n">
        <x:f>((IF(T$1-'Underlying Mechanics'!$B$8&lt;0,0,'Underlying Mechanics'!$B$22*'Underlying Mechanics'!$B$15*INDEX('Underlying Mechanics'!$B$31:$B$51,T$1-'Underlying Mechanics'!$B$8+1)*'Underlying Mechanics'!$B$5))*(1-$A105))-IF(T$1=0,'Underlying Mechanics'!$B$23*(1-$B105),0)-IF(T$1&gt;0,'Underlying Mechanics'!$B$22*'Underlying Mechanics'!$B$17,0)-IF(T$1&gt;0,'Underlying Mechanics'!$B$12*'Underlying Mechanics'!$B$18,0)</x:f>
        <x:v>49500</x:v>
      </x:c>
      <x:c r="U105" t="n">
        <x:f>((IF(U$1-'Underlying Mechanics'!$B$8&lt;0,0,'Underlying Mechanics'!$B$22*'Underlying Mechanics'!$B$15*INDEX('Underlying Mechanics'!$B$31:$B$51,U$1-'Underlying Mechanics'!$B$8+1)*'Underlying Mechanics'!$B$5))*(1-$A105))-IF(U$1=0,'Underlying Mechanics'!$B$23*(1-$B105),0)-IF(U$1&gt;0,'Underlying Mechanics'!$B$22*'Underlying Mechanics'!$B$17,0)-IF(U$1&gt;0,'Underlying Mechanics'!$B$12*'Underlying Mechanics'!$B$18,0)</x:f>
        <x:v>49500</x:v>
      </x:c>
      <x:c r="V105" t="n">
        <x:f>((IF(V$1-'Underlying Mechanics'!$B$8&lt;0,0,'Underlying Mechanics'!$B$22*'Underlying Mechanics'!$B$15*INDEX('Underlying Mechanics'!$B$31:$B$51,V$1-'Underlying Mechanics'!$B$8+1)*'Underlying Mechanics'!$B$5))*(1-$A105))-IF(V$1=0,'Underlying Mechanics'!$B$23*(1-$B105),0)-IF(V$1&gt;0,'Underlying Mechanics'!$B$22*'Underlying Mechanics'!$B$17,0)-IF(V$1&gt;0,'Underlying Mechanics'!$B$12*'Underlying Mechanics'!$B$18,0)</x:f>
        <x:v>49500</x:v>
      </x:c>
      <x:c r="W105" t="n">
        <x:f>((IF(W$1-'Underlying Mechanics'!$B$8&lt;0,0,'Underlying Mechanics'!$B$22*'Underlying Mechanics'!$B$15*INDEX('Underlying Mechanics'!$B$31:$B$51,W$1-'Underlying Mechanics'!$B$8+1)*'Underlying Mechanics'!$B$5))*(1-$A105))-IF(W$1=0,'Underlying Mechanics'!$B$23*(1-$B105),0)-IF(W$1&gt;0,'Underlying Mechanics'!$B$22*'Underlying Mechanics'!$B$17,0)-IF(W$1&gt;0,'Underlying Mechanics'!$B$12*'Underlying Mechanics'!$B$18,0)</x:f>
        <x:v>49500</x:v>
      </x:c>
      <x:c r="X105" t="n">
        <x:f>IFERROR(IRR(C105:W105),-1)</x:f>
        <x:v>0.13490617224896706</x:v>
      </x:c>
    </x:row>
    <x:row r="106">
      <x:c r="A106" t="n">
        <x:v>0.4</x:v>
      </x:c>
      <x:c r="B106" t="n">
        <x:v>1</x:v>
      </x:c>
      <x:c r="C106" t="n">
        <x:f>((IF(C$1-'Underlying Mechanics'!$B$8&lt;0,0,'Underlying Mechanics'!$B$22*'Underlying Mechanics'!$B$15*INDEX('Underlying Mechanics'!$B$31:$B$51,C$1-'Underlying Mechanics'!$B$8+1)*'Underlying Mechanics'!$B$5))*(1-$A106))-IF(C$1=0,'Underlying Mechanics'!$B$23*(1-$B106),0)-IF(C$1&gt;0,'Underlying Mechanics'!$B$22*'Underlying Mechanics'!$B$17,0)-IF(C$1&gt;0,'Underlying Mechanics'!$B$12*'Underlying Mechanics'!$B$18,0)</x:f>
        <x:v>0</x:v>
      </x:c>
      <x:c r="D106" t="n">
        <x:f>((IF(D$1-'Underlying Mechanics'!$B$8&lt;0,0,'Underlying Mechanics'!$B$22*'Underlying Mechanics'!$B$15*INDEX('Underlying Mechanics'!$B$31:$B$51,D$1-'Underlying Mechanics'!$B$8+1)*'Underlying Mechanics'!$B$5))*(1-$A106))-IF(D$1=0,'Underlying Mechanics'!$B$23*(1-$B106),0)-IF(D$1&gt;0,'Underlying Mechanics'!$B$22*'Underlying Mechanics'!$B$17,0)-IF(D$1&gt;0,'Underlying Mechanics'!$B$12*'Underlying Mechanics'!$B$18,0)</x:f>
        <x:v>-22500</x:v>
      </x:c>
      <x:c r="E106" t="n">
        <x:f>((IF(E$1-'Underlying Mechanics'!$B$8&lt;0,0,'Underlying Mechanics'!$B$22*'Underlying Mechanics'!$B$15*INDEX('Underlying Mechanics'!$B$31:$B$51,E$1-'Underlying Mechanics'!$B$8+1)*'Underlying Mechanics'!$B$5))*(1-$A106))-IF(E$1=0,'Underlying Mechanics'!$B$23*(1-$B106),0)-IF(E$1&gt;0,'Underlying Mechanics'!$B$22*'Underlying Mechanics'!$B$17,0)-IF(E$1&gt;0,'Underlying Mechanics'!$B$12*'Underlying Mechanics'!$B$18,0)</x:f>
        <x:v>-22500</x:v>
      </x:c>
      <x:c r="F106" t="n">
        <x:f>((IF(F$1-'Underlying Mechanics'!$B$8&lt;0,0,'Underlying Mechanics'!$B$22*'Underlying Mechanics'!$B$15*INDEX('Underlying Mechanics'!$B$31:$B$51,F$1-'Underlying Mechanics'!$B$8+1)*'Underlying Mechanics'!$B$5))*(1-$A106))-IF(F$1=0,'Underlying Mechanics'!$B$23*(1-$B106),0)-IF(F$1&gt;0,'Underlying Mechanics'!$B$22*'Underlying Mechanics'!$B$17,0)-IF(F$1&gt;0,'Underlying Mechanics'!$B$12*'Underlying Mechanics'!$B$18,0)</x:f>
        <x:v>-21060</x:v>
      </x:c>
      <x:c r="G106" t="n">
        <x:f>((IF(G$1-'Underlying Mechanics'!$B$8&lt;0,0,'Underlying Mechanics'!$B$22*'Underlying Mechanics'!$B$15*INDEX('Underlying Mechanics'!$B$31:$B$51,G$1-'Underlying Mechanics'!$B$8+1)*'Underlying Mechanics'!$B$5))*(1-$A106))-IF(G$1=0,'Underlying Mechanics'!$B$23*(1-$B106),0)-IF(G$1&gt;0,'Underlying Mechanics'!$B$22*'Underlying Mechanics'!$B$17,0)-IF(G$1&gt;0,'Underlying Mechanics'!$B$12*'Underlying Mechanics'!$B$18,0)</x:f>
        <x:v>-18900</x:v>
      </x:c>
      <x:c r="H106" t="n">
        <x:f>((IF(H$1-'Underlying Mechanics'!$B$8&lt;0,0,'Underlying Mechanics'!$B$22*'Underlying Mechanics'!$B$15*INDEX('Underlying Mechanics'!$B$31:$B$51,H$1-'Underlying Mechanics'!$B$8+1)*'Underlying Mechanics'!$B$5))*(1-$A106))-IF(H$1=0,'Underlying Mechanics'!$B$23*(1-$B106),0)-IF(H$1&gt;0,'Underlying Mechanics'!$B$22*'Underlying Mechanics'!$B$17,0)-IF(H$1&gt;0,'Underlying Mechanics'!$B$12*'Underlying Mechanics'!$B$18,0)</x:f>
        <x:v>-15300</x:v>
      </x:c>
      <x:c r="I106" t="n">
        <x:f>((IF(I$1-'Underlying Mechanics'!$B$8&lt;0,0,'Underlying Mechanics'!$B$22*'Underlying Mechanics'!$B$15*INDEX('Underlying Mechanics'!$B$31:$B$51,I$1-'Underlying Mechanics'!$B$8+1)*'Underlying Mechanics'!$B$5))*(1-$A106))-IF(I$1=0,'Underlying Mechanics'!$B$23*(1-$B106),0)-IF(I$1&gt;0,'Underlying Mechanics'!$B$22*'Underlying Mechanics'!$B$17,0)-IF(I$1&gt;0,'Underlying Mechanics'!$B$12*'Underlying Mechanics'!$B$18,0)</x:f>
        <x:v>-9540</x:v>
      </x:c>
      <x:c r="J106" t="n">
        <x:f>((IF(J$1-'Underlying Mechanics'!$B$8&lt;0,0,'Underlying Mechanics'!$B$22*'Underlying Mechanics'!$B$15*INDEX('Underlying Mechanics'!$B$31:$B$51,J$1-'Underlying Mechanics'!$B$8+1)*'Underlying Mechanics'!$B$5))*(1-$A106))-IF(J$1=0,'Underlying Mechanics'!$B$23*(1-$B106),0)-IF(J$1&gt;0,'Underlying Mechanics'!$B$22*'Underlying Mechanics'!$B$17,0)-IF(J$1&gt;0,'Underlying Mechanics'!$B$12*'Underlying Mechanics'!$B$18,0)</x:f>
        <x:v>-2339.9999999999964</x:v>
      </x:c>
      <x:c r="K106" t="n">
        <x:f>((IF(K$1-'Underlying Mechanics'!$B$8&lt;0,0,'Underlying Mechanics'!$B$22*'Underlying Mechanics'!$B$15*INDEX('Underlying Mechanics'!$B$31:$B$51,K$1-'Underlying Mechanics'!$B$8+1)*'Underlying Mechanics'!$B$5))*(1-$A106))-IF(K$1=0,'Underlying Mechanics'!$B$23*(1-$B106),0)-IF(K$1&gt;0,'Underlying Mechanics'!$B$22*'Underlying Mechanics'!$B$17,0)-IF(K$1&gt;0,'Underlying Mechanics'!$B$12*'Underlying Mechanics'!$B$18,0)</x:f>
        <x:v>6300</x:v>
      </x:c>
      <x:c r="L106" t="n">
        <x:f>((IF(L$1-'Underlying Mechanics'!$B$8&lt;0,0,'Underlying Mechanics'!$B$22*'Underlying Mechanics'!$B$15*INDEX('Underlying Mechanics'!$B$31:$B$51,L$1-'Underlying Mechanics'!$B$8+1)*'Underlying Mechanics'!$B$5))*(1-$A106))-IF(L$1=0,'Underlying Mechanics'!$B$23*(1-$B106),0)-IF(L$1&gt;0,'Underlying Mechanics'!$B$22*'Underlying Mechanics'!$B$17,0)-IF(L$1&gt;0,'Underlying Mechanics'!$B$12*'Underlying Mechanics'!$B$18,0)</x:f>
        <x:v>16380</x:v>
      </x:c>
      <x:c r="M106" t="n">
        <x:f>((IF(M$1-'Underlying Mechanics'!$B$8&lt;0,0,'Underlying Mechanics'!$B$22*'Underlying Mechanics'!$B$15*INDEX('Underlying Mechanics'!$B$31:$B$51,M$1-'Underlying Mechanics'!$B$8+1)*'Underlying Mechanics'!$B$5))*(1-$A106))-IF(M$1=0,'Underlying Mechanics'!$B$23*(1-$B106),0)-IF(M$1&gt;0,'Underlying Mechanics'!$B$22*'Underlying Mechanics'!$B$17,0)-IF(M$1&gt;0,'Underlying Mechanics'!$B$12*'Underlying Mechanics'!$B$18,0)</x:f>
        <x:v>26460.000000000007</x:v>
      </x:c>
      <x:c r="N106" t="n">
        <x:f>((IF(N$1-'Underlying Mechanics'!$B$8&lt;0,0,'Underlying Mechanics'!$B$22*'Underlying Mechanics'!$B$15*INDEX('Underlying Mechanics'!$B$31:$B$51,N$1-'Underlying Mechanics'!$B$8+1)*'Underlying Mechanics'!$B$5))*(1-$A106))-IF(N$1=0,'Underlying Mechanics'!$B$23*(1-$B106),0)-IF(N$1&gt;0,'Underlying Mechanics'!$B$22*'Underlying Mechanics'!$B$17,0)-IF(N$1&gt;0,'Underlying Mechanics'!$B$12*'Underlying Mechanics'!$B$18,0)</x:f>
        <x:v>35100</x:v>
      </x:c>
      <x:c r="O106" t="n">
        <x:f>((IF(O$1-'Underlying Mechanics'!$B$8&lt;0,0,'Underlying Mechanics'!$B$22*'Underlying Mechanics'!$B$15*INDEX('Underlying Mechanics'!$B$31:$B$51,O$1-'Underlying Mechanics'!$B$8+1)*'Underlying Mechanics'!$B$5))*(1-$A106))-IF(O$1=0,'Underlying Mechanics'!$B$23*(1-$B106),0)-IF(O$1&gt;0,'Underlying Mechanics'!$B$22*'Underlying Mechanics'!$B$17,0)-IF(O$1&gt;0,'Underlying Mechanics'!$B$12*'Underlying Mechanics'!$B$18,0)</x:f>
        <x:v>42300</x:v>
      </x:c>
      <x:c r="P106" t="n">
        <x:f>((IF(P$1-'Underlying Mechanics'!$B$8&lt;0,0,'Underlying Mechanics'!$B$22*'Underlying Mechanics'!$B$15*INDEX('Underlying Mechanics'!$B$31:$B$51,P$1-'Underlying Mechanics'!$B$8+1)*'Underlying Mechanics'!$B$5))*(1-$A106))-IF(P$1=0,'Underlying Mechanics'!$B$23*(1-$B106),0)-IF(P$1&gt;0,'Underlying Mechanics'!$B$22*'Underlying Mechanics'!$B$17,0)-IF(P$1&gt;0,'Underlying Mechanics'!$B$12*'Underlying Mechanics'!$B$18,0)</x:f>
        <x:v>49500</x:v>
      </x:c>
      <x:c r="Q106" t="n">
        <x:f>((IF(Q$1-'Underlying Mechanics'!$B$8&lt;0,0,'Underlying Mechanics'!$B$22*'Underlying Mechanics'!$B$15*INDEX('Underlying Mechanics'!$B$31:$B$51,Q$1-'Underlying Mechanics'!$B$8+1)*'Underlying Mechanics'!$B$5))*(1-$A106))-IF(Q$1=0,'Underlying Mechanics'!$B$23*(1-$B106),0)-IF(Q$1&gt;0,'Underlying Mechanics'!$B$22*'Underlying Mechanics'!$B$17,0)-IF(Q$1&gt;0,'Underlying Mechanics'!$B$12*'Underlying Mechanics'!$B$18,0)</x:f>
        <x:v>49500</x:v>
      </x:c>
      <x:c r="R106" t="n">
        <x:f>((IF(R$1-'Underlying Mechanics'!$B$8&lt;0,0,'Underlying Mechanics'!$B$22*'Underlying Mechanics'!$B$15*INDEX('Underlying Mechanics'!$B$31:$B$51,R$1-'Underlying Mechanics'!$B$8+1)*'Underlying Mechanics'!$B$5))*(1-$A106))-IF(R$1=0,'Underlying Mechanics'!$B$23*(1-$B106),0)-IF(R$1&gt;0,'Underlying Mechanics'!$B$22*'Underlying Mechanics'!$B$17,0)-IF(R$1&gt;0,'Underlying Mechanics'!$B$12*'Underlying Mechanics'!$B$18,0)</x:f>
        <x:v>49500</x:v>
      </x:c>
      <x:c r="S106" t="n">
        <x:f>((IF(S$1-'Underlying Mechanics'!$B$8&lt;0,0,'Underlying Mechanics'!$B$22*'Underlying Mechanics'!$B$15*INDEX('Underlying Mechanics'!$B$31:$B$51,S$1-'Underlying Mechanics'!$B$8+1)*'Underlying Mechanics'!$B$5))*(1-$A106))-IF(S$1=0,'Underlying Mechanics'!$B$23*(1-$B106),0)-IF(S$1&gt;0,'Underlying Mechanics'!$B$22*'Underlying Mechanics'!$B$17,0)-IF(S$1&gt;0,'Underlying Mechanics'!$B$12*'Underlying Mechanics'!$B$18,0)</x:f>
        <x:v>49500</x:v>
      </x:c>
      <x:c r="T106" t="n">
        <x:f>((IF(T$1-'Underlying Mechanics'!$B$8&lt;0,0,'Underlying Mechanics'!$B$22*'Underlying Mechanics'!$B$15*INDEX('Underlying Mechanics'!$B$31:$B$51,T$1-'Underlying Mechanics'!$B$8+1)*'Underlying Mechanics'!$B$5))*(1-$A106))-IF(T$1=0,'Underlying Mechanics'!$B$23*(1-$B106),0)-IF(T$1&gt;0,'Underlying Mechanics'!$B$22*'Underlying Mechanics'!$B$17,0)-IF(T$1&gt;0,'Underlying Mechanics'!$B$12*'Underlying Mechanics'!$B$18,0)</x:f>
        <x:v>49500</x:v>
      </x:c>
      <x:c r="U106" t="n">
        <x:f>((IF(U$1-'Underlying Mechanics'!$B$8&lt;0,0,'Underlying Mechanics'!$B$22*'Underlying Mechanics'!$B$15*INDEX('Underlying Mechanics'!$B$31:$B$51,U$1-'Underlying Mechanics'!$B$8+1)*'Underlying Mechanics'!$B$5))*(1-$A106))-IF(U$1=0,'Underlying Mechanics'!$B$23*(1-$B106),0)-IF(U$1&gt;0,'Underlying Mechanics'!$B$22*'Underlying Mechanics'!$B$17,0)-IF(U$1&gt;0,'Underlying Mechanics'!$B$12*'Underlying Mechanics'!$B$18,0)</x:f>
        <x:v>49500</x:v>
      </x:c>
      <x:c r="V106" t="n">
        <x:f>((IF(V$1-'Underlying Mechanics'!$B$8&lt;0,0,'Underlying Mechanics'!$B$22*'Underlying Mechanics'!$B$15*INDEX('Underlying Mechanics'!$B$31:$B$51,V$1-'Underlying Mechanics'!$B$8+1)*'Underlying Mechanics'!$B$5))*(1-$A106))-IF(V$1=0,'Underlying Mechanics'!$B$23*(1-$B106),0)-IF(V$1&gt;0,'Underlying Mechanics'!$B$22*'Underlying Mechanics'!$B$17,0)-IF(V$1&gt;0,'Underlying Mechanics'!$B$12*'Underlying Mechanics'!$B$18,0)</x:f>
        <x:v>49500</x:v>
      </x:c>
      <x:c r="W106" t="n">
        <x:f>((IF(W$1-'Underlying Mechanics'!$B$8&lt;0,0,'Underlying Mechanics'!$B$22*'Underlying Mechanics'!$B$15*INDEX('Underlying Mechanics'!$B$31:$B$51,W$1-'Underlying Mechanics'!$B$8+1)*'Underlying Mechanics'!$B$5))*(1-$A106))-IF(W$1=0,'Underlying Mechanics'!$B$23*(1-$B106),0)-IF(W$1&gt;0,'Underlying Mechanics'!$B$22*'Underlying Mechanics'!$B$17,0)-IF(W$1&gt;0,'Underlying Mechanics'!$B$12*'Underlying Mechanics'!$B$18,0)</x:f>
        <x:v>49500</x:v>
      </x:c>
      <x:c r="X106" t="n">
        <x:f>IFERROR(IRR(C106:W106),-1)</x:f>
        <x:v>0.14467853506202444</x:v>
      </x:c>
    </x:row>
    <x:row r="107">
      <x:c r="A107" t="n">
        <x:v>0.5</x:v>
      </x:c>
      <x:c r="B107" t="n">
        <x:v>0</x:v>
      </x:c>
      <x:c r="C107" t="n">
        <x:f>((IF(C$1-'Underlying Mechanics'!$B$8&lt;0,0,'Underlying Mechanics'!$B$22*'Underlying Mechanics'!$B$15*INDEX('Underlying Mechanics'!$B$31:$B$51,C$1-'Underlying Mechanics'!$B$8+1)*'Underlying Mechanics'!$B$5))*(1-$A107))-IF(C$1=0,'Underlying Mechanics'!$B$23*(1-$B107),0)-IF(C$1&gt;0,'Underlying Mechanics'!$B$22*'Underlying Mechanics'!$B$17,0)-IF(C$1&gt;0,'Underlying Mechanics'!$B$12*'Underlying Mechanics'!$B$18,0)</x:f>
        <x:v>-150000</x:v>
      </x:c>
      <x:c r="D107" t="n">
        <x:f>((IF(D$1-'Underlying Mechanics'!$B$8&lt;0,0,'Underlying Mechanics'!$B$22*'Underlying Mechanics'!$B$15*INDEX('Underlying Mechanics'!$B$31:$B$51,D$1-'Underlying Mechanics'!$B$8+1)*'Underlying Mechanics'!$B$5))*(1-$A107))-IF(D$1=0,'Underlying Mechanics'!$B$23*(1-$B107),0)-IF(D$1&gt;0,'Underlying Mechanics'!$B$22*'Underlying Mechanics'!$B$17,0)-IF(D$1&gt;0,'Underlying Mechanics'!$B$12*'Underlying Mechanics'!$B$18,0)</x:f>
        <x:v>-22500</x:v>
      </x:c>
      <x:c r="E107" t="n">
        <x:f>((IF(E$1-'Underlying Mechanics'!$B$8&lt;0,0,'Underlying Mechanics'!$B$22*'Underlying Mechanics'!$B$15*INDEX('Underlying Mechanics'!$B$31:$B$51,E$1-'Underlying Mechanics'!$B$8+1)*'Underlying Mechanics'!$B$5))*(1-$A107))-IF(E$1=0,'Underlying Mechanics'!$B$23*(1-$B107),0)-IF(E$1&gt;0,'Underlying Mechanics'!$B$22*'Underlying Mechanics'!$B$17,0)-IF(E$1&gt;0,'Underlying Mechanics'!$B$12*'Underlying Mechanics'!$B$18,0)</x:f>
        <x:v>-22500</x:v>
      </x:c>
      <x:c r="F107" t="n">
        <x:f>((IF(F$1-'Underlying Mechanics'!$B$8&lt;0,0,'Underlying Mechanics'!$B$22*'Underlying Mechanics'!$B$15*INDEX('Underlying Mechanics'!$B$31:$B$51,F$1-'Underlying Mechanics'!$B$8+1)*'Underlying Mechanics'!$B$5))*(1-$A107))-IF(F$1=0,'Underlying Mechanics'!$B$23*(1-$B107),0)-IF(F$1&gt;0,'Underlying Mechanics'!$B$22*'Underlying Mechanics'!$B$17,0)-IF(F$1&gt;0,'Underlying Mechanics'!$B$12*'Underlying Mechanics'!$B$18,0)</x:f>
        <x:v>-21300</x:v>
      </x:c>
      <x:c r="G107" t="n">
        <x:f>((IF(G$1-'Underlying Mechanics'!$B$8&lt;0,0,'Underlying Mechanics'!$B$22*'Underlying Mechanics'!$B$15*INDEX('Underlying Mechanics'!$B$31:$B$51,G$1-'Underlying Mechanics'!$B$8+1)*'Underlying Mechanics'!$B$5))*(1-$A107))-IF(G$1=0,'Underlying Mechanics'!$B$23*(1-$B107),0)-IF(G$1&gt;0,'Underlying Mechanics'!$B$22*'Underlying Mechanics'!$B$17,0)-IF(G$1&gt;0,'Underlying Mechanics'!$B$12*'Underlying Mechanics'!$B$18,0)</x:f>
        <x:v>-19500</x:v>
      </x:c>
      <x:c r="H107" t="n">
        <x:f>((IF(H$1-'Underlying Mechanics'!$B$8&lt;0,0,'Underlying Mechanics'!$B$22*'Underlying Mechanics'!$B$15*INDEX('Underlying Mechanics'!$B$31:$B$51,H$1-'Underlying Mechanics'!$B$8+1)*'Underlying Mechanics'!$B$5))*(1-$A107))-IF(H$1=0,'Underlying Mechanics'!$B$23*(1-$B107),0)-IF(H$1&gt;0,'Underlying Mechanics'!$B$22*'Underlying Mechanics'!$B$17,0)-IF(H$1&gt;0,'Underlying Mechanics'!$B$12*'Underlying Mechanics'!$B$18,0)</x:f>
        <x:v>-16500</x:v>
      </x:c>
      <x:c r="I107" t="n">
        <x:f>((IF(I$1-'Underlying Mechanics'!$B$8&lt;0,0,'Underlying Mechanics'!$B$22*'Underlying Mechanics'!$B$15*INDEX('Underlying Mechanics'!$B$31:$B$51,I$1-'Underlying Mechanics'!$B$8+1)*'Underlying Mechanics'!$B$5))*(1-$A107))-IF(I$1=0,'Underlying Mechanics'!$B$23*(1-$B107),0)-IF(I$1&gt;0,'Underlying Mechanics'!$B$22*'Underlying Mechanics'!$B$17,0)-IF(I$1&gt;0,'Underlying Mechanics'!$B$12*'Underlying Mechanics'!$B$18,0)</x:f>
        <x:v>-11700</x:v>
      </x:c>
      <x:c r="J107" t="n">
        <x:f>((IF(J$1-'Underlying Mechanics'!$B$8&lt;0,0,'Underlying Mechanics'!$B$22*'Underlying Mechanics'!$B$15*INDEX('Underlying Mechanics'!$B$31:$B$51,J$1-'Underlying Mechanics'!$B$8+1)*'Underlying Mechanics'!$B$5))*(1-$A107))-IF(J$1=0,'Underlying Mechanics'!$B$23*(1-$B107),0)-IF(J$1&gt;0,'Underlying Mechanics'!$B$22*'Underlying Mechanics'!$B$17,0)-IF(J$1&gt;0,'Underlying Mechanics'!$B$12*'Underlying Mechanics'!$B$18,0)</x:f>
        <x:v>-5699.999999999996</x:v>
      </x:c>
      <x:c r="K107" t="n">
        <x:f>((IF(K$1-'Underlying Mechanics'!$B$8&lt;0,0,'Underlying Mechanics'!$B$22*'Underlying Mechanics'!$B$15*INDEX('Underlying Mechanics'!$B$31:$B$51,K$1-'Underlying Mechanics'!$B$8+1)*'Underlying Mechanics'!$B$5))*(1-$A107))-IF(K$1=0,'Underlying Mechanics'!$B$23*(1-$B107),0)-IF(K$1&gt;0,'Underlying Mechanics'!$B$22*'Underlying Mechanics'!$B$17,0)-IF(K$1&gt;0,'Underlying Mechanics'!$B$12*'Underlying Mechanics'!$B$18,0)</x:f>
        <x:v>1500</x:v>
      </x:c>
      <x:c r="L107" t="n">
        <x:f>((IF(L$1-'Underlying Mechanics'!$B$8&lt;0,0,'Underlying Mechanics'!$B$22*'Underlying Mechanics'!$B$15*INDEX('Underlying Mechanics'!$B$31:$B$51,L$1-'Underlying Mechanics'!$B$8+1)*'Underlying Mechanics'!$B$5))*(1-$A107))-IF(L$1=0,'Underlying Mechanics'!$B$23*(1-$B107),0)-IF(L$1&gt;0,'Underlying Mechanics'!$B$22*'Underlying Mechanics'!$B$17,0)-IF(L$1&gt;0,'Underlying Mechanics'!$B$12*'Underlying Mechanics'!$B$18,0)</x:f>
        <x:v>9900</x:v>
      </x:c>
      <x:c r="M107" t="n">
        <x:f>((IF(M$1-'Underlying Mechanics'!$B$8&lt;0,0,'Underlying Mechanics'!$B$22*'Underlying Mechanics'!$B$15*INDEX('Underlying Mechanics'!$B$31:$B$51,M$1-'Underlying Mechanics'!$B$8+1)*'Underlying Mechanics'!$B$5))*(1-$A107))-IF(M$1=0,'Underlying Mechanics'!$B$23*(1-$B107),0)-IF(M$1&gt;0,'Underlying Mechanics'!$B$22*'Underlying Mechanics'!$B$17,0)-IF(M$1&gt;0,'Underlying Mechanics'!$B$12*'Underlying Mechanics'!$B$18,0)</x:f>
        <x:v>18300.000000000007</x:v>
      </x:c>
      <x:c r="N107" t="n">
        <x:f>((IF(N$1-'Underlying Mechanics'!$B$8&lt;0,0,'Underlying Mechanics'!$B$22*'Underlying Mechanics'!$B$15*INDEX('Underlying Mechanics'!$B$31:$B$51,N$1-'Underlying Mechanics'!$B$8+1)*'Underlying Mechanics'!$B$5))*(1-$A107))-IF(N$1=0,'Underlying Mechanics'!$B$23*(1-$B107),0)-IF(N$1&gt;0,'Underlying Mechanics'!$B$22*'Underlying Mechanics'!$B$17,0)-IF(N$1&gt;0,'Underlying Mechanics'!$B$12*'Underlying Mechanics'!$B$18,0)</x:f>
        <x:v>25500</x:v>
      </x:c>
      <x:c r="O107" t="n">
        <x:f>((IF(O$1-'Underlying Mechanics'!$B$8&lt;0,0,'Underlying Mechanics'!$B$22*'Underlying Mechanics'!$B$15*INDEX('Underlying Mechanics'!$B$31:$B$51,O$1-'Underlying Mechanics'!$B$8+1)*'Underlying Mechanics'!$B$5))*(1-$A107))-IF(O$1=0,'Underlying Mechanics'!$B$23*(1-$B107),0)-IF(O$1&gt;0,'Underlying Mechanics'!$B$22*'Underlying Mechanics'!$B$17,0)-IF(O$1&gt;0,'Underlying Mechanics'!$B$12*'Underlying Mechanics'!$B$18,0)</x:f>
        <x:v>31500</x:v>
      </x:c>
      <x:c r="P107" t="n">
        <x:f>((IF(P$1-'Underlying Mechanics'!$B$8&lt;0,0,'Underlying Mechanics'!$B$22*'Underlying Mechanics'!$B$15*INDEX('Underlying Mechanics'!$B$31:$B$51,P$1-'Underlying Mechanics'!$B$8+1)*'Underlying Mechanics'!$B$5))*(1-$A107))-IF(P$1=0,'Underlying Mechanics'!$B$23*(1-$B107),0)-IF(P$1&gt;0,'Underlying Mechanics'!$B$22*'Underlying Mechanics'!$B$17,0)-IF(P$1&gt;0,'Underlying Mechanics'!$B$12*'Underlying Mechanics'!$B$18,0)</x:f>
        <x:v>37500</x:v>
      </x:c>
      <x:c r="Q107" t="n">
        <x:f>((IF(Q$1-'Underlying Mechanics'!$B$8&lt;0,0,'Underlying Mechanics'!$B$22*'Underlying Mechanics'!$B$15*INDEX('Underlying Mechanics'!$B$31:$B$51,Q$1-'Underlying Mechanics'!$B$8+1)*'Underlying Mechanics'!$B$5))*(1-$A107))-IF(Q$1=0,'Underlying Mechanics'!$B$23*(1-$B107),0)-IF(Q$1&gt;0,'Underlying Mechanics'!$B$22*'Underlying Mechanics'!$B$17,0)-IF(Q$1&gt;0,'Underlying Mechanics'!$B$12*'Underlying Mechanics'!$B$18,0)</x:f>
        <x:v>37500</x:v>
      </x:c>
      <x:c r="R107" t="n">
        <x:f>((IF(R$1-'Underlying Mechanics'!$B$8&lt;0,0,'Underlying Mechanics'!$B$22*'Underlying Mechanics'!$B$15*INDEX('Underlying Mechanics'!$B$31:$B$51,R$1-'Underlying Mechanics'!$B$8+1)*'Underlying Mechanics'!$B$5))*(1-$A107))-IF(R$1=0,'Underlying Mechanics'!$B$23*(1-$B107),0)-IF(R$1&gt;0,'Underlying Mechanics'!$B$22*'Underlying Mechanics'!$B$17,0)-IF(R$1&gt;0,'Underlying Mechanics'!$B$12*'Underlying Mechanics'!$B$18,0)</x:f>
        <x:v>37500</x:v>
      </x:c>
      <x:c r="S107" t="n">
        <x:f>((IF(S$1-'Underlying Mechanics'!$B$8&lt;0,0,'Underlying Mechanics'!$B$22*'Underlying Mechanics'!$B$15*INDEX('Underlying Mechanics'!$B$31:$B$51,S$1-'Underlying Mechanics'!$B$8+1)*'Underlying Mechanics'!$B$5))*(1-$A107))-IF(S$1=0,'Underlying Mechanics'!$B$23*(1-$B107),0)-IF(S$1&gt;0,'Underlying Mechanics'!$B$22*'Underlying Mechanics'!$B$17,0)-IF(S$1&gt;0,'Underlying Mechanics'!$B$12*'Underlying Mechanics'!$B$18,0)</x:f>
        <x:v>37500</x:v>
      </x:c>
      <x:c r="T107" t="n">
        <x:f>((IF(T$1-'Underlying Mechanics'!$B$8&lt;0,0,'Underlying Mechanics'!$B$22*'Underlying Mechanics'!$B$15*INDEX('Underlying Mechanics'!$B$31:$B$51,T$1-'Underlying Mechanics'!$B$8+1)*'Underlying Mechanics'!$B$5))*(1-$A107))-IF(T$1=0,'Underlying Mechanics'!$B$23*(1-$B107),0)-IF(T$1&gt;0,'Underlying Mechanics'!$B$22*'Underlying Mechanics'!$B$17,0)-IF(T$1&gt;0,'Underlying Mechanics'!$B$12*'Underlying Mechanics'!$B$18,0)</x:f>
        <x:v>37500</x:v>
      </x:c>
      <x:c r="U107" t="n">
        <x:f>((IF(U$1-'Underlying Mechanics'!$B$8&lt;0,0,'Underlying Mechanics'!$B$22*'Underlying Mechanics'!$B$15*INDEX('Underlying Mechanics'!$B$31:$B$51,U$1-'Underlying Mechanics'!$B$8+1)*'Underlying Mechanics'!$B$5))*(1-$A107))-IF(U$1=0,'Underlying Mechanics'!$B$23*(1-$B107),0)-IF(U$1&gt;0,'Underlying Mechanics'!$B$22*'Underlying Mechanics'!$B$17,0)-IF(U$1&gt;0,'Underlying Mechanics'!$B$12*'Underlying Mechanics'!$B$18,0)</x:f>
        <x:v>37500</x:v>
      </x:c>
      <x:c r="V107" t="n">
        <x:f>((IF(V$1-'Underlying Mechanics'!$B$8&lt;0,0,'Underlying Mechanics'!$B$22*'Underlying Mechanics'!$B$15*INDEX('Underlying Mechanics'!$B$31:$B$51,V$1-'Underlying Mechanics'!$B$8+1)*'Underlying Mechanics'!$B$5))*(1-$A107))-IF(V$1=0,'Underlying Mechanics'!$B$23*(1-$B107),0)-IF(V$1&gt;0,'Underlying Mechanics'!$B$22*'Underlying Mechanics'!$B$17,0)-IF(V$1&gt;0,'Underlying Mechanics'!$B$12*'Underlying Mechanics'!$B$18,0)</x:f>
        <x:v>37500</x:v>
      </x:c>
      <x:c r="W107" t="n">
        <x:f>((IF(W$1-'Underlying Mechanics'!$B$8&lt;0,0,'Underlying Mechanics'!$B$22*'Underlying Mechanics'!$B$15*INDEX('Underlying Mechanics'!$B$31:$B$51,W$1-'Underlying Mechanics'!$B$8+1)*'Underlying Mechanics'!$B$5))*(1-$A107))-IF(W$1=0,'Underlying Mechanics'!$B$23*(1-$B107),0)-IF(W$1&gt;0,'Underlying Mechanics'!$B$22*'Underlying Mechanics'!$B$17,0)-IF(W$1&gt;0,'Underlying Mechanics'!$B$12*'Underlying Mechanics'!$B$18,0)</x:f>
        <x:v>37500</x:v>
      </x:c>
      <x:c r="X107" t="n">
        <x:f>IFERROR(IRR(C107:W107),-1)</x:f>
        <x:v>0.026707486748378393</x:v>
      </x:c>
    </x:row>
    <x:row r="108">
      <x:c r="A108" t="n">
        <x:v>0.5</x:v>
      </x:c>
      <x:c r="B108" t="n">
        <x:v>0.05</x:v>
      </x:c>
      <x:c r="C108" t="n">
        <x:f>((IF(C$1-'Underlying Mechanics'!$B$8&lt;0,0,'Underlying Mechanics'!$B$22*'Underlying Mechanics'!$B$15*INDEX('Underlying Mechanics'!$B$31:$B$51,C$1-'Underlying Mechanics'!$B$8+1)*'Underlying Mechanics'!$B$5))*(1-$A108))-IF(C$1=0,'Underlying Mechanics'!$B$23*(1-$B108),0)-IF(C$1&gt;0,'Underlying Mechanics'!$B$22*'Underlying Mechanics'!$B$17,0)-IF(C$1&gt;0,'Underlying Mechanics'!$B$12*'Underlying Mechanics'!$B$18,0)</x:f>
        <x:v>-142500</x:v>
      </x:c>
      <x:c r="D108" t="n">
        <x:f>((IF(D$1-'Underlying Mechanics'!$B$8&lt;0,0,'Underlying Mechanics'!$B$22*'Underlying Mechanics'!$B$15*INDEX('Underlying Mechanics'!$B$31:$B$51,D$1-'Underlying Mechanics'!$B$8+1)*'Underlying Mechanics'!$B$5))*(1-$A108))-IF(D$1=0,'Underlying Mechanics'!$B$23*(1-$B108),0)-IF(D$1&gt;0,'Underlying Mechanics'!$B$22*'Underlying Mechanics'!$B$17,0)-IF(D$1&gt;0,'Underlying Mechanics'!$B$12*'Underlying Mechanics'!$B$18,0)</x:f>
        <x:v>-22500</x:v>
      </x:c>
      <x:c r="E108" t="n">
        <x:f>((IF(E$1-'Underlying Mechanics'!$B$8&lt;0,0,'Underlying Mechanics'!$B$22*'Underlying Mechanics'!$B$15*INDEX('Underlying Mechanics'!$B$31:$B$51,E$1-'Underlying Mechanics'!$B$8+1)*'Underlying Mechanics'!$B$5))*(1-$A108))-IF(E$1=0,'Underlying Mechanics'!$B$23*(1-$B108),0)-IF(E$1&gt;0,'Underlying Mechanics'!$B$22*'Underlying Mechanics'!$B$17,0)-IF(E$1&gt;0,'Underlying Mechanics'!$B$12*'Underlying Mechanics'!$B$18,0)</x:f>
        <x:v>-22500</x:v>
      </x:c>
      <x:c r="F108" t="n">
        <x:f>((IF(F$1-'Underlying Mechanics'!$B$8&lt;0,0,'Underlying Mechanics'!$B$22*'Underlying Mechanics'!$B$15*INDEX('Underlying Mechanics'!$B$31:$B$51,F$1-'Underlying Mechanics'!$B$8+1)*'Underlying Mechanics'!$B$5))*(1-$A108))-IF(F$1=0,'Underlying Mechanics'!$B$23*(1-$B108),0)-IF(F$1&gt;0,'Underlying Mechanics'!$B$22*'Underlying Mechanics'!$B$17,0)-IF(F$1&gt;0,'Underlying Mechanics'!$B$12*'Underlying Mechanics'!$B$18,0)</x:f>
        <x:v>-21300</x:v>
      </x:c>
      <x:c r="G108" t="n">
        <x:f>((IF(G$1-'Underlying Mechanics'!$B$8&lt;0,0,'Underlying Mechanics'!$B$22*'Underlying Mechanics'!$B$15*INDEX('Underlying Mechanics'!$B$31:$B$51,G$1-'Underlying Mechanics'!$B$8+1)*'Underlying Mechanics'!$B$5))*(1-$A108))-IF(G$1=0,'Underlying Mechanics'!$B$23*(1-$B108),0)-IF(G$1&gt;0,'Underlying Mechanics'!$B$22*'Underlying Mechanics'!$B$17,0)-IF(G$1&gt;0,'Underlying Mechanics'!$B$12*'Underlying Mechanics'!$B$18,0)</x:f>
        <x:v>-19500</x:v>
      </x:c>
      <x:c r="H108" t="n">
        <x:f>((IF(H$1-'Underlying Mechanics'!$B$8&lt;0,0,'Underlying Mechanics'!$B$22*'Underlying Mechanics'!$B$15*INDEX('Underlying Mechanics'!$B$31:$B$51,H$1-'Underlying Mechanics'!$B$8+1)*'Underlying Mechanics'!$B$5))*(1-$A108))-IF(H$1=0,'Underlying Mechanics'!$B$23*(1-$B108),0)-IF(H$1&gt;0,'Underlying Mechanics'!$B$22*'Underlying Mechanics'!$B$17,0)-IF(H$1&gt;0,'Underlying Mechanics'!$B$12*'Underlying Mechanics'!$B$18,0)</x:f>
        <x:v>-16500</x:v>
      </x:c>
      <x:c r="I108" t="n">
        <x:f>((IF(I$1-'Underlying Mechanics'!$B$8&lt;0,0,'Underlying Mechanics'!$B$22*'Underlying Mechanics'!$B$15*INDEX('Underlying Mechanics'!$B$31:$B$51,I$1-'Underlying Mechanics'!$B$8+1)*'Underlying Mechanics'!$B$5))*(1-$A108))-IF(I$1=0,'Underlying Mechanics'!$B$23*(1-$B108),0)-IF(I$1&gt;0,'Underlying Mechanics'!$B$22*'Underlying Mechanics'!$B$17,0)-IF(I$1&gt;0,'Underlying Mechanics'!$B$12*'Underlying Mechanics'!$B$18,0)</x:f>
        <x:v>-11700</x:v>
      </x:c>
      <x:c r="J108" t="n">
        <x:f>((IF(J$1-'Underlying Mechanics'!$B$8&lt;0,0,'Underlying Mechanics'!$B$22*'Underlying Mechanics'!$B$15*INDEX('Underlying Mechanics'!$B$31:$B$51,J$1-'Underlying Mechanics'!$B$8+1)*'Underlying Mechanics'!$B$5))*(1-$A108))-IF(J$1=0,'Underlying Mechanics'!$B$23*(1-$B108),0)-IF(J$1&gt;0,'Underlying Mechanics'!$B$22*'Underlying Mechanics'!$B$17,0)-IF(J$1&gt;0,'Underlying Mechanics'!$B$12*'Underlying Mechanics'!$B$18,0)</x:f>
        <x:v>-5699.999999999996</x:v>
      </x:c>
      <x:c r="K108" t="n">
        <x:f>((IF(K$1-'Underlying Mechanics'!$B$8&lt;0,0,'Underlying Mechanics'!$B$22*'Underlying Mechanics'!$B$15*INDEX('Underlying Mechanics'!$B$31:$B$51,K$1-'Underlying Mechanics'!$B$8+1)*'Underlying Mechanics'!$B$5))*(1-$A108))-IF(K$1=0,'Underlying Mechanics'!$B$23*(1-$B108),0)-IF(K$1&gt;0,'Underlying Mechanics'!$B$22*'Underlying Mechanics'!$B$17,0)-IF(K$1&gt;0,'Underlying Mechanics'!$B$12*'Underlying Mechanics'!$B$18,0)</x:f>
        <x:v>1500</x:v>
      </x:c>
      <x:c r="L108" t="n">
        <x:f>((IF(L$1-'Underlying Mechanics'!$B$8&lt;0,0,'Underlying Mechanics'!$B$22*'Underlying Mechanics'!$B$15*INDEX('Underlying Mechanics'!$B$31:$B$51,L$1-'Underlying Mechanics'!$B$8+1)*'Underlying Mechanics'!$B$5))*(1-$A108))-IF(L$1=0,'Underlying Mechanics'!$B$23*(1-$B108),0)-IF(L$1&gt;0,'Underlying Mechanics'!$B$22*'Underlying Mechanics'!$B$17,0)-IF(L$1&gt;0,'Underlying Mechanics'!$B$12*'Underlying Mechanics'!$B$18,0)</x:f>
        <x:v>9900</x:v>
      </x:c>
      <x:c r="M108" t="n">
        <x:f>((IF(M$1-'Underlying Mechanics'!$B$8&lt;0,0,'Underlying Mechanics'!$B$22*'Underlying Mechanics'!$B$15*INDEX('Underlying Mechanics'!$B$31:$B$51,M$1-'Underlying Mechanics'!$B$8+1)*'Underlying Mechanics'!$B$5))*(1-$A108))-IF(M$1=0,'Underlying Mechanics'!$B$23*(1-$B108),0)-IF(M$1&gt;0,'Underlying Mechanics'!$B$22*'Underlying Mechanics'!$B$17,0)-IF(M$1&gt;0,'Underlying Mechanics'!$B$12*'Underlying Mechanics'!$B$18,0)</x:f>
        <x:v>18300.000000000007</x:v>
      </x:c>
      <x:c r="N108" t="n">
        <x:f>((IF(N$1-'Underlying Mechanics'!$B$8&lt;0,0,'Underlying Mechanics'!$B$22*'Underlying Mechanics'!$B$15*INDEX('Underlying Mechanics'!$B$31:$B$51,N$1-'Underlying Mechanics'!$B$8+1)*'Underlying Mechanics'!$B$5))*(1-$A108))-IF(N$1=0,'Underlying Mechanics'!$B$23*(1-$B108),0)-IF(N$1&gt;0,'Underlying Mechanics'!$B$22*'Underlying Mechanics'!$B$17,0)-IF(N$1&gt;0,'Underlying Mechanics'!$B$12*'Underlying Mechanics'!$B$18,0)</x:f>
        <x:v>25500</x:v>
      </x:c>
      <x:c r="O108" t="n">
        <x:f>((IF(O$1-'Underlying Mechanics'!$B$8&lt;0,0,'Underlying Mechanics'!$B$22*'Underlying Mechanics'!$B$15*INDEX('Underlying Mechanics'!$B$31:$B$51,O$1-'Underlying Mechanics'!$B$8+1)*'Underlying Mechanics'!$B$5))*(1-$A108))-IF(O$1=0,'Underlying Mechanics'!$B$23*(1-$B108),0)-IF(O$1&gt;0,'Underlying Mechanics'!$B$22*'Underlying Mechanics'!$B$17,0)-IF(O$1&gt;0,'Underlying Mechanics'!$B$12*'Underlying Mechanics'!$B$18,0)</x:f>
        <x:v>31500</x:v>
      </x:c>
      <x:c r="P108" t="n">
        <x:f>((IF(P$1-'Underlying Mechanics'!$B$8&lt;0,0,'Underlying Mechanics'!$B$22*'Underlying Mechanics'!$B$15*INDEX('Underlying Mechanics'!$B$31:$B$51,P$1-'Underlying Mechanics'!$B$8+1)*'Underlying Mechanics'!$B$5))*(1-$A108))-IF(P$1=0,'Underlying Mechanics'!$B$23*(1-$B108),0)-IF(P$1&gt;0,'Underlying Mechanics'!$B$22*'Underlying Mechanics'!$B$17,0)-IF(P$1&gt;0,'Underlying Mechanics'!$B$12*'Underlying Mechanics'!$B$18,0)</x:f>
        <x:v>37500</x:v>
      </x:c>
      <x:c r="Q108" t="n">
        <x:f>((IF(Q$1-'Underlying Mechanics'!$B$8&lt;0,0,'Underlying Mechanics'!$B$22*'Underlying Mechanics'!$B$15*INDEX('Underlying Mechanics'!$B$31:$B$51,Q$1-'Underlying Mechanics'!$B$8+1)*'Underlying Mechanics'!$B$5))*(1-$A108))-IF(Q$1=0,'Underlying Mechanics'!$B$23*(1-$B108),0)-IF(Q$1&gt;0,'Underlying Mechanics'!$B$22*'Underlying Mechanics'!$B$17,0)-IF(Q$1&gt;0,'Underlying Mechanics'!$B$12*'Underlying Mechanics'!$B$18,0)</x:f>
        <x:v>37500</x:v>
      </x:c>
      <x:c r="R108" t="n">
        <x:f>((IF(R$1-'Underlying Mechanics'!$B$8&lt;0,0,'Underlying Mechanics'!$B$22*'Underlying Mechanics'!$B$15*INDEX('Underlying Mechanics'!$B$31:$B$51,R$1-'Underlying Mechanics'!$B$8+1)*'Underlying Mechanics'!$B$5))*(1-$A108))-IF(R$1=0,'Underlying Mechanics'!$B$23*(1-$B108),0)-IF(R$1&gt;0,'Underlying Mechanics'!$B$22*'Underlying Mechanics'!$B$17,0)-IF(R$1&gt;0,'Underlying Mechanics'!$B$12*'Underlying Mechanics'!$B$18,0)</x:f>
        <x:v>37500</x:v>
      </x:c>
      <x:c r="S108" t="n">
        <x:f>((IF(S$1-'Underlying Mechanics'!$B$8&lt;0,0,'Underlying Mechanics'!$B$22*'Underlying Mechanics'!$B$15*INDEX('Underlying Mechanics'!$B$31:$B$51,S$1-'Underlying Mechanics'!$B$8+1)*'Underlying Mechanics'!$B$5))*(1-$A108))-IF(S$1=0,'Underlying Mechanics'!$B$23*(1-$B108),0)-IF(S$1&gt;0,'Underlying Mechanics'!$B$22*'Underlying Mechanics'!$B$17,0)-IF(S$1&gt;0,'Underlying Mechanics'!$B$12*'Underlying Mechanics'!$B$18,0)</x:f>
        <x:v>37500</x:v>
      </x:c>
      <x:c r="T108" t="n">
        <x:f>((IF(T$1-'Underlying Mechanics'!$B$8&lt;0,0,'Underlying Mechanics'!$B$22*'Underlying Mechanics'!$B$15*INDEX('Underlying Mechanics'!$B$31:$B$51,T$1-'Underlying Mechanics'!$B$8+1)*'Underlying Mechanics'!$B$5))*(1-$A108))-IF(T$1=0,'Underlying Mechanics'!$B$23*(1-$B108),0)-IF(T$1&gt;0,'Underlying Mechanics'!$B$22*'Underlying Mechanics'!$B$17,0)-IF(T$1&gt;0,'Underlying Mechanics'!$B$12*'Underlying Mechanics'!$B$18,0)</x:f>
        <x:v>37500</x:v>
      </x:c>
      <x:c r="U108" t="n">
        <x:f>((IF(U$1-'Underlying Mechanics'!$B$8&lt;0,0,'Underlying Mechanics'!$B$22*'Underlying Mechanics'!$B$15*INDEX('Underlying Mechanics'!$B$31:$B$51,U$1-'Underlying Mechanics'!$B$8+1)*'Underlying Mechanics'!$B$5))*(1-$A108))-IF(U$1=0,'Underlying Mechanics'!$B$23*(1-$B108),0)-IF(U$1&gt;0,'Underlying Mechanics'!$B$22*'Underlying Mechanics'!$B$17,0)-IF(U$1&gt;0,'Underlying Mechanics'!$B$12*'Underlying Mechanics'!$B$18,0)</x:f>
        <x:v>37500</x:v>
      </x:c>
      <x:c r="V108" t="n">
        <x:f>((IF(V$1-'Underlying Mechanics'!$B$8&lt;0,0,'Underlying Mechanics'!$B$22*'Underlying Mechanics'!$B$15*INDEX('Underlying Mechanics'!$B$31:$B$51,V$1-'Underlying Mechanics'!$B$8+1)*'Underlying Mechanics'!$B$5))*(1-$A108))-IF(V$1=0,'Underlying Mechanics'!$B$23*(1-$B108),0)-IF(V$1&gt;0,'Underlying Mechanics'!$B$22*'Underlying Mechanics'!$B$17,0)-IF(V$1&gt;0,'Underlying Mechanics'!$B$12*'Underlying Mechanics'!$B$18,0)</x:f>
        <x:v>37500</x:v>
      </x:c>
      <x:c r="W108" t="n">
        <x:f>((IF(W$1-'Underlying Mechanics'!$B$8&lt;0,0,'Underlying Mechanics'!$B$22*'Underlying Mechanics'!$B$15*INDEX('Underlying Mechanics'!$B$31:$B$51,W$1-'Underlying Mechanics'!$B$8+1)*'Underlying Mechanics'!$B$5))*(1-$A108))-IF(W$1=0,'Underlying Mechanics'!$B$23*(1-$B108),0)-IF(W$1&gt;0,'Underlying Mechanics'!$B$22*'Underlying Mechanics'!$B$17,0)-IF(W$1&gt;0,'Underlying Mechanics'!$B$12*'Underlying Mechanics'!$B$18,0)</x:f>
        <x:v>37500</x:v>
      </x:c>
      <x:c r="X108" t="n">
        <x:f>IFERROR(IRR(C108:W108),-1)</x:f>
        <x:v>0.028931180681215557</x:v>
      </x:c>
    </x:row>
    <x:row r="109">
      <x:c r="A109" t="n">
        <x:v>0.5</x:v>
      </x:c>
      <x:c r="B109" t="n">
        <x:v>0.1</x:v>
      </x:c>
      <x:c r="C109" t="n">
        <x:f>((IF(C$1-'Underlying Mechanics'!$B$8&lt;0,0,'Underlying Mechanics'!$B$22*'Underlying Mechanics'!$B$15*INDEX('Underlying Mechanics'!$B$31:$B$51,C$1-'Underlying Mechanics'!$B$8+1)*'Underlying Mechanics'!$B$5))*(1-$A109))-IF(C$1=0,'Underlying Mechanics'!$B$23*(1-$B109),0)-IF(C$1&gt;0,'Underlying Mechanics'!$B$22*'Underlying Mechanics'!$B$17,0)-IF(C$1&gt;0,'Underlying Mechanics'!$B$12*'Underlying Mechanics'!$B$18,0)</x:f>
        <x:v>-135000</x:v>
      </x:c>
      <x:c r="D109" t="n">
        <x:f>((IF(D$1-'Underlying Mechanics'!$B$8&lt;0,0,'Underlying Mechanics'!$B$22*'Underlying Mechanics'!$B$15*INDEX('Underlying Mechanics'!$B$31:$B$51,D$1-'Underlying Mechanics'!$B$8+1)*'Underlying Mechanics'!$B$5))*(1-$A109))-IF(D$1=0,'Underlying Mechanics'!$B$23*(1-$B109),0)-IF(D$1&gt;0,'Underlying Mechanics'!$B$22*'Underlying Mechanics'!$B$17,0)-IF(D$1&gt;0,'Underlying Mechanics'!$B$12*'Underlying Mechanics'!$B$18,0)</x:f>
        <x:v>-22500</x:v>
      </x:c>
      <x:c r="E109" t="n">
        <x:f>((IF(E$1-'Underlying Mechanics'!$B$8&lt;0,0,'Underlying Mechanics'!$B$22*'Underlying Mechanics'!$B$15*INDEX('Underlying Mechanics'!$B$31:$B$51,E$1-'Underlying Mechanics'!$B$8+1)*'Underlying Mechanics'!$B$5))*(1-$A109))-IF(E$1=0,'Underlying Mechanics'!$B$23*(1-$B109),0)-IF(E$1&gt;0,'Underlying Mechanics'!$B$22*'Underlying Mechanics'!$B$17,0)-IF(E$1&gt;0,'Underlying Mechanics'!$B$12*'Underlying Mechanics'!$B$18,0)</x:f>
        <x:v>-22500</x:v>
      </x:c>
      <x:c r="F109" t="n">
        <x:f>((IF(F$1-'Underlying Mechanics'!$B$8&lt;0,0,'Underlying Mechanics'!$B$22*'Underlying Mechanics'!$B$15*INDEX('Underlying Mechanics'!$B$31:$B$51,F$1-'Underlying Mechanics'!$B$8+1)*'Underlying Mechanics'!$B$5))*(1-$A109))-IF(F$1=0,'Underlying Mechanics'!$B$23*(1-$B109),0)-IF(F$1&gt;0,'Underlying Mechanics'!$B$22*'Underlying Mechanics'!$B$17,0)-IF(F$1&gt;0,'Underlying Mechanics'!$B$12*'Underlying Mechanics'!$B$18,0)</x:f>
        <x:v>-21300</x:v>
      </x:c>
      <x:c r="G109" t="n">
        <x:f>((IF(G$1-'Underlying Mechanics'!$B$8&lt;0,0,'Underlying Mechanics'!$B$22*'Underlying Mechanics'!$B$15*INDEX('Underlying Mechanics'!$B$31:$B$51,G$1-'Underlying Mechanics'!$B$8+1)*'Underlying Mechanics'!$B$5))*(1-$A109))-IF(G$1=0,'Underlying Mechanics'!$B$23*(1-$B109),0)-IF(G$1&gt;0,'Underlying Mechanics'!$B$22*'Underlying Mechanics'!$B$17,0)-IF(G$1&gt;0,'Underlying Mechanics'!$B$12*'Underlying Mechanics'!$B$18,0)</x:f>
        <x:v>-19500</x:v>
      </x:c>
      <x:c r="H109" t="n">
        <x:f>((IF(H$1-'Underlying Mechanics'!$B$8&lt;0,0,'Underlying Mechanics'!$B$22*'Underlying Mechanics'!$B$15*INDEX('Underlying Mechanics'!$B$31:$B$51,H$1-'Underlying Mechanics'!$B$8+1)*'Underlying Mechanics'!$B$5))*(1-$A109))-IF(H$1=0,'Underlying Mechanics'!$B$23*(1-$B109),0)-IF(H$1&gt;0,'Underlying Mechanics'!$B$22*'Underlying Mechanics'!$B$17,0)-IF(H$1&gt;0,'Underlying Mechanics'!$B$12*'Underlying Mechanics'!$B$18,0)</x:f>
        <x:v>-16500</x:v>
      </x:c>
      <x:c r="I109" t="n">
        <x:f>((IF(I$1-'Underlying Mechanics'!$B$8&lt;0,0,'Underlying Mechanics'!$B$22*'Underlying Mechanics'!$B$15*INDEX('Underlying Mechanics'!$B$31:$B$51,I$1-'Underlying Mechanics'!$B$8+1)*'Underlying Mechanics'!$B$5))*(1-$A109))-IF(I$1=0,'Underlying Mechanics'!$B$23*(1-$B109),0)-IF(I$1&gt;0,'Underlying Mechanics'!$B$22*'Underlying Mechanics'!$B$17,0)-IF(I$1&gt;0,'Underlying Mechanics'!$B$12*'Underlying Mechanics'!$B$18,0)</x:f>
        <x:v>-11700</x:v>
      </x:c>
      <x:c r="J109" t="n">
        <x:f>((IF(J$1-'Underlying Mechanics'!$B$8&lt;0,0,'Underlying Mechanics'!$B$22*'Underlying Mechanics'!$B$15*INDEX('Underlying Mechanics'!$B$31:$B$51,J$1-'Underlying Mechanics'!$B$8+1)*'Underlying Mechanics'!$B$5))*(1-$A109))-IF(J$1=0,'Underlying Mechanics'!$B$23*(1-$B109),0)-IF(J$1&gt;0,'Underlying Mechanics'!$B$22*'Underlying Mechanics'!$B$17,0)-IF(J$1&gt;0,'Underlying Mechanics'!$B$12*'Underlying Mechanics'!$B$18,0)</x:f>
        <x:v>-5699.999999999996</x:v>
      </x:c>
      <x:c r="K109" t="n">
        <x:f>((IF(K$1-'Underlying Mechanics'!$B$8&lt;0,0,'Underlying Mechanics'!$B$22*'Underlying Mechanics'!$B$15*INDEX('Underlying Mechanics'!$B$31:$B$51,K$1-'Underlying Mechanics'!$B$8+1)*'Underlying Mechanics'!$B$5))*(1-$A109))-IF(K$1=0,'Underlying Mechanics'!$B$23*(1-$B109),0)-IF(K$1&gt;0,'Underlying Mechanics'!$B$22*'Underlying Mechanics'!$B$17,0)-IF(K$1&gt;0,'Underlying Mechanics'!$B$12*'Underlying Mechanics'!$B$18,0)</x:f>
        <x:v>1500</x:v>
      </x:c>
      <x:c r="L109" t="n">
        <x:f>((IF(L$1-'Underlying Mechanics'!$B$8&lt;0,0,'Underlying Mechanics'!$B$22*'Underlying Mechanics'!$B$15*INDEX('Underlying Mechanics'!$B$31:$B$51,L$1-'Underlying Mechanics'!$B$8+1)*'Underlying Mechanics'!$B$5))*(1-$A109))-IF(L$1=0,'Underlying Mechanics'!$B$23*(1-$B109),0)-IF(L$1&gt;0,'Underlying Mechanics'!$B$22*'Underlying Mechanics'!$B$17,0)-IF(L$1&gt;0,'Underlying Mechanics'!$B$12*'Underlying Mechanics'!$B$18,0)</x:f>
        <x:v>9900</x:v>
      </x:c>
      <x:c r="M109" t="n">
        <x:f>((IF(M$1-'Underlying Mechanics'!$B$8&lt;0,0,'Underlying Mechanics'!$B$22*'Underlying Mechanics'!$B$15*INDEX('Underlying Mechanics'!$B$31:$B$51,M$1-'Underlying Mechanics'!$B$8+1)*'Underlying Mechanics'!$B$5))*(1-$A109))-IF(M$1=0,'Underlying Mechanics'!$B$23*(1-$B109),0)-IF(M$1&gt;0,'Underlying Mechanics'!$B$22*'Underlying Mechanics'!$B$17,0)-IF(M$1&gt;0,'Underlying Mechanics'!$B$12*'Underlying Mechanics'!$B$18,0)</x:f>
        <x:v>18300.000000000007</x:v>
      </x:c>
      <x:c r="N109" t="n">
        <x:f>((IF(N$1-'Underlying Mechanics'!$B$8&lt;0,0,'Underlying Mechanics'!$B$22*'Underlying Mechanics'!$B$15*INDEX('Underlying Mechanics'!$B$31:$B$51,N$1-'Underlying Mechanics'!$B$8+1)*'Underlying Mechanics'!$B$5))*(1-$A109))-IF(N$1=0,'Underlying Mechanics'!$B$23*(1-$B109),0)-IF(N$1&gt;0,'Underlying Mechanics'!$B$22*'Underlying Mechanics'!$B$17,0)-IF(N$1&gt;0,'Underlying Mechanics'!$B$12*'Underlying Mechanics'!$B$18,0)</x:f>
        <x:v>25500</x:v>
      </x:c>
      <x:c r="O109" t="n">
        <x:f>((IF(O$1-'Underlying Mechanics'!$B$8&lt;0,0,'Underlying Mechanics'!$B$22*'Underlying Mechanics'!$B$15*INDEX('Underlying Mechanics'!$B$31:$B$51,O$1-'Underlying Mechanics'!$B$8+1)*'Underlying Mechanics'!$B$5))*(1-$A109))-IF(O$1=0,'Underlying Mechanics'!$B$23*(1-$B109),0)-IF(O$1&gt;0,'Underlying Mechanics'!$B$22*'Underlying Mechanics'!$B$17,0)-IF(O$1&gt;0,'Underlying Mechanics'!$B$12*'Underlying Mechanics'!$B$18,0)</x:f>
        <x:v>31500</x:v>
      </x:c>
      <x:c r="P109" t="n">
        <x:f>((IF(P$1-'Underlying Mechanics'!$B$8&lt;0,0,'Underlying Mechanics'!$B$22*'Underlying Mechanics'!$B$15*INDEX('Underlying Mechanics'!$B$31:$B$51,P$1-'Underlying Mechanics'!$B$8+1)*'Underlying Mechanics'!$B$5))*(1-$A109))-IF(P$1=0,'Underlying Mechanics'!$B$23*(1-$B109),0)-IF(P$1&gt;0,'Underlying Mechanics'!$B$22*'Underlying Mechanics'!$B$17,0)-IF(P$1&gt;0,'Underlying Mechanics'!$B$12*'Underlying Mechanics'!$B$18,0)</x:f>
        <x:v>37500</x:v>
      </x:c>
      <x:c r="Q109" t="n">
        <x:f>((IF(Q$1-'Underlying Mechanics'!$B$8&lt;0,0,'Underlying Mechanics'!$B$22*'Underlying Mechanics'!$B$15*INDEX('Underlying Mechanics'!$B$31:$B$51,Q$1-'Underlying Mechanics'!$B$8+1)*'Underlying Mechanics'!$B$5))*(1-$A109))-IF(Q$1=0,'Underlying Mechanics'!$B$23*(1-$B109),0)-IF(Q$1&gt;0,'Underlying Mechanics'!$B$22*'Underlying Mechanics'!$B$17,0)-IF(Q$1&gt;0,'Underlying Mechanics'!$B$12*'Underlying Mechanics'!$B$18,0)</x:f>
        <x:v>37500</x:v>
      </x:c>
      <x:c r="R109" t="n">
        <x:f>((IF(R$1-'Underlying Mechanics'!$B$8&lt;0,0,'Underlying Mechanics'!$B$22*'Underlying Mechanics'!$B$15*INDEX('Underlying Mechanics'!$B$31:$B$51,R$1-'Underlying Mechanics'!$B$8+1)*'Underlying Mechanics'!$B$5))*(1-$A109))-IF(R$1=0,'Underlying Mechanics'!$B$23*(1-$B109),0)-IF(R$1&gt;0,'Underlying Mechanics'!$B$22*'Underlying Mechanics'!$B$17,0)-IF(R$1&gt;0,'Underlying Mechanics'!$B$12*'Underlying Mechanics'!$B$18,0)</x:f>
        <x:v>37500</x:v>
      </x:c>
      <x:c r="S109" t="n">
        <x:f>((IF(S$1-'Underlying Mechanics'!$B$8&lt;0,0,'Underlying Mechanics'!$B$22*'Underlying Mechanics'!$B$15*INDEX('Underlying Mechanics'!$B$31:$B$51,S$1-'Underlying Mechanics'!$B$8+1)*'Underlying Mechanics'!$B$5))*(1-$A109))-IF(S$1=0,'Underlying Mechanics'!$B$23*(1-$B109),0)-IF(S$1&gt;0,'Underlying Mechanics'!$B$22*'Underlying Mechanics'!$B$17,0)-IF(S$1&gt;0,'Underlying Mechanics'!$B$12*'Underlying Mechanics'!$B$18,0)</x:f>
        <x:v>37500</x:v>
      </x:c>
      <x:c r="T109" t="n">
        <x:f>((IF(T$1-'Underlying Mechanics'!$B$8&lt;0,0,'Underlying Mechanics'!$B$22*'Underlying Mechanics'!$B$15*INDEX('Underlying Mechanics'!$B$31:$B$51,T$1-'Underlying Mechanics'!$B$8+1)*'Underlying Mechanics'!$B$5))*(1-$A109))-IF(T$1=0,'Underlying Mechanics'!$B$23*(1-$B109),0)-IF(T$1&gt;0,'Underlying Mechanics'!$B$22*'Underlying Mechanics'!$B$17,0)-IF(T$1&gt;0,'Underlying Mechanics'!$B$12*'Underlying Mechanics'!$B$18,0)</x:f>
        <x:v>37500</x:v>
      </x:c>
      <x:c r="U109" t="n">
        <x:f>((IF(U$1-'Underlying Mechanics'!$B$8&lt;0,0,'Underlying Mechanics'!$B$22*'Underlying Mechanics'!$B$15*INDEX('Underlying Mechanics'!$B$31:$B$51,U$1-'Underlying Mechanics'!$B$8+1)*'Underlying Mechanics'!$B$5))*(1-$A109))-IF(U$1=0,'Underlying Mechanics'!$B$23*(1-$B109),0)-IF(U$1&gt;0,'Underlying Mechanics'!$B$22*'Underlying Mechanics'!$B$17,0)-IF(U$1&gt;0,'Underlying Mechanics'!$B$12*'Underlying Mechanics'!$B$18,0)</x:f>
        <x:v>37500</x:v>
      </x:c>
      <x:c r="V109" t="n">
        <x:f>((IF(V$1-'Underlying Mechanics'!$B$8&lt;0,0,'Underlying Mechanics'!$B$22*'Underlying Mechanics'!$B$15*INDEX('Underlying Mechanics'!$B$31:$B$51,V$1-'Underlying Mechanics'!$B$8+1)*'Underlying Mechanics'!$B$5))*(1-$A109))-IF(V$1=0,'Underlying Mechanics'!$B$23*(1-$B109),0)-IF(V$1&gt;0,'Underlying Mechanics'!$B$22*'Underlying Mechanics'!$B$17,0)-IF(V$1&gt;0,'Underlying Mechanics'!$B$12*'Underlying Mechanics'!$B$18,0)</x:f>
        <x:v>37500</x:v>
      </x:c>
      <x:c r="W109" t="n">
        <x:f>((IF(W$1-'Underlying Mechanics'!$B$8&lt;0,0,'Underlying Mechanics'!$B$22*'Underlying Mechanics'!$B$15*INDEX('Underlying Mechanics'!$B$31:$B$51,W$1-'Underlying Mechanics'!$B$8+1)*'Underlying Mechanics'!$B$5))*(1-$A109))-IF(W$1=0,'Underlying Mechanics'!$B$23*(1-$B109),0)-IF(W$1&gt;0,'Underlying Mechanics'!$B$22*'Underlying Mechanics'!$B$17,0)-IF(W$1&gt;0,'Underlying Mechanics'!$B$12*'Underlying Mechanics'!$B$18,0)</x:f>
        <x:v>37500</x:v>
      </x:c>
      <x:c r="X109" t="n">
        <x:f>IFERROR(IRR(C109:W109),-1)</x:f>
        <x:v>0.03124392145963554</x:v>
      </x:c>
    </x:row>
    <x:row r="110">
      <x:c r="A110" t="n">
        <x:v>0.5</x:v>
      </x:c>
      <x:c r="B110" t="n">
        <x:v>0.15</x:v>
      </x:c>
      <x:c r="C110" t="n">
        <x:f>((IF(C$1-'Underlying Mechanics'!$B$8&lt;0,0,'Underlying Mechanics'!$B$22*'Underlying Mechanics'!$B$15*INDEX('Underlying Mechanics'!$B$31:$B$51,C$1-'Underlying Mechanics'!$B$8+1)*'Underlying Mechanics'!$B$5))*(1-$A110))-IF(C$1=0,'Underlying Mechanics'!$B$23*(1-$B110),0)-IF(C$1&gt;0,'Underlying Mechanics'!$B$22*'Underlying Mechanics'!$B$17,0)-IF(C$1&gt;0,'Underlying Mechanics'!$B$12*'Underlying Mechanics'!$B$18,0)</x:f>
        <x:v>-127500</x:v>
      </x:c>
      <x:c r="D110" t="n">
        <x:f>((IF(D$1-'Underlying Mechanics'!$B$8&lt;0,0,'Underlying Mechanics'!$B$22*'Underlying Mechanics'!$B$15*INDEX('Underlying Mechanics'!$B$31:$B$51,D$1-'Underlying Mechanics'!$B$8+1)*'Underlying Mechanics'!$B$5))*(1-$A110))-IF(D$1=0,'Underlying Mechanics'!$B$23*(1-$B110),0)-IF(D$1&gt;0,'Underlying Mechanics'!$B$22*'Underlying Mechanics'!$B$17,0)-IF(D$1&gt;0,'Underlying Mechanics'!$B$12*'Underlying Mechanics'!$B$18,0)</x:f>
        <x:v>-22500</x:v>
      </x:c>
      <x:c r="E110" t="n">
        <x:f>((IF(E$1-'Underlying Mechanics'!$B$8&lt;0,0,'Underlying Mechanics'!$B$22*'Underlying Mechanics'!$B$15*INDEX('Underlying Mechanics'!$B$31:$B$51,E$1-'Underlying Mechanics'!$B$8+1)*'Underlying Mechanics'!$B$5))*(1-$A110))-IF(E$1=0,'Underlying Mechanics'!$B$23*(1-$B110),0)-IF(E$1&gt;0,'Underlying Mechanics'!$B$22*'Underlying Mechanics'!$B$17,0)-IF(E$1&gt;0,'Underlying Mechanics'!$B$12*'Underlying Mechanics'!$B$18,0)</x:f>
        <x:v>-22500</x:v>
      </x:c>
      <x:c r="F110" t="n">
        <x:f>((IF(F$1-'Underlying Mechanics'!$B$8&lt;0,0,'Underlying Mechanics'!$B$22*'Underlying Mechanics'!$B$15*INDEX('Underlying Mechanics'!$B$31:$B$51,F$1-'Underlying Mechanics'!$B$8+1)*'Underlying Mechanics'!$B$5))*(1-$A110))-IF(F$1=0,'Underlying Mechanics'!$B$23*(1-$B110),0)-IF(F$1&gt;0,'Underlying Mechanics'!$B$22*'Underlying Mechanics'!$B$17,0)-IF(F$1&gt;0,'Underlying Mechanics'!$B$12*'Underlying Mechanics'!$B$18,0)</x:f>
        <x:v>-21300</x:v>
      </x:c>
      <x:c r="G110" t="n">
        <x:f>((IF(G$1-'Underlying Mechanics'!$B$8&lt;0,0,'Underlying Mechanics'!$B$22*'Underlying Mechanics'!$B$15*INDEX('Underlying Mechanics'!$B$31:$B$51,G$1-'Underlying Mechanics'!$B$8+1)*'Underlying Mechanics'!$B$5))*(1-$A110))-IF(G$1=0,'Underlying Mechanics'!$B$23*(1-$B110),0)-IF(G$1&gt;0,'Underlying Mechanics'!$B$22*'Underlying Mechanics'!$B$17,0)-IF(G$1&gt;0,'Underlying Mechanics'!$B$12*'Underlying Mechanics'!$B$18,0)</x:f>
        <x:v>-19500</x:v>
      </x:c>
      <x:c r="H110" t="n">
        <x:f>((IF(H$1-'Underlying Mechanics'!$B$8&lt;0,0,'Underlying Mechanics'!$B$22*'Underlying Mechanics'!$B$15*INDEX('Underlying Mechanics'!$B$31:$B$51,H$1-'Underlying Mechanics'!$B$8+1)*'Underlying Mechanics'!$B$5))*(1-$A110))-IF(H$1=0,'Underlying Mechanics'!$B$23*(1-$B110),0)-IF(H$1&gt;0,'Underlying Mechanics'!$B$22*'Underlying Mechanics'!$B$17,0)-IF(H$1&gt;0,'Underlying Mechanics'!$B$12*'Underlying Mechanics'!$B$18,0)</x:f>
        <x:v>-16500</x:v>
      </x:c>
      <x:c r="I110" t="n">
        <x:f>((IF(I$1-'Underlying Mechanics'!$B$8&lt;0,0,'Underlying Mechanics'!$B$22*'Underlying Mechanics'!$B$15*INDEX('Underlying Mechanics'!$B$31:$B$51,I$1-'Underlying Mechanics'!$B$8+1)*'Underlying Mechanics'!$B$5))*(1-$A110))-IF(I$1=0,'Underlying Mechanics'!$B$23*(1-$B110),0)-IF(I$1&gt;0,'Underlying Mechanics'!$B$22*'Underlying Mechanics'!$B$17,0)-IF(I$1&gt;0,'Underlying Mechanics'!$B$12*'Underlying Mechanics'!$B$18,0)</x:f>
        <x:v>-11700</x:v>
      </x:c>
      <x:c r="J110" t="n">
        <x:f>((IF(J$1-'Underlying Mechanics'!$B$8&lt;0,0,'Underlying Mechanics'!$B$22*'Underlying Mechanics'!$B$15*INDEX('Underlying Mechanics'!$B$31:$B$51,J$1-'Underlying Mechanics'!$B$8+1)*'Underlying Mechanics'!$B$5))*(1-$A110))-IF(J$1=0,'Underlying Mechanics'!$B$23*(1-$B110),0)-IF(J$1&gt;0,'Underlying Mechanics'!$B$22*'Underlying Mechanics'!$B$17,0)-IF(J$1&gt;0,'Underlying Mechanics'!$B$12*'Underlying Mechanics'!$B$18,0)</x:f>
        <x:v>-5699.999999999996</x:v>
      </x:c>
      <x:c r="K110" t="n">
        <x:f>((IF(K$1-'Underlying Mechanics'!$B$8&lt;0,0,'Underlying Mechanics'!$B$22*'Underlying Mechanics'!$B$15*INDEX('Underlying Mechanics'!$B$31:$B$51,K$1-'Underlying Mechanics'!$B$8+1)*'Underlying Mechanics'!$B$5))*(1-$A110))-IF(K$1=0,'Underlying Mechanics'!$B$23*(1-$B110),0)-IF(K$1&gt;0,'Underlying Mechanics'!$B$22*'Underlying Mechanics'!$B$17,0)-IF(K$1&gt;0,'Underlying Mechanics'!$B$12*'Underlying Mechanics'!$B$18,0)</x:f>
        <x:v>1500</x:v>
      </x:c>
      <x:c r="L110" t="n">
        <x:f>((IF(L$1-'Underlying Mechanics'!$B$8&lt;0,0,'Underlying Mechanics'!$B$22*'Underlying Mechanics'!$B$15*INDEX('Underlying Mechanics'!$B$31:$B$51,L$1-'Underlying Mechanics'!$B$8+1)*'Underlying Mechanics'!$B$5))*(1-$A110))-IF(L$1=0,'Underlying Mechanics'!$B$23*(1-$B110),0)-IF(L$1&gt;0,'Underlying Mechanics'!$B$22*'Underlying Mechanics'!$B$17,0)-IF(L$1&gt;0,'Underlying Mechanics'!$B$12*'Underlying Mechanics'!$B$18,0)</x:f>
        <x:v>9900</x:v>
      </x:c>
      <x:c r="M110" t="n">
        <x:f>((IF(M$1-'Underlying Mechanics'!$B$8&lt;0,0,'Underlying Mechanics'!$B$22*'Underlying Mechanics'!$B$15*INDEX('Underlying Mechanics'!$B$31:$B$51,M$1-'Underlying Mechanics'!$B$8+1)*'Underlying Mechanics'!$B$5))*(1-$A110))-IF(M$1=0,'Underlying Mechanics'!$B$23*(1-$B110),0)-IF(M$1&gt;0,'Underlying Mechanics'!$B$22*'Underlying Mechanics'!$B$17,0)-IF(M$1&gt;0,'Underlying Mechanics'!$B$12*'Underlying Mechanics'!$B$18,0)</x:f>
        <x:v>18300.000000000007</x:v>
      </x:c>
      <x:c r="N110" t="n">
        <x:f>((IF(N$1-'Underlying Mechanics'!$B$8&lt;0,0,'Underlying Mechanics'!$B$22*'Underlying Mechanics'!$B$15*INDEX('Underlying Mechanics'!$B$31:$B$51,N$1-'Underlying Mechanics'!$B$8+1)*'Underlying Mechanics'!$B$5))*(1-$A110))-IF(N$1=0,'Underlying Mechanics'!$B$23*(1-$B110),0)-IF(N$1&gt;0,'Underlying Mechanics'!$B$22*'Underlying Mechanics'!$B$17,0)-IF(N$1&gt;0,'Underlying Mechanics'!$B$12*'Underlying Mechanics'!$B$18,0)</x:f>
        <x:v>25500</x:v>
      </x:c>
      <x:c r="O110" t="n">
        <x:f>((IF(O$1-'Underlying Mechanics'!$B$8&lt;0,0,'Underlying Mechanics'!$B$22*'Underlying Mechanics'!$B$15*INDEX('Underlying Mechanics'!$B$31:$B$51,O$1-'Underlying Mechanics'!$B$8+1)*'Underlying Mechanics'!$B$5))*(1-$A110))-IF(O$1=0,'Underlying Mechanics'!$B$23*(1-$B110),0)-IF(O$1&gt;0,'Underlying Mechanics'!$B$22*'Underlying Mechanics'!$B$17,0)-IF(O$1&gt;0,'Underlying Mechanics'!$B$12*'Underlying Mechanics'!$B$18,0)</x:f>
        <x:v>31500</x:v>
      </x:c>
      <x:c r="P110" t="n">
        <x:f>((IF(P$1-'Underlying Mechanics'!$B$8&lt;0,0,'Underlying Mechanics'!$B$22*'Underlying Mechanics'!$B$15*INDEX('Underlying Mechanics'!$B$31:$B$51,P$1-'Underlying Mechanics'!$B$8+1)*'Underlying Mechanics'!$B$5))*(1-$A110))-IF(P$1=0,'Underlying Mechanics'!$B$23*(1-$B110),0)-IF(P$1&gt;0,'Underlying Mechanics'!$B$22*'Underlying Mechanics'!$B$17,0)-IF(P$1&gt;0,'Underlying Mechanics'!$B$12*'Underlying Mechanics'!$B$18,0)</x:f>
        <x:v>37500</x:v>
      </x:c>
      <x:c r="Q110" t="n">
        <x:f>((IF(Q$1-'Underlying Mechanics'!$B$8&lt;0,0,'Underlying Mechanics'!$B$22*'Underlying Mechanics'!$B$15*INDEX('Underlying Mechanics'!$B$31:$B$51,Q$1-'Underlying Mechanics'!$B$8+1)*'Underlying Mechanics'!$B$5))*(1-$A110))-IF(Q$1=0,'Underlying Mechanics'!$B$23*(1-$B110),0)-IF(Q$1&gt;0,'Underlying Mechanics'!$B$22*'Underlying Mechanics'!$B$17,0)-IF(Q$1&gt;0,'Underlying Mechanics'!$B$12*'Underlying Mechanics'!$B$18,0)</x:f>
        <x:v>37500</x:v>
      </x:c>
      <x:c r="R110" t="n">
        <x:f>((IF(R$1-'Underlying Mechanics'!$B$8&lt;0,0,'Underlying Mechanics'!$B$22*'Underlying Mechanics'!$B$15*INDEX('Underlying Mechanics'!$B$31:$B$51,R$1-'Underlying Mechanics'!$B$8+1)*'Underlying Mechanics'!$B$5))*(1-$A110))-IF(R$1=0,'Underlying Mechanics'!$B$23*(1-$B110),0)-IF(R$1&gt;0,'Underlying Mechanics'!$B$22*'Underlying Mechanics'!$B$17,0)-IF(R$1&gt;0,'Underlying Mechanics'!$B$12*'Underlying Mechanics'!$B$18,0)</x:f>
        <x:v>37500</x:v>
      </x:c>
      <x:c r="S110" t="n">
        <x:f>((IF(S$1-'Underlying Mechanics'!$B$8&lt;0,0,'Underlying Mechanics'!$B$22*'Underlying Mechanics'!$B$15*INDEX('Underlying Mechanics'!$B$31:$B$51,S$1-'Underlying Mechanics'!$B$8+1)*'Underlying Mechanics'!$B$5))*(1-$A110))-IF(S$1=0,'Underlying Mechanics'!$B$23*(1-$B110),0)-IF(S$1&gt;0,'Underlying Mechanics'!$B$22*'Underlying Mechanics'!$B$17,0)-IF(S$1&gt;0,'Underlying Mechanics'!$B$12*'Underlying Mechanics'!$B$18,0)</x:f>
        <x:v>37500</x:v>
      </x:c>
      <x:c r="T110" t="n">
        <x:f>((IF(T$1-'Underlying Mechanics'!$B$8&lt;0,0,'Underlying Mechanics'!$B$22*'Underlying Mechanics'!$B$15*INDEX('Underlying Mechanics'!$B$31:$B$51,T$1-'Underlying Mechanics'!$B$8+1)*'Underlying Mechanics'!$B$5))*(1-$A110))-IF(T$1=0,'Underlying Mechanics'!$B$23*(1-$B110),0)-IF(T$1&gt;0,'Underlying Mechanics'!$B$22*'Underlying Mechanics'!$B$17,0)-IF(T$1&gt;0,'Underlying Mechanics'!$B$12*'Underlying Mechanics'!$B$18,0)</x:f>
        <x:v>37500</x:v>
      </x:c>
      <x:c r="U110" t="n">
        <x:f>((IF(U$1-'Underlying Mechanics'!$B$8&lt;0,0,'Underlying Mechanics'!$B$22*'Underlying Mechanics'!$B$15*INDEX('Underlying Mechanics'!$B$31:$B$51,U$1-'Underlying Mechanics'!$B$8+1)*'Underlying Mechanics'!$B$5))*(1-$A110))-IF(U$1=0,'Underlying Mechanics'!$B$23*(1-$B110),0)-IF(U$1&gt;0,'Underlying Mechanics'!$B$22*'Underlying Mechanics'!$B$17,0)-IF(U$1&gt;0,'Underlying Mechanics'!$B$12*'Underlying Mechanics'!$B$18,0)</x:f>
        <x:v>37500</x:v>
      </x:c>
      <x:c r="V110" t="n">
        <x:f>((IF(V$1-'Underlying Mechanics'!$B$8&lt;0,0,'Underlying Mechanics'!$B$22*'Underlying Mechanics'!$B$15*INDEX('Underlying Mechanics'!$B$31:$B$51,V$1-'Underlying Mechanics'!$B$8+1)*'Underlying Mechanics'!$B$5))*(1-$A110))-IF(V$1=0,'Underlying Mechanics'!$B$23*(1-$B110),0)-IF(V$1&gt;0,'Underlying Mechanics'!$B$22*'Underlying Mechanics'!$B$17,0)-IF(V$1&gt;0,'Underlying Mechanics'!$B$12*'Underlying Mechanics'!$B$18,0)</x:f>
        <x:v>37500</x:v>
      </x:c>
      <x:c r="W110" t="n">
        <x:f>((IF(W$1-'Underlying Mechanics'!$B$8&lt;0,0,'Underlying Mechanics'!$B$22*'Underlying Mechanics'!$B$15*INDEX('Underlying Mechanics'!$B$31:$B$51,W$1-'Underlying Mechanics'!$B$8+1)*'Underlying Mechanics'!$B$5))*(1-$A110))-IF(W$1=0,'Underlying Mechanics'!$B$23*(1-$B110),0)-IF(W$1&gt;0,'Underlying Mechanics'!$B$22*'Underlying Mechanics'!$B$17,0)-IF(W$1&gt;0,'Underlying Mechanics'!$B$12*'Underlying Mechanics'!$B$18,0)</x:f>
        <x:v>37500</x:v>
      </x:c>
      <x:c r="X110" t="n">
        <x:f>IFERROR(IRR(C110:W110),-1)</x:f>
        <x:v>0.03365297918784471</x:v>
      </x:c>
    </x:row>
    <x:row r="111">
      <x:c r="A111" t="n">
        <x:v>0.5</x:v>
      </x:c>
      <x:c r="B111" t="n">
        <x:v>0.2</x:v>
      </x:c>
      <x:c r="C111" t="n">
        <x:f>((IF(C$1-'Underlying Mechanics'!$B$8&lt;0,0,'Underlying Mechanics'!$B$22*'Underlying Mechanics'!$B$15*INDEX('Underlying Mechanics'!$B$31:$B$51,C$1-'Underlying Mechanics'!$B$8+1)*'Underlying Mechanics'!$B$5))*(1-$A111))-IF(C$1=0,'Underlying Mechanics'!$B$23*(1-$B111),0)-IF(C$1&gt;0,'Underlying Mechanics'!$B$22*'Underlying Mechanics'!$B$17,0)-IF(C$1&gt;0,'Underlying Mechanics'!$B$12*'Underlying Mechanics'!$B$18,0)</x:f>
        <x:v>-120000</x:v>
      </x:c>
      <x:c r="D111" t="n">
        <x:f>((IF(D$1-'Underlying Mechanics'!$B$8&lt;0,0,'Underlying Mechanics'!$B$22*'Underlying Mechanics'!$B$15*INDEX('Underlying Mechanics'!$B$31:$B$51,D$1-'Underlying Mechanics'!$B$8+1)*'Underlying Mechanics'!$B$5))*(1-$A111))-IF(D$1=0,'Underlying Mechanics'!$B$23*(1-$B111),0)-IF(D$1&gt;0,'Underlying Mechanics'!$B$22*'Underlying Mechanics'!$B$17,0)-IF(D$1&gt;0,'Underlying Mechanics'!$B$12*'Underlying Mechanics'!$B$18,0)</x:f>
        <x:v>-22500</x:v>
      </x:c>
      <x:c r="E111" t="n">
        <x:f>((IF(E$1-'Underlying Mechanics'!$B$8&lt;0,0,'Underlying Mechanics'!$B$22*'Underlying Mechanics'!$B$15*INDEX('Underlying Mechanics'!$B$31:$B$51,E$1-'Underlying Mechanics'!$B$8+1)*'Underlying Mechanics'!$B$5))*(1-$A111))-IF(E$1=0,'Underlying Mechanics'!$B$23*(1-$B111),0)-IF(E$1&gt;0,'Underlying Mechanics'!$B$22*'Underlying Mechanics'!$B$17,0)-IF(E$1&gt;0,'Underlying Mechanics'!$B$12*'Underlying Mechanics'!$B$18,0)</x:f>
        <x:v>-22500</x:v>
      </x:c>
      <x:c r="F111" t="n">
        <x:f>((IF(F$1-'Underlying Mechanics'!$B$8&lt;0,0,'Underlying Mechanics'!$B$22*'Underlying Mechanics'!$B$15*INDEX('Underlying Mechanics'!$B$31:$B$51,F$1-'Underlying Mechanics'!$B$8+1)*'Underlying Mechanics'!$B$5))*(1-$A111))-IF(F$1=0,'Underlying Mechanics'!$B$23*(1-$B111),0)-IF(F$1&gt;0,'Underlying Mechanics'!$B$22*'Underlying Mechanics'!$B$17,0)-IF(F$1&gt;0,'Underlying Mechanics'!$B$12*'Underlying Mechanics'!$B$18,0)</x:f>
        <x:v>-21300</x:v>
      </x:c>
      <x:c r="G111" t="n">
        <x:f>((IF(G$1-'Underlying Mechanics'!$B$8&lt;0,0,'Underlying Mechanics'!$B$22*'Underlying Mechanics'!$B$15*INDEX('Underlying Mechanics'!$B$31:$B$51,G$1-'Underlying Mechanics'!$B$8+1)*'Underlying Mechanics'!$B$5))*(1-$A111))-IF(G$1=0,'Underlying Mechanics'!$B$23*(1-$B111),0)-IF(G$1&gt;0,'Underlying Mechanics'!$B$22*'Underlying Mechanics'!$B$17,0)-IF(G$1&gt;0,'Underlying Mechanics'!$B$12*'Underlying Mechanics'!$B$18,0)</x:f>
        <x:v>-19500</x:v>
      </x:c>
      <x:c r="H111" t="n">
        <x:f>((IF(H$1-'Underlying Mechanics'!$B$8&lt;0,0,'Underlying Mechanics'!$B$22*'Underlying Mechanics'!$B$15*INDEX('Underlying Mechanics'!$B$31:$B$51,H$1-'Underlying Mechanics'!$B$8+1)*'Underlying Mechanics'!$B$5))*(1-$A111))-IF(H$1=0,'Underlying Mechanics'!$B$23*(1-$B111),0)-IF(H$1&gt;0,'Underlying Mechanics'!$B$22*'Underlying Mechanics'!$B$17,0)-IF(H$1&gt;0,'Underlying Mechanics'!$B$12*'Underlying Mechanics'!$B$18,0)</x:f>
        <x:v>-16500</x:v>
      </x:c>
      <x:c r="I111" t="n">
        <x:f>((IF(I$1-'Underlying Mechanics'!$B$8&lt;0,0,'Underlying Mechanics'!$B$22*'Underlying Mechanics'!$B$15*INDEX('Underlying Mechanics'!$B$31:$B$51,I$1-'Underlying Mechanics'!$B$8+1)*'Underlying Mechanics'!$B$5))*(1-$A111))-IF(I$1=0,'Underlying Mechanics'!$B$23*(1-$B111),0)-IF(I$1&gt;0,'Underlying Mechanics'!$B$22*'Underlying Mechanics'!$B$17,0)-IF(I$1&gt;0,'Underlying Mechanics'!$B$12*'Underlying Mechanics'!$B$18,0)</x:f>
        <x:v>-11700</x:v>
      </x:c>
      <x:c r="J111" t="n">
        <x:f>((IF(J$1-'Underlying Mechanics'!$B$8&lt;0,0,'Underlying Mechanics'!$B$22*'Underlying Mechanics'!$B$15*INDEX('Underlying Mechanics'!$B$31:$B$51,J$1-'Underlying Mechanics'!$B$8+1)*'Underlying Mechanics'!$B$5))*(1-$A111))-IF(J$1=0,'Underlying Mechanics'!$B$23*(1-$B111),0)-IF(J$1&gt;0,'Underlying Mechanics'!$B$22*'Underlying Mechanics'!$B$17,0)-IF(J$1&gt;0,'Underlying Mechanics'!$B$12*'Underlying Mechanics'!$B$18,0)</x:f>
        <x:v>-5699.999999999996</x:v>
      </x:c>
      <x:c r="K111" t="n">
        <x:f>((IF(K$1-'Underlying Mechanics'!$B$8&lt;0,0,'Underlying Mechanics'!$B$22*'Underlying Mechanics'!$B$15*INDEX('Underlying Mechanics'!$B$31:$B$51,K$1-'Underlying Mechanics'!$B$8+1)*'Underlying Mechanics'!$B$5))*(1-$A111))-IF(K$1=0,'Underlying Mechanics'!$B$23*(1-$B111),0)-IF(K$1&gt;0,'Underlying Mechanics'!$B$22*'Underlying Mechanics'!$B$17,0)-IF(K$1&gt;0,'Underlying Mechanics'!$B$12*'Underlying Mechanics'!$B$18,0)</x:f>
        <x:v>1500</x:v>
      </x:c>
      <x:c r="L111" t="n">
        <x:f>((IF(L$1-'Underlying Mechanics'!$B$8&lt;0,0,'Underlying Mechanics'!$B$22*'Underlying Mechanics'!$B$15*INDEX('Underlying Mechanics'!$B$31:$B$51,L$1-'Underlying Mechanics'!$B$8+1)*'Underlying Mechanics'!$B$5))*(1-$A111))-IF(L$1=0,'Underlying Mechanics'!$B$23*(1-$B111),0)-IF(L$1&gt;0,'Underlying Mechanics'!$B$22*'Underlying Mechanics'!$B$17,0)-IF(L$1&gt;0,'Underlying Mechanics'!$B$12*'Underlying Mechanics'!$B$18,0)</x:f>
        <x:v>9900</x:v>
      </x:c>
      <x:c r="M111" t="n">
        <x:f>((IF(M$1-'Underlying Mechanics'!$B$8&lt;0,0,'Underlying Mechanics'!$B$22*'Underlying Mechanics'!$B$15*INDEX('Underlying Mechanics'!$B$31:$B$51,M$1-'Underlying Mechanics'!$B$8+1)*'Underlying Mechanics'!$B$5))*(1-$A111))-IF(M$1=0,'Underlying Mechanics'!$B$23*(1-$B111),0)-IF(M$1&gt;0,'Underlying Mechanics'!$B$22*'Underlying Mechanics'!$B$17,0)-IF(M$1&gt;0,'Underlying Mechanics'!$B$12*'Underlying Mechanics'!$B$18,0)</x:f>
        <x:v>18300.000000000007</x:v>
      </x:c>
      <x:c r="N111" t="n">
        <x:f>((IF(N$1-'Underlying Mechanics'!$B$8&lt;0,0,'Underlying Mechanics'!$B$22*'Underlying Mechanics'!$B$15*INDEX('Underlying Mechanics'!$B$31:$B$51,N$1-'Underlying Mechanics'!$B$8+1)*'Underlying Mechanics'!$B$5))*(1-$A111))-IF(N$1=0,'Underlying Mechanics'!$B$23*(1-$B111),0)-IF(N$1&gt;0,'Underlying Mechanics'!$B$22*'Underlying Mechanics'!$B$17,0)-IF(N$1&gt;0,'Underlying Mechanics'!$B$12*'Underlying Mechanics'!$B$18,0)</x:f>
        <x:v>25500</x:v>
      </x:c>
      <x:c r="O111" t="n">
        <x:f>((IF(O$1-'Underlying Mechanics'!$B$8&lt;0,0,'Underlying Mechanics'!$B$22*'Underlying Mechanics'!$B$15*INDEX('Underlying Mechanics'!$B$31:$B$51,O$1-'Underlying Mechanics'!$B$8+1)*'Underlying Mechanics'!$B$5))*(1-$A111))-IF(O$1=0,'Underlying Mechanics'!$B$23*(1-$B111),0)-IF(O$1&gt;0,'Underlying Mechanics'!$B$22*'Underlying Mechanics'!$B$17,0)-IF(O$1&gt;0,'Underlying Mechanics'!$B$12*'Underlying Mechanics'!$B$18,0)</x:f>
        <x:v>31500</x:v>
      </x:c>
      <x:c r="P111" t="n">
        <x:f>((IF(P$1-'Underlying Mechanics'!$B$8&lt;0,0,'Underlying Mechanics'!$B$22*'Underlying Mechanics'!$B$15*INDEX('Underlying Mechanics'!$B$31:$B$51,P$1-'Underlying Mechanics'!$B$8+1)*'Underlying Mechanics'!$B$5))*(1-$A111))-IF(P$1=0,'Underlying Mechanics'!$B$23*(1-$B111),0)-IF(P$1&gt;0,'Underlying Mechanics'!$B$22*'Underlying Mechanics'!$B$17,0)-IF(P$1&gt;0,'Underlying Mechanics'!$B$12*'Underlying Mechanics'!$B$18,0)</x:f>
        <x:v>37500</x:v>
      </x:c>
      <x:c r="Q111" t="n">
        <x:f>((IF(Q$1-'Underlying Mechanics'!$B$8&lt;0,0,'Underlying Mechanics'!$B$22*'Underlying Mechanics'!$B$15*INDEX('Underlying Mechanics'!$B$31:$B$51,Q$1-'Underlying Mechanics'!$B$8+1)*'Underlying Mechanics'!$B$5))*(1-$A111))-IF(Q$1=0,'Underlying Mechanics'!$B$23*(1-$B111),0)-IF(Q$1&gt;0,'Underlying Mechanics'!$B$22*'Underlying Mechanics'!$B$17,0)-IF(Q$1&gt;0,'Underlying Mechanics'!$B$12*'Underlying Mechanics'!$B$18,0)</x:f>
        <x:v>37500</x:v>
      </x:c>
      <x:c r="R111" t="n">
        <x:f>((IF(R$1-'Underlying Mechanics'!$B$8&lt;0,0,'Underlying Mechanics'!$B$22*'Underlying Mechanics'!$B$15*INDEX('Underlying Mechanics'!$B$31:$B$51,R$1-'Underlying Mechanics'!$B$8+1)*'Underlying Mechanics'!$B$5))*(1-$A111))-IF(R$1=0,'Underlying Mechanics'!$B$23*(1-$B111),0)-IF(R$1&gt;0,'Underlying Mechanics'!$B$22*'Underlying Mechanics'!$B$17,0)-IF(R$1&gt;0,'Underlying Mechanics'!$B$12*'Underlying Mechanics'!$B$18,0)</x:f>
        <x:v>37500</x:v>
      </x:c>
      <x:c r="S111" t="n">
        <x:f>((IF(S$1-'Underlying Mechanics'!$B$8&lt;0,0,'Underlying Mechanics'!$B$22*'Underlying Mechanics'!$B$15*INDEX('Underlying Mechanics'!$B$31:$B$51,S$1-'Underlying Mechanics'!$B$8+1)*'Underlying Mechanics'!$B$5))*(1-$A111))-IF(S$1=0,'Underlying Mechanics'!$B$23*(1-$B111),0)-IF(S$1&gt;0,'Underlying Mechanics'!$B$22*'Underlying Mechanics'!$B$17,0)-IF(S$1&gt;0,'Underlying Mechanics'!$B$12*'Underlying Mechanics'!$B$18,0)</x:f>
        <x:v>37500</x:v>
      </x:c>
      <x:c r="T111" t="n">
        <x:f>((IF(T$1-'Underlying Mechanics'!$B$8&lt;0,0,'Underlying Mechanics'!$B$22*'Underlying Mechanics'!$B$15*INDEX('Underlying Mechanics'!$B$31:$B$51,T$1-'Underlying Mechanics'!$B$8+1)*'Underlying Mechanics'!$B$5))*(1-$A111))-IF(T$1=0,'Underlying Mechanics'!$B$23*(1-$B111),0)-IF(T$1&gt;0,'Underlying Mechanics'!$B$22*'Underlying Mechanics'!$B$17,0)-IF(T$1&gt;0,'Underlying Mechanics'!$B$12*'Underlying Mechanics'!$B$18,0)</x:f>
        <x:v>37500</x:v>
      </x:c>
      <x:c r="U111" t="n">
        <x:f>((IF(U$1-'Underlying Mechanics'!$B$8&lt;0,0,'Underlying Mechanics'!$B$22*'Underlying Mechanics'!$B$15*INDEX('Underlying Mechanics'!$B$31:$B$51,U$1-'Underlying Mechanics'!$B$8+1)*'Underlying Mechanics'!$B$5))*(1-$A111))-IF(U$1=0,'Underlying Mechanics'!$B$23*(1-$B111),0)-IF(U$1&gt;0,'Underlying Mechanics'!$B$22*'Underlying Mechanics'!$B$17,0)-IF(U$1&gt;0,'Underlying Mechanics'!$B$12*'Underlying Mechanics'!$B$18,0)</x:f>
        <x:v>37500</x:v>
      </x:c>
      <x:c r="V111" t="n">
        <x:f>((IF(V$1-'Underlying Mechanics'!$B$8&lt;0,0,'Underlying Mechanics'!$B$22*'Underlying Mechanics'!$B$15*INDEX('Underlying Mechanics'!$B$31:$B$51,V$1-'Underlying Mechanics'!$B$8+1)*'Underlying Mechanics'!$B$5))*(1-$A111))-IF(V$1=0,'Underlying Mechanics'!$B$23*(1-$B111),0)-IF(V$1&gt;0,'Underlying Mechanics'!$B$22*'Underlying Mechanics'!$B$17,0)-IF(V$1&gt;0,'Underlying Mechanics'!$B$12*'Underlying Mechanics'!$B$18,0)</x:f>
        <x:v>37500</x:v>
      </x:c>
      <x:c r="W111" t="n">
        <x:f>((IF(W$1-'Underlying Mechanics'!$B$8&lt;0,0,'Underlying Mechanics'!$B$22*'Underlying Mechanics'!$B$15*INDEX('Underlying Mechanics'!$B$31:$B$51,W$1-'Underlying Mechanics'!$B$8+1)*'Underlying Mechanics'!$B$5))*(1-$A111))-IF(W$1=0,'Underlying Mechanics'!$B$23*(1-$B111),0)-IF(W$1&gt;0,'Underlying Mechanics'!$B$22*'Underlying Mechanics'!$B$17,0)-IF(W$1&gt;0,'Underlying Mechanics'!$B$12*'Underlying Mechanics'!$B$18,0)</x:f>
        <x:v>37500</x:v>
      </x:c>
      <x:c r="X111" t="n">
        <x:f>IFERROR(IRR(C111:W111),-1)</x:f>
        <x:v>0.0361665515829912</x:v>
      </x:c>
    </x:row>
    <x:row r="112">
      <x:c r="A112" t="n">
        <x:v>0.5</x:v>
      </x:c>
      <x:c r="B112" t="n">
        <x:v>0.25</x:v>
      </x:c>
      <x:c r="C112" t="n">
        <x:f>((IF(C$1-'Underlying Mechanics'!$B$8&lt;0,0,'Underlying Mechanics'!$B$22*'Underlying Mechanics'!$B$15*INDEX('Underlying Mechanics'!$B$31:$B$51,C$1-'Underlying Mechanics'!$B$8+1)*'Underlying Mechanics'!$B$5))*(1-$A112))-IF(C$1=0,'Underlying Mechanics'!$B$23*(1-$B112),0)-IF(C$1&gt;0,'Underlying Mechanics'!$B$22*'Underlying Mechanics'!$B$17,0)-IF(C$1&gt;0,'Underlying Mechanics'!$B$12*'Underlying Mechanics'!$B$18,0)</x:f>
        <x:v>-112500</x:v>
      </x:c>
      <x:c r="D112" t="n">
        <x:f>((IF(D$1-'Underlying Mechanics'!$B$8&lt;0,0,'Underlying Mechanics'!$B$22*'Underlying Mechanics'!$B$15*INDEX('Underlying Mechanics'!$B$31:$B$51,D$1-'Underlying Mechanics'!$B$8+1)*'Underlying Mechanics'!$B$5))*(1-$A112))-IF(D$1=0,'Underlying Mechanics'!$B$23*(1-$B112),0)-IF(D$1&gt;0,'Underlying Mechanics'!$B$22*'Underlying Mechanics'!$B$17,0)-IF(D$1&gt;0,'Underlying Mechanics'!$B$12*'Underlying Mechanics'!$B$18,0)</x:f>
        <x:v>-22500</x:v>
      </x:c>
      <x:c r="E112" t="n">
        <x:f>((IF(E$1-'Underlying Mechanics'!$B$8&lt;0,0,'Underlying Mechanics'!$B$22*'Underlying Mechanics'!$B$15*INDEX('Underlying Mechanics'!$B$31:$B$51,E$1-'Underlying Mechanics'!$B$8+1)*'Underlying Mechanics'!$B$5))*(1-$A112))-IF(E$1=0,'Underlying Mechanics'!$B$23*(1-$B112),0)-IF(E$1&gt;0,'Underlying Mechanics'!$B$22*'Underlying Mechanics'!$B$17,0)-IF(E$1&gt;0,'Underlying Mechanics'!$B$12*'Underlying Mechanics'!$B$18,0)</x:f>
        <x:v>-22500</x:v>
      </x:c>
      <x:c r="F112" t="n">
        <x:f>((IF(F$1-'Underlying Mechanics'!$B$8&lt;0,0,'Underlying Mechanics'!$B$22*'Underlying Mechanics'!$B$15*INDEX('Underlying Mechanics'!$B$31:$B$51,F$1-'Underlying Mechanics'!$B$8+1)*'Underlying Mechanics'!$B$5))*(1-$A112))-IF(F$1=0,'Underlying Mechanics'!$B$23*(1-$B112),0)-IF(F$1&gt;0,'Underlying Mechanics'!$B$22*'Underlying Mechanics'!$B$17,0)-IF(F$1&gt;0,'Underlying Mechanics'!$B$12*'Underlying Mechanics'!$B$18,0)</x:f>
        <x:v>-21300</x:v>
      </x:c>
      <x:c r="G112" t="n">
        <x:f>((IF(G$1-'Underlying Mechanics'!$B$8&lt;0,0,'Underlying Mechanics'!$B$22*'Underlying Mechanics'!$B$15*INDEX('Underlying Mechanics'!$B$31:$B$51,G$1-'Underlying Mechanics'!$B$8+1)*'Underlying Mechanics'!$B$5))*(1-$A112))-IF(G$1=0,'Underlying Mechanics'!$B$23*(1-$B112),0)-IF(G$1&gt;0,'Underlying Mechanics'!$B$22*'Underlying Mechanics'!$B$17,0)-IF(G$1&gt;0,'Underlying Mechanics'!$B$12*'Underlying Mechanics'!$B$18,0)</x:f>
        <x:v>-19500</x:v>
      </x:c>
      <x:c r="H112" t="n">
        <x:f>((IF(H$1-'Underlying Mechanics'!$B$8&lt;0,0,'Underlying Mechanics'!$B$22*'Underlying Mechanics'!$B$15*INDEX('Underlying Mechanics'!$B$31:$B$51,H$1-'Underlying Mechanics'!$B$8+1)*'Underlying Mechanics'!$B$5))*(1-$A112))-IF(H$1=0,'Underlying Mechanics'!$B$23*(1-$B112),0)-IF(H$1&gt;0,'Underlying Mechanics'!$B$22*'Underlying Mechanics'!$B$17,0)-IF(H$1&gt;0,'Underlying Mechanics'!$B$12*'Underlying Mechanics'!$B$18,0)</x:f>
        <x:v>-16500</x:v>
      </x:c>
      <x:c r="I112" t="n">
        <x:f>((IF(I$1-'Underlying Mechanics'!$B$8&lt;0,0,'Underlying Mechanics'!$B$22*'Underlying Mechanics'!$B$15*INDEX('Underlying Mechanics'!$B$31:$B$51,I$1-'Underlying Mechanics'!$B$8+1)*'Underlying Mechanics'!$B$5))*(1-$A112))-IF(I$1=0,'Underlying Mechanics'!$B$23*(1-$B112),0)-IF(I$1&gt;0,'Underlying Mechanics'!$B$22*'Underlying Mechanics'!$B$17,0)-IF(I$1&gt;0,'Underlying Mechanics'!$B$12*'Underlying Mechanics'!$B$18,0)</x:f>
        <x:v>-11700</x:v>
      </x:c>
      <x:c r="J112" t="n">
        <x:f>((IF(J$1-'Underlying Mechanics'!$B$8&lt;0,0,'Underlying Mechanics'!$B$22*'Underlying Mechanics'!$B$15*INDEX('Underlying Mechanics'!$B$31:$B$51,J$1-'Underlying Mechanics'!$B$8+1)*'Underlying Mechanics'!$B$5))*(1-$A112))-IF(J$1=0,'Underlying Mechanics'!$B$23*(1-$B112),0)-IF(J$1&gt;0,'Underlying Mechanics'!$B$22*'Underlying Mechanics'!$B$17,0)-IF(J$1&gt;0,'Underlying Mechanics'!$B$12*'Underlying Mechanics'!$B$18,0)</x:f>
        <x:v>-5699.999999999996</x:v>
      </x:c>
      <x:c r="K112" t="n">
        <x:f>((IF(K$1-'Underlying Mechanics'!$B$8&lt;0,0,'Underlying Mechanics'!$B$22*'Underlying Mechanics'!$B$15*INDEX('Underlying Mechanics'!$B$31:$B$51,K$1-'Underlying Mechanics'!$B$8+1)*'Underlying Mechanics'!$B$5))*(1-$A112))-IF(K$1=0,'Underlying Mechanics'!$B$23*(1-$B112),0)-IF(K$1&gt;0,'Underlying Mechanics'!$B$22*'Underlying Mechanics'!$B$17,0)-IF(K$1&gt;0,'Underlying Mechanics'!$B$12*'Underlying Mechanics'!$B$18,0)</x:f>
        <x:v>1500</x:v>
      </x:c>
      <x:c r="L112" t="n">
        <x:f>((IF(L$1-'Underlying Mechanics'!$B$8&lt;0,0,'Underlying Mechanics'!$B$22*'Underlying Mechanics'!$B$15*INDEX('Underlying Mechanics'!$B$31:$B$51,L$1-'Underlying Mechanics'!$B$8+1)*'Underlying Mechanics'!$B$5))*(1-$A112))-IF(L$1=0,'Underlying Mechanics'!$B$23*(1-$B112),0)-IF(L$1&gt;0,'Underlying Mechanics'!$B$22*'Underlying Mechanics'!$B$17,0)-IF(L$1&gt;0,'Underlying Mechanics'!$B$12*'Underlying Mechanics'!$B$18,0)</x:f>
        <x:v>9900</x:v>
      </x:c>
      <x:c r="M112" t="n">
        <x:f>((IF(M$1-'Underlying Mechanics'!$B$8&lt;0,0,'Underlying Mechanics'!$B$22*'Underlying Mechanics'!$B$15*INDEX('Underlying Mechanics'!$B$31:$B$51,M$1-'Underlying Mechanics'!$B$8+1)*'Underlying Mechanics'!$B$5))*(1-$A112))-IF(M$1=0,'Underlying Mechanics'!$B$23*(1-$B112),0)-IF(M$1&gt;0,'Underlying Mechanics'!$B$22*'Underlying Mechanics'!$B$17,0)-IF(M$1&gt;0,'Underlying Mechanics'!$B$12*'Underlying Mechanics'!$B$18,0)</x:f>
        <x:v>18300.000000000007</x:v>
      </x:c>
      <x:c r="N112" t="n">
        <x:f>((IF(N$1-'Underlying Mechanics'!$B$8&lt;0,0,'Underlying Mechanics'!$B$22*'Underlying Mechanics'!$B$15*INDEX('Underlying Mechanics'!$B$31:$B$51,N$1-'Underlying Mechanics'!$B$8+1)*'Underlying Mechanics'!$B$5))*(1-$A112))-IF(N$1=0,'Underlying Mechanics'!$B$23*(1-$B112),0)-IF(N$1&gt;0,'Underlying Mechanics'!$B$22*'Underlying Mechanics'!$B$17,0)-IF(N$1&gt;0,'Underlying Mechanics'!$B$12*'Underlying Mechanics'!$B$18,0)</x:f>
        <x:v>25500</x:v>
      </x:c>
      <x:c r="O112" t="n">
        <x:f>((IF(O$1-'Underlying Mechanics'!$B$8&lt;0,0,'Underlying Mechanics'!$B$22*'Underlying Mechanics'!$B$15*INDEX('Underlying Mechanics'!$B$31:$B$51,O$1-'Underlying Mechanics'!$B$8+1)*'Underlying Mechanics'!$B$5))*(1-$A112))-IF(O$1=0,'Underlying Mechanics'!$B$23*(1-$B112),0)-IF(O$1&gt;0,'Underlying Mechanics'!$B$22*'Underlying Mechanics'!$B$17,0)-IF(O$1&gt;0,'Underlying Mechanics'!$B$12*'Underlying Mechanics'!$B$18,0)</x:f>
        <x:v>31500</x:v>
      </x:c>
      <x:c r="P112" t="n">
        <x:f>((IF(P$1-'Underlying Mechanics'!$B$8&lt;0,0,'Underlying Mechanics'!$B$22*'Underlying Mechanics'!$B$15*INDEX('Underlying Mechanics'!$B$31:$B$51,P$1-'Underlying Mechanics'!$B$8+1)*'Underlying Mechanics'!$B$5))*(1-$A112))-IF(P$1=0,'Underlying Mechanics'!$B$23*(1-$B112),0)-IF(P$1&gt;0,'Underlying Mechanics'!$B$22*'Underlying Mechanics'!$B$17,0)-IF(P$1&gt;0,'Underlying Mechanics'!$B$12*'Underlying Mechanics'!$B$18,0)</x:f>
        <x:v>37500</x:v>
      </x:c>
      <x:c r="Q112" t="n">
        <x:f>((IF(Q$1-'Underlying Mechanics'!$B$8&lt;0,0,'Underlying Mechanics'!$B$22*'Underlying Mechanics'!$B$15*INDEX('Underlying Mechanics'!$B$31:$B$51,Q$1-'Underlying Mechanics'!$B$8+1)*'Underlying Mechanics'!$B$5))*(1-$A112))-IF(Q$1=0,'Underlying Mechanics'!$B$23*(1-$B112),0)-IF(Q$1&gt;0,'Underlying Mechanics'!$B$22*'Underlying Mechanics'!$B$17,0)-IF(Q$1&gt;0,'Underlying Mechanics'!$B$12*'Underlying Mechanics'!$B$18,0)</x:f>
        <x:v>37500</x:v>
      </x:c>
      <x:c r="R112" t="n">
        <x:f>((IF(R$1-'Underlying Mechanics'!$B$8&lt;0,0,'Underlying Mechanics'!$B$22*'Underlying Mechanics'!$B$15*INDEX('Underlying Mechanics'!$B$31:$B$51,R$1-'Underlying Mechanics'!$B$8+1)*'Underlying Mechanics'!$B$5))*(1-$A112))-IF(R$1=0,'Underlying Mechanics'!$B$23*(1-$B112),0)-IF(R$1&gt;0,'Underlying Mechanics'!$B$22*'Underlying Mechanics'!$B$17,0)-IF(R$1&gt;0,'Underlying Mechanics'!$B$12*'Underlying Mechanics'!$B$18,0)</x:f>
        <x:v>37500</x:v>
      </x:c>
      <x:c r="S112" t="n">
        <x:f>((IF(S$1-'Underlying Mechanics'!$B$8&lt;0,0,'Underlying Mechanics'!$B$22*'Underlying Mechanics'!$B$15*INDEX('Underlying Mechanics'!$B$31:$B$51,S$1-'Underlying Mechanics'!$B$8+1)*'Underlying Mechanics'!$B$5))*(1-$A112))-IF(S$1=0,'Underlying Mechanics'!$B$23*(1-$B112),0)-IF(S$1&gt;0,'Underlying Mechanics'!$B$22*'Underlying Mechanics'!$B$17,0)-IF(S$1&gt;0,'Underlying Mechanics'!$B$12*'Underlying Mechanics'!$B$18,0)</x:f>
        <x:v>37500</x:v>
      </x:c>
      <x:c r="T112" t="n">
        <x:f>((IF(T$1-'Underlying Mechanics'!$B$8&lt;0,0,'Underlying Mechanics'!$B$22*'Underlying Mechanics'!$B$15*INDEX('Underlying Mechanics'!$B$31:$B$51,T$1-'Underlying Mechanics'!$B$8+1)*'Underlying Mechanics'!$B$5))*(1-$A112))-IF(T$1=0,'Underlying Mechanics'!$B$23*(1-$B112),0)-IF(T$1&gt;0,'Underlying Mechanics'!$B$22*'Underlying Mechanics'!$B$17,0)-IF(T$1&gt;0,'Underlying Mechanics'!$B$12*'Underlying Mechanics'!$B$18,0)</x:f>
        <x:v>37500</x:v>
      </x:c>
      <x:c r="U112" t="n">
        <x:f>((IF(U$1-'Underlying Mechanics'!$B$8&lt;0,0,'Underlying Mechanics'!$B$22*'Underlying Mechanics'!$B$15*INDEX('Underlying Mechanics'!$B$31:$B$51,U$1-'Underlying Mechanics'!$B$8+1)*'Underlying Mechanics'!$B$5))*(1-$A112))-IF(U$1=0,'Underlying Mechanics'!$B$23*(1-$B112),0)-IF(U$1&gt;0,'Underlying Mechanics'!$B$22*'Underlying Mechanics'!$B$17,0)-IF(U$1&gt;0,'Underlying Mechanics'!$B$12*'Underlying Mechanics'!$B$18,0)</x:f>
        <x:v>37500</x:v>
      </x:c>
      <x:c r="V112" t="n">
        <x:f>((IF(V$1-'Underlying Mechanics'!$B$8&lt;0,0,'Underlying Mechanics'!$B$22*'Underlying Mechanics'!$B$15*INDEX('Underlying Mechanics'!$B$31:$B$51,V$1-'Underlying Mechanics'!$B$8+1)*'Underlying Mechanics'!$B$5))*(1-$A112))-IF(V$1=0,'Underlying Mechanics'!$B$23*(1-$B112),0)-IF(V$1&gt;0,'Underlying Mechanics'!$B$22*'Underlying Mechanics'!$B$17,0)-IF(V$1&gt;0,'Underlying Mechanics'!$B$12*'Underlying Mechanics'!$B$18,0)</x:f>
        <x:v>37500</x:v>
      </x:c>
      <x:c r="W112" t="n">
        <x:f>((IF(W$1-'Underlying Mechanics'!$B$8&lt;0,0,'Underlying Mechanics'!$B$22*'Underlying Mechanics'!$B$15*INDEX('Underlying Mechanics'!$B$31:$B$51,W$1-'Underlying Mechanics'!$B$8+1)*'Underlying Mechanics'!$B$5))*(1-$A112))-IF(W$1=0,'Underlying Mechanics'!$B$23*(1-$B112),0)-IF(W$1&gt;0,'Underlying Mechanics'!$B$22*'Underlying Mechanics'!$B$17,0)-IF(W$1&gt;0,'Underlying Mechanics'!$B$12*'Underlying Mechanics'!$B$18,0)</x:f>
        <x:v>37500</x:v>
      </x:c>
      <x:c r="X112" t="n">
        <x:f>IFERROR(IRR(C112:W112),-1)</x:f>
        <x:v>0.03879392832279038</x:v>
      </x:c>
    </x:row>
    <x:row r="113">
      <x:c r="A113" t="n">
        <x:v>0.5</x:v>
      </x:c>
      <x:c r="B113" t="n">
        <x:v>0.3</x:v>
      </x:c>
      <x:c r="C113" t="n">
        <x:f>((IF(C$1-'Underlying Mechanics'!$B$8&lt;0,0,'Underlying Mechanics'!$B$22*'Underlying Mechanics'!$B$15*INDEX('Underlying Mechanics'!$B$31:$B$51,C$1-'Underlying Mechanics'!$B$8+1)*'Underlying Mechanics'!$B$5))*(1-$A113))-IF(C$1=0,'Underlying Mechanics'!$B$23*(1-$B113),0)-IF(C$1&gt;0,'Underlying Mechanics'!$B$22*'Underlying Mechanics'!$B$17,0)-IF(C$1&gt;0,'Underlying Mechanics'!$B$12*'Underlying Mechanics'!$B$18,0)</x:f>
        <x:v>-105000</x:v>
      </x:c>
      <x:c r="D113" t="n">
        <x:f>((IF(D$1-'Underlying Mechanics'!$B$8&lt;0,0,'Underlying Mechanics'!$B$22*'Underlying Mechanics'!$B$15*INDEX('Underlying Mechanics'!$B$31:$B$51,D$1-'Underlying Mechanics'!$B$8+1)*'Underlying Mechanics'!$B$5))*(1-$A113))-IF(D$1=0,'Underlying Mechanics'!$B$23*(1-$B113),0)-IF(D$1&gt;0,'Underlying Mechanics'!$B$22*'Underlying Mechanics'!$B$17,0)-IF(D$1&gt;0,'Underlying Mechanics'!$B$12*'Underlying Mechanics'!$B$18,0)</x:f>
        <x:v>-22500</x:v>
      </x:c>
      <x:c r="E113" t="n">
        <x:f>((IF(E$1-'Underlying Mechanics'!$B$8&lt;0,0,'Underlying Mechanics'!$B$22*'Underlying Mechanics'!$B$15*INDEX('Underlying Mechanics'!$B$31:$B$51,E$1-'Underlying Mechanics'!$B$8+1)*'Underlying Mechanics'!$B$5))*(1-$A113))-IF(E$1=0,'Underlying Mechanics'!$B$23*(1-$B113),0)-IF(E$1&gt;0,'Underlying Mechanics'!$B$22*'Underlying Mechanics'!$B$17,0)-IF(E$1&gt;0,'Underlying Mechanics'!$B$12*'Underlying Mechanics'!$B$18,0)</x:f>
        <x:v>-22500</x:v>
      </x:c>
      <x:c r="F113" t="n">
        <x:f>((IF(F$1-'Underlying Mechanics'!$B$8&lt;0,0,'Underlying Mechanics'!$B$22*'Underlying Mechanics'!$B$15*INDEX('Underlying Mechanics'!$B$31:$B$51,F$1-'Underlying Mechanics'!$B$8+1)*'Underlying Mechanics'!$B$5))*(1-$A113))-IF(F$1=0,'Underlying Mechanics'!$B$23*(1-$B113),0)-IF(F$1&gt;0,'Underlying Mechanics'!$B$22*'Underlying Mechanics'!$B$17,0)-IF(F$1&gt;0,'Underlying Mechanics'!$B$12*'Underlying Mechanics'!$B$18,0)</x:f>
        <x:v>-21300</x:v>
      </x:c>
      <x:c r="G113" t="n">
        <x:f>((IF(G$1-'Underlying Mechanics'!$B$8&lt;0,0,'Underlying Mechanics'!$B$22*'Underlying Mechanics'!$B$15*INDEX('Underlying Mechanics'!$B$31:$B$51,G$1-'Underlying Mechanics'!$B$8+1)*'Underlying Mechanics'!$B$5))*(1-$A113))-IF(G$1=0,'Underlying Mechanics'!$B$23*(1-$B113),0)-IF(G$1&gt;0,'Underlying Mechanics'!$B$22*'Underlying Mechanics'!$B$17,0)-IF(G$1&gt;0,'Underlying Mechanics'!$B$12*'Underlying Mechanics'!$B$18,0)</x:f>
        <x:v>-19500</x:v>
      </x:c>
      <x:c r="H113" t="n">
        <x:f>((IF(H$1-'Underlying Mechanics'!$B$8&lt;0,0,'Underlying Mechanics'!$B$22*'Underlying Mechanics'!$B$15*INDEX('Underlying Mechanics'!$B$31:$B$51,H$1-'Underlying Mechanics'!$B$8+1)*'Underlying Mechanics'!$B$5))*(1-$A113))-IF(H$1=0,'Underlying Mechanics'!$B$23*(1-$B113),0)-IF(H$1&gt;0,'Underlying Mechanics'!$B$22*'Underlying Mechanics'!$B$17,0)-IF(H$1&gt;0,'Underlying Mechanics'!$B$12*'Underlying Mechanics'!$B$18,0)</x:f>
        <x:v>-16500</x:v>
      </x:c>
      <x:c r="I113" t="n">
        <x:f>((IF(I$1-'Underlying Mechanics'!$B$8&lt;0,0,'Underlying Mechanics'!$B$22*'Underlying Mechanics'!$B$15*INDEX('Underlying Mechanics'!$B$31:$B$51,I$1-'Underlying Mechanics'!$B$8+1)*'Underlying Mechanics'!$B$5))*(1-$A113))-IF(I$1=0,'Underlying Mechanics'!$B$23*(1-$B113),0)-IF(I$1&gt;0,'Underlying Mechanics'!$B$22*'Underlying Mechanics'!$B$17,0)-IF(I$1&gt;0,'Underlying Mechanics'!$B$12*'Underlying Mechanics'!$B$18,0)</x:f>
        <x:v>-11700</x:v>
      </x:c>
      <x:c r="J113" t="n">
        <x:f>((IF(J$1-'Underlying Mechanics'!$B$8&lt;0,0,'Underlying Mechanics'!$B$22*'Underlying Mechanics'!$B$15*INDEX('Underlying Mechanics'!$B$31:$B$51,J$1-'Underlying Mechanics'!$B$8+1)*'Underlying Mechanics'!$B$5))*(1-$A113))-IF(J$1=0,'Underlying Mechanics'!$B$23*(1-$B113),0)-IF(J$1&gt;0,'Underlying Mechanics'!$B$22*'Underlying Mechanics'!$B$17,0)-IF(J$1&gt;0,'Underlying Mechanics'!$B$12*'Underlying Mechanics'!$B$18,0)</x:f>
        <x:v>-5699.999999999996</x:v>
      </x:c>
      <x:c r="K113" t="n">
        <x:f>((IF(K$1-'Underlying Mechanics'!$B$8&lt;0,0,'Underlying Mechanics'!$B$22*'Underlying Mechanics'!$B$15*INDEX('Underlying Mechanics'!$B$31:$B$51,K$1-'Underlying Mechanics'!$B$8+1)*'Underlying Mechanics'!$B$5))*(1-$A113))-IF(K$1=0,'Underlying Mechanics'!$B$23*(1-$B113),0)-IF(K$1&gt;0,'Underlying Mechanics'!$B$22*'Underlying Mechanics'!$B$17,0)-IF(K$1&gt;0,'Underlying Mechanics'!$B$12*'Underlying Mechanics'!$B$18,0)</x:f>
        <x:v>1500</x:v>
      </x:c>
      <x:c r="L113" t="n">
        <x:f>((IF(L$1-'Underlying Mechanics'!$B$8&lt;0,0,'Underlying Mechanics'!$B$22*'Underlying Mechanics'!$B$15*INDEX('Underlying Mechanics'!$B$31:$B$51,L$1-'Underlying Mechanics'!$B$8+1)*'Underlying Mechanics'!$B$5))*(1-$A113))-IF(L$1=0,'Underlying Mechanics'!$B$23*(1-$B113),0)-IF(L$1&gt;0,'Underlying Mechanics'!$B$22*'Underlying Mechanics'!$B$17,0)-IF(L$1&gt;0,'Underlying Mechanics'!$B$12*'Underlying Mechanics'!$B$18,0)</x:f>
        <x:v>9900</x:v>
      </x:c>
      <x:c r="M113" t="n">
        <x:f>((IF(M$1-'Underlying Mechanics'!$B$8&lt;0,0,'Underlying Mechanics'!$B$22*'Underlying Mechanics'!$B$15*INDEX('Underlying Mechanics'!$B$31:$B$51,M$1-'Underlying Mechanics'!$B$8+1)*'Underlying Mechanics'!$B$5))*(1-$A113))-IF(M$1=0,'Underlying Mechanics'!$B$23*(1-$B113),0)-IF(M$1&gt;0,'Underlying Mechanics'!$B$22*'Underlying Mechanics'!$B$17,0)-IF(M$1&gt;0,'Underlying Mechanics'!$B$12*'Underlying Mechanics'!$B$18,0)</x:f>
        <x:v>18300.000000000007</x:v>
      </x:c>
      <x:c r="N113" t="n">
        <x:f>((IF(N$1-'Underlying Mechanics'!$B$8&lt;0,0,'Underlying Mechanics'!$B$22*'Underlying Mechanics'!$B$15*INDEX('Underlying Mechanics'!$B$31:$B$51,N$1-'Underlying Mechanics'!$B$8+1)*'Underlying Mechanics'!$B$5))*(1-$A113))-IF(N$1=0,'Underlying Mechanics'!$B$23*(1-$B113),0)-IF(N$1&gt;0,'Underlying Mechanics'!$B$22*'Underlying Mechanics'!$B$17,0)-IF(N$1&gt;0,'Underlying Mechanics'!$B$12*'Underlying Mechanics'!$B$18,0)</x:f>
        <x:v>25500</x:v>
      </x:c>
      <x:c r="O113" t="n">
        <x:f>((IF(O$1-'Underlying Mechanics'!$B$8&lt;0,0,'Underlying Mechanics'!$B$22*'Underlying Mechanics'!$B$15*INDEX('Underlying Mechanics'!$B$31:$B$51,O$1-'Underlying Mechanics'!$B$8+1)*'Underlying Mechanics'!$B$5))*(1-$A113))-IF(O$1=0,'Underlying Mechanics'!$B$23*(1-$B113),0)-IF(O$1&gt;0,'Underlying Mechanics'!$B$22*'Underlying Mechanics'!$B$17,0)-IF(O$1&gt;0,'Underlying Mechanics'!$B$12*'Underlying Mechanics'!$B$18,0)</x:f>
        <x:v>31500</x:v>
      </x:c>
      <x:c r="P113" t="n">
        <x:f>((IF(P$1-'Underlying Mechanics'!$B$8&lt;0,0,'Underlying Mechanics'!$B$22*'Underlying Mechanics'!$B$15*INDEX('Underlying Mechanics'!$B$31:$B$51,P$1-'Underlying Mechanics'!$B$8+1)*'Underlying Mechanics'!$B$5))*(1-$A113))-IF(P$1=0,'Underlying Mechanics'!$B$23*(1-$B113),0)-IF(P$1&gt;0,'Underlying Mechanics'!$B$22*'Underlying Mechanics'!$B$17,0)-IF(P$1&gt;0,'Underlying Mechanics'!$B$12*'Underlying Mechanics'!$B$18,0)</x:f>
        <x:v>37500</x:v>
      </x:c>
      <x:c r="Q113" t="n">
        <x:f>((IF(Q$1-'Underlying Mechanics'!$B$8&lt;0,0,'Underlying Mechanics'!$B$22*'Underlying Mechanics'!$B$15*INDEX('Underlying Mechanics'!$B$31:$B$51,Q$1-'Underlying Mechanics'!$B$8+1)*'Underlying Mechanics'!$B$5))*(1-$A113))-IF(Q$1=0,'Underlying Mechanics'!$B$23*(1-$B113),0)-IF(Q$1&gt;0,'Underlying Mechanics'!$B$22*'Underlying Mechanics'!$B$17,0)-IF(Q$1&gt;0,'Underlying Mechanics'!$B$12*'Underlying Mechanics'!$B$18,0)</x:f>
        <x:v>37500</x:v>
      </x:c>
      <x:c r="R113" t="n">
        <x:f>((IF(R$1-'Underlying Mechanics'!$B$8&lt;0,0,'Underlying Mechanics'!$B$22*'Underlying Mechanics'!$B$15*INDEX('Underlying Mechanics'!$B$31:$B$51,R$1-'Underlying Mechanics'!$B$8+1)*'Underlying Mechanics'!$B$5))*(1-$A113))-IF(R$1=0,'Underlying Mechanics'!$B$23*(1-$B113),0)-IF(R$1&gt;0,'Underlying Mechanics'!$B$22*'Underlying Mechanics'!$B$17,0)-IF(R$1&gt;0,'Underlying Mechanics'!$B$12*'Underlying Mechanics'!$B$18,0)</x:f>
        <x:v>37500</x:v>
      </x:c>
      <x:c r="S113" t="n">
        <x:f>((IF(S$1-'Underlying Mechanics'!$B$8&lt;0,0,'Underlying Mechanics'!$B$22*'Underlying Mechanics'!$B$15*INDEX('Underlying Mechanics'!$B$31:$B$51,S$1-'Underlying Mechanics'!$B$8+1)*'Underlying Mechanics'!$B$5))*(1-$A113))-IF(S$1=0,'Underlying Mechanics'!$B$23*(1-$B113),0)-IF(S$1&gt;0,'Underlying Mechanics'!$B$22*'Underlying Mechanics'!$B$17,0)-IF(S$1&gt;0,'Underlying Mechanics'!$B$12*'Underlying Mechanics'!$B$18,0)</x:f>
        <x:v>37500</x:v>
      </x:c>
      <x:c r="T113" t="n">
        <x:f>((IF(T$1-'Underlying Mechanics'!$B$8&lt;0,0,'Underlying Mechanics'!$B$22*'Underlying Mechanics'!$B$15*INDEX('Underlying Mechanics'!$B$31:$B$51,T$1-'Underlying Mechanics'!$B$8+1)*'Underlying Mechanics'!$B$5))*(1-$A113))-IF(T$1=0,'Underlying Mechanics'!$B$23*(1-$B113),0)-IF(T$1&gt;0,'Underlying Mechanics'!$B$22*'Underlying Mechanics'!$B$17,0)-IF(T$1&gt;0,'Underlying Mechanics'!$B$12*'Underlying Mechanics'!$B$18,0)</x:f>
        <x:v>37500</x:v>
      </x:c>
      <x:c r="U113" t="n">
        <x:f>((IF(U$1-'Underlying Mechanics'!$B$8&lt;0,0,'Underlying Mechanics'!$B$22*'Underlying Mechanics'!$B$15*INDEX('Underlying Mechanics'!$B$31:$B$51,U$1-'Underlying Mechanics'!$B$8+1)*'Underlying Mechanics'!$B$5))*(1-$A113))-IF(U$1=0,'Underlying Mechanics'!$B$23*(1-$B113),0)-IF(U$1&gt;0,'Underlying Mechanics'!$B$22*'Underlying Mechanics'!$B$17,0)-IF(U$1&gt;0,'Underlying Mechanics'!$B$12*'Underlying Mechanics'!$B$18,0)</x:f>
        <x:v>37500</x:v>
      </x:c>
      <x:c r="V113" t="n">
        <x:f>((IF(V$1-'Underlying Mechanics'!$B$8&lt;0,0,'Underlying Mechanics'!$B$22*'Underlying Mechanics'!$B$15*INDEX('Underlying Mechanics'!$B$31:$B$51,V$1-'Underlying Mechanics'!$B$8+1)*'Underlying Mechanics'!$B$5))*(1-$A113))-IF(V$1=0,'Underlying Mechanics'!$B$23*(1-$B113),0)-IF(V$1&gt;0,'Underlying Mechanics'!$B$22*'Underlying Mechanics'!$B$17,0)-IF(V$1&gt;0,'Underlying Mechanics'!$B$12*'Underlying Mechanics'!$B$18,0)</x:f>
        <x:v>37500</x:v>
      </x:c>
      <x:c r="W113" t="n">
        <x:f>((IF(W$1-'Underlying Mechanics'!$B$8&lt;0,0,'Underlying Mechanics'!$B$22*'Underlying Mechanics'!$B$15*INDEX('Underlying Mechanics'!$B$31:$B$51,W$1-'Underlying Mechanics'!$B$8+1)*'Underlying Mechanics'!$B$5))*(1-$A113))-IF(W$1=0,'Underlying Mechanics'!$B$23*(1-$B113),0)-IF(W$1&gt;0,'Underlying Mechanics'!$B$22*'Underlying Mechanics'!$B$17,0)-IF(W$1&gt;0,'Underlying Mechanics'!$B$12*'Underlying Mechanics'!$B$18,0)</x:f>
        <x:v>37500</x:v>
      </x:c>
      <x:c r="X113" t="n">
        <x:f>IFERROR(IRR(C113:W113),-1)</x:f>
        <x:v>0.041545695529912136</x:v>
      </x:c>
    </x:row>
    <x:row r="114">
      <x:c r="A114" t="n">
        <x:v>0.5</x:v>
      </x:c>
      <x:c r="B114" t="n">
        <x:v>0.35</x:v>
      </x:c>
      <x:c r="C114" t="n">
        <x:f>((IF(C$1-'Underlying Mechanics'!$B$8&lt;0,0,'Underlying Mechanics'!$B$22*'Underlying Mechanics'!$B$15*INDEX('Underlying Mechanics'!$B$31:$B$51,C$1-'Underlying Mechanics'!$B$8+1)*'Underlying Mechanics'!$B$5))*(1-$A114))-IF(C$1=0,'Underlying Mechanics'!$B$23*(1-$B114),0)-IF(C$1&gt;0,'Underlying Mechanics'!$B$22*'Underlying Mechanics'!$B$17,0)-IF(C$1&gt;0,'Underlying Mechanics'!$B$12*'Underlying Mechanics'!$B$18,0)</x:f>
        <x:v>-97500</x:v>
      </x:c>
      <x:c r="D114" t="n">
        <x:f>((IF(D$1-'Underlying Mechanics'!$B$8&lt;0,0,'Underlying Mechanics'!$B$22*'Underlying Mechanics'!$B$15*INDEX('Underlying Mechanics'!$B$31:$B$51,D$1-'Underlying Mechanics'!$B$8+1)*'Underlying Mechanics'!$B$5))*(1-$A114))-IF(D$1=0,'Underlying Mechanics'!$B$23*(1-$B114),0)-IF(D$1&gt;0,'Underlying Mechanics'!$B$22*'Underlying Mechanics'!$B$17,0)-IF(D$1&gt;0,'Underlying Mechanics'!$B$12*'Underlying Mechanics'!$B$18,0)</x:f>
        <x:v>-22500</x:v>
      </x:c>
      <x:c r="E114" t="n">
        <x:f>((IF(E$1-'Underlying Mechanics'!$B$8&lt;0,0,'Underlying Mechanics'!$B$22*'Underlying Mechanics'!$B$15*INDEX('Underlying Mechanics'!$B$31:$B$51,E$1-'Underlying Mechanics'!$B$8+1)*'Underlying Mechanics'!$B$5))*(1-$A114))-IF(E$1=0,'Underlying Mechanics'!$B$23*(1-$B114),0)-IF(E$1&gt;0,'Underlying Mechanics'!$B$22*'Underlying Mechanics'!$B$17,0)-IF(E$1&gt;0,'Underlying Mechanics'!$B$12*'Underlying Mechanics'!$B$18,0)</x:f>
        <x:v>-22500</x:v>
      </x:c>
      <x:c r="F114" t="n">
        <x:f>((IF(F$1-'Underlying Mechanics'!$B$8&lt;0,0,'Underlying Mechanics'!$B$22*'Underlying Mechanics'!$B$15*INDEX('Underlying Mechanics'!$B$31:$B$51,F$1-'Underlying Mechanics'!$B$8+1)*'Underlying Mechanics'!$B$5))*(1-$A114))-IF(F$1=0,'Underlying Mechanics'!$B$23*(1-$B114),0)-IF(F$1&gt;0,'Underlying Mechanics'!$B$22*'Underlying Mechanics'!$B$17,0)-IF(F$1&gt;0,'Underlying Mechanics'!$B$12*'Underlying Mechanics'!$B$18,0)</x:f>
        <x:v>-21300</x:v>
      </x:c>
      <x:c r="G114" t="n">
        <x:f>((IF(G$1-'Underlying Mechanics'!$B$8&lt;0,0,'Underlying Mechanics'!$B$22*'Underlying Mechanics'!$B$15*INDEX('Underlying Mechanics'!$B$31:$B$51,G$1-'Underlying Mechanics'!$B$8+1)*'Underlying Mechanics'!$B$5))*(1-$A114))-IF(G$1=0,'Underlying Mechanics'!$B$23*(1-$B114),0)-IF(G$1&gt;0,'Underlying Mechanics'!$B$22*'Underlying Mechanics'!$B$17,0)-IF(G$1&gt;0,'Underlying Mechanics'!$B$12*'Underlying Mechanics'!$B$18,0)</x:f>
        <x:v>-19500</x:v>
      </x:c>
      <x:c r="H114" t="n">
        <x:f>((IF(H$1-'Underlying Mechanics'!$B$8&lt;0,0,'Underlying Mechanics'!$B$22*'Underlying Mechanics'!$B$15*INDEX('Underlying Mechanics'!$B$31:$B$51,H$1-'Underlying Mechanics'!$B$8+1)*'Underlying Mechanics'!$B$5))*(1-$A114))-IF(H$1=0,'Underlying Mechanics'!$B$23*(1-$B114),0)-IF(H$1&gt;0,'Underlying Mechanics'!$B$22*'Underlying Mechanics'!$B$17,0)-IF(H$1&gt;0,'Underlying Mechanics'!$B$12*'Underlying Mechanics'!$B$18,0)</x:f>
        <x:v>-16500</x:v>
      </x:c>
      <x:c r="I114" t="n">
        <x:f>((IF(I$1-'Underlying Mechanics'!$B$8&lt;0,0,'Underlying Mechanics'!$B$22*'Underlying Mechanics'!$B$15*INDEX('Underlying Mechanics'!$B$31:$B$51,I$1-'Underlying Mechanics'!$B$8+1)*'Underlying Mechanics'!$B$5))*(1-$A114))-IF(I$1=0,'Underlying Mechanics'!$B$23*(1-$B114),0)-IF(I$1&gt;0,'Underlying Mechanics'!$B$22*'Underlying Mechanics'!$B$17,0)-IF(I$1&gt;0,'Underlying Mechanics'!$B$12*'Underlying Mechanics'!$B$18,0)</x:f>
        <x:v>-11700</x:v>
      </x:c>
      <x:c r="J114" t="n">
        <x:f>((IF(J$1-'Underlying Mechanics'!$B$8&lt;0,0,'Underlying Mechanics'!$B$22*'Underlying Mechanics'!$B$15*INDEX('Underlying Mechanics'!$B$31:$B$51,J$1-'Underlying Mechanics'!$B$8+1)*'Underlying Mechanics'!$B$5))*(1-$A114))-IF(J$1=0,'Underlying Mechanics'!$B$23*(1-$B114),0)-IF(J$1&gt;0,'Underlying Mechanics'!$B$22*'Underlying Mechanics'!$B$17,0)-IF(J$1&gt;0,'Underlying Mechanics'!$B$12*'Underlying Mechanics'!$B$18,0)</x:f>
        <x:v>-5699.999999999996</x:v>
      </x:c>
      <x:c r="K114" t="n">
        <x:f>((IF(K$1-'Underlying Mechanics'!$B$8&lt;0,0,'Underlying Mechanics'!$B$22*'Underlying Mechanics'!$B$15*INDEX('Underlying Mechanics'!$B$31:$B$51,K$1-'Underlying Mechanics'!$B$8+1)*'Underlying Mechanics'!$B$5))*(1-$A114))-IF(K$1=0,'Underlying Mechanics'!$B$23*(1-$B114),0)-IF(K$1&gt;0,'Underlying Mechanics'!$B$22*'Underlying Mechanics'!$B$17,0)-IF(K$1&gt;0,'Underlying Mechanics'!$B$12*'Underlying Mechanics'!$B$18,0)</x:f>
        <x:v>1500</x:v>
      </x:c>
      <x:c r="L114" t="n">
        <x:f>((IF(L$1-'Underlying Mechanics'!$B$8&lt;0,0,'Underlying Mechanics'!$B$22*'Underlying Mechanics'!$B$15*INDEX('Underlying Mechanics'!$B$31:$B$51,L$1-'Underlying Mechanics'!$B$8+1)*'Underlying Mechanics'!$B$5))*(1-$A114))-IF(L$1=0,'Underlying Mechanics'!$B$23*(1-$B114),0)-IF(L$1&gt;0,'Underlying Mechanics'!$B$22*'Underlying Mechanics'!$B$17,0)-IF(L$1&gt;0,'Underlying Mechanics'!$B$12*'Underlying Mechanics'!$B$18,0)</x:f>
        <x:v>9900</x:v>
      </x:c>
      <x:c r="M114" t="n">
        <x:f>((IF(M$1-'Underlying Mechanics'!$B$8&lt;0,0,'Underlying Mechanics'!$B$22*'Underlying Mechanics'!$B$15*INDEX('Underlying Mechanics'!$B$31:$B$51,M$1-'Underlying Mechanics'!$B$8+1)*'Underlying Mechanics'!$B$5))*(1-$A114))-IF(M$1=0,'Underlying Mechanics'!$B$23*(1-$B114),0)-IF(M$1&gt;0,'Underlying Mechanics'!$B$22*'Underlying Mechanics'!$B$17,0)-IF(M$1&gt;0,'Underlying Mechanics'!$B$12*'Underlying Mechanics'!$B$18,0)</x:f>
        <x:v>18300.000000000007</x:v>
      </x:c>
      <x:c r="N114" t="n">
        <x:f>((IF(N$1-'Underlying Mechanics'!$B$8&lt;0,0,'Underlying Mechanics'!$B$22*'Underlying Mechanics'!$B$15*INDEX('Underlying Mechanics'!$B$31:$B$51,N$1-'Underlying Mechanics'!$B$8+1)*'Underlying Mechanics'!$B$5))*(1-$A114))-IF(N$1=0,'Underlying Mechanics'!$B$23*(1-$B114),0)-IF(N$1&gt;0,'Underlying Mechanics'!$B$22*'Underlying Mechanics'!$B$17,0)-IF(N$1&gt;0,'Underlying Mechanics'!$B$12*'Underlying Mechanics'!$B$18,0)</x:f>
        <x:v>25500</x:v>
      </x:c>
      <x:c r="O114" t="n">
        <x:f>((IF(O$1-'Underlying Mechanics'!$B$8&lt;0,0,'Underlying Mechanics'!$B$22*'Underlying Mechanics'!$B$15*INDEX('Underlying Mechanics'!$B$31:$B$51,O$1-'Underlying Mechanics'!$B$8+1)*'Underlying Mechanics'!$B$5))*(1-$A114))-IF(O$1=0,'Underlying Mechanics'!$B$23*(1-$B114),0)-IF(O$1&gt;0,'Underlying Mechanics'!$B$22*'Underlying Mechanics'!$B$17,0)-IF(O$1&gt;0,'Underlying Mechanics'!$B$12*'Underlying Mechanics'!$B$18,0)</x:f>
        <x:v>31500</x:v>
      </x:c>
      <x:c r="P114" t="n">
        <x:f>((IF(P$1-'Underlying Mechanics'!$B$8&lt;0,0,'Underlying Mechanics'!$B$22*'Underlying Mechanics'!$B$15*INDEX('Underlying Mechanics'!$B$31:$B$51,P$1-'Underlying Mechanics'!$B$8+1)*'Underlying Mechanics'!$B$5))*(1-$A114))-IF(P$1=0,'Underlying Mechanics'!$B$23*(1-$B114),0)-IF(P$1&gt;0,'Underlying Mechanics'!$B$22*'Underlying Mechanics'!$B$17,0)-IF(P$1&gt;0,'Underlying Mechanics'!$B$12*'Underlying Mechanics'!$B$18,0)</x:f>
        <x:v>37500</x:v>
      </x:c>
      <x:c r="Q114" t="n">
        <x:f>((IF(Q$1-'Underlying Mechanics'!$B$8&lt;0,0,'Underlying Mechanics'!$B$22*'Underlying Mechanics'!$B$15*INDEX('Underlying Mechanics'!$B$31:$B$51,Q$1-'Underlying Mechanics'!$B$8+1)*'Underlying Mechanics'!$B$5))*(1-$A114))-IF(Q$1=0,'Underlying Mechanics'!$B$23*(1-$B114),0)-IF(Q$1&gt;0,'Underlying Mechanics'!$B$22*'Underlying Mechanics'!$B$17,0)-IF(Q$1&gt;0,'Underlying Mechanics'!$B$12*'Underlying Mechanics'!$B$18,0)</x:f>
        <x:v>37500</x:v>
      </x:c>
      <x:c r="R114" t="n">
        <x:f>((IF(R$1-'Underlying Mechanics'!$B$8&lt;0,0,'Underlying Mechanics'!$B$22*'Underlying Mechanics'!$B$15*INDEX('Underlying Mechanics'!$B$31:$B$51,R$1-'Underlying Mechanics'!$B$8+1)*'Underlying Mechanics'!$B$5))*(1-$A114))-IF(R$1=0,'Underlying Mechanics'!$B$23*(1-$B114),0)-IF(R$1&gt;0,'Underlying Mechanics'!$B$22*'Underlying Mechanics'!$B$17,0)-IF(R$1&gt;0,'Underlying Mechanics'!$B$12*'Underlying Mechanics'!$B$18,0)</x:f>
        <x:v>37500</x:v>
      </x:c>
      <x:c r="S114" t="n">
        <x:f>((IF(S$1-'Underlying Mechanics'!$B$8&lt;0,0,'Underlying Mechanics'!$B$22*'Underlying Mechanics'!$B$15*INDEX('Underlying Mechanics'!$B$31:$B$51,S$1-'Underlying Mechanics'!$B$8+1)*'Underlying Mechanics'!$B$5))*(1-$A114))-IF(S$1=0,'Underlying Mechanics'!$B$23*(1-$B114),0)-IF(S$1&gt;0,'Underlying Mechanics'!$B$22*'Underlying Mechanics'!$B$17,0)-IF(S$1&gt;0,'Underlying Mechanics'!$B$12*'Underlying Mechanics'!$B$18,0)</x:f>
        <x:v>37500</x:v>
      </x:c>
      <x:c r="T114" t="n">
        <x:f>((IF(T$1-'Underlying Mechanics'!$B$8&lt;0,0,'Underlying Mechanics'!$B$22*'Underlying Mechanics'!$B$15*INDEX('Underlying Mechanics'!$B$31:$B$51,T$1-'Underlying Mechanics'!$B$8+1)*'Underlying Mechanics'!$B$5))*(1-$A114))-IF(T$1=0,'Underlying Mechanics'!$B$23*(1-$B114),0)-IF(T$1&gt;0,'Underlying Mechanics'!$B$22*'Underlying Mechanics'!$B$17,0)-IF(T$1&gt;0,'Underlying Mechanics'!$B$12*'Underlying Mechanics'!$B$18,0)</x:f>
        <x:v>37500</x:v>
      </x:c>
      <x:c r="U114" t="n">
        <x:f>((IF(U$1-'Underlying Mechanics'!$B$8&lt;0,0,'Underlying Mechanics'!$B$22*'Underlying Mechanics'!$B$15*INDEX('Underlying Mechanics'!$B$31:$B$51,U$1-'Underlying Mechanics'!$B$8+1)*'Underlying Mechanics'!$B$5))*(1-$A114))-IF(U$1=0,'Underlying Mechanics'!$B$23*(1-$B114),0)-IF(U$1&gt;0,'Underlying Mechanics'!$B$22*'Underlying Mechanics'!$B$17,0)-IF(U$1&gt;0,'Underlying Mechanics'!$B$12*'Underlying Mechanics'!$B$18,0)</x:f>
        <x:v>37500</x:v>
      </x:c>
      <x:c r="V114" t="n">
        <x:f>((IF(V$1-'Underlying Mechanics'!$B$8&lt;0,0,'Underlying Mechanics'!$B$22*'Underlying Mechanics'!$B$15*INDEX('Underlying Mechanics'!$B$31:$B$51,V$1-'Underlying Mechanics'!$B$8+1)*'Underlying Mechanics'!$B$5))*(1-$A114))-IF(V$1=0,'Underlying Mechanics'!$B$23*(1-$B114),0)-IF(V$1&gt;0,'Underlying Mechanics'!$B$22*'Underlying Mechanics'!$B$17,0)-IF(V$1&gt;0,'Underlying Mechanics'!$B$12*'Underlying Mechanics'!$B$18,0)</x:f>
        <x:v>37500</x:v>
      </x:c>
      <x:c r="W114" t="n">
        <x:f>((IF(W$1-'Underlying Mechanics'!$B$8&lt;0,0,'Underlying Mechanics'!$B$22*'Underlying Mechanics'!$B$15*INDEX('Underlying Mechanics'!$B$31:$B$51,W$1-'Underlying Mechanics'!$B$8+1)*'Underlying Mechanics'!$B$5))*(1-$A114))-IF(W$1=0,'Underlying Mechanics'!$B$23*(1-$B114),0)-IF(W$1&gt;0,'Underlying Mechanics'!$B$22*'Underlying Mechanics'!$B$17,0)-IF(W$1&gt;0,'Underlying Mechanics'!$B$12*'Underlying Mechanics'!$B$18,0)</x:f>
        <x:v>37500</x:v>
      </x:c>
      <x:c r="X114" t="n">
        <x:f>IFERROR(IRR(C114:W114),-1)</x:f>
        <x:v>0.04443398878307024</x:v>
      </x:c>
    </x:row>
    <x:row r="115">
      <x:c r="A115" t="n">
        <x:v>0.5</x:v>
      </x:c>
      <x:c r="B115" t="n">
        <x:v>0.4</x:v>
      </x:c>
      <x:c r="C115" t="n">
        <x:f>((IF(C$1-'Underlying Mechanics'!$B$8&lt;0,0,'Underlying Mechanics'!$B$22*'Underlying Mechanics'!$B$15*INDEX('Underlying Mechanics'!$B$31:$B$51,C$1-'Underlying Mechanics'!$B$8+1)*'Underlying Mechanics'!$B$5))*(1-$A115))-IF(C$1=0,'Underlying Mechanics'!$B$23*(1-$B115),0)-IF(C$1&gt;0,'Underlying Mechanics'!$B$22*'Underlying Mechanics'!$B$17,0)-IF(C$1&gt;0,'Underlying Mechanics'!$B$12*'Underlying Mechanics'!$B$18,0)</x:f>
        <x:v>-90000</x:v>
      </x:c>
      <x:c r="D115" t="n">
        <x:f>((IF(D$1-'Underlying Mechanics'!$B$8&lt;0,0,'Underlying Mechanics'!$B$22*'Underlying Mechanics'!$B$15*INDEX('Underlying Mechanics'!$B$31:$B$51,D$1-'Underlying Mechanics'!$B$8+1)*'Underlying Mechanics'!$B$5))*(1-$A115))-IF(D$1=0,'Underlying Mechanics'!$B$23*(1-$B115),0)-IF(D$1&gt;0,'Underlying Mechanics'!$B$22*'Underlying Mechanics'!$B$17,0)-IF(D$1&gt;0,'Underlying Mechanics'!$B$12*'Underlying Mechanics'!$B$18,0)</x:f>
        <x:v>-22500</x:v>
      </x:c>
      <x:c r="E115" t="n">
        <x:f>((IF(E$1-'Underlying Mechanics'!$B$8&lt;0,0,'Underlying Mechanics'!$B$22*'Underlying Mechanics'!$B$15*INDEX('Underlying Mechanics'!$B$31:$B$51,E$1-'Underlying Mechanics'!$B$8+1)*'Underlying Mechanics'!$B$5))*(1-$A115))-IF(E$1=0,'Underlying Mechanics'!$B$23*(1-$B115),0)-IF(E$1&gt;0,'Underlying Mechanics'!$B$22*'Underlying Mechanics'!$B$17,0)-IF(E$1&gt;0,'Underlying Mechanics'!$B$12*'Underlying Mechanics'!$B$18,0)</x:f>
        <x:v>-22500</x:v>
      </x:c>
      <x:c r="F115" t="n">
        <x:f>((IF(F$1-'Underlying Mechanics'!$B$8&lt;0,0,'Underlying Mechanics'!$B$22*'Underlying Mechanics'!$B$15*INDEX('Underlying Mechanics'!$B$31:$B$51,F$1-'Underlying Mechanics'!$B$8+1)*'Underlying Mechanics'!$B$5))*(1-$A115))-IF(F$1=0,'Underlying Mechanics'!$B$23*(1-$B115),0)-IF(F$1&gt;0,'Underlying Mechanics'!$B$22*'Underlying Mechanics'!$B$17,0)-IF(F$1&gt;0,'Underlying Mechanics'!$B$12*'Underlying Mechanics'!$B$18,0)</x:f>
        <x:v>-21300</x:v>
      </x:c>
      <x:c r="G115" t="n">
        <x:f>((IF(G$1-'Underlying Mechanics'!$B$8&lt;0,0,'Underlying Mechanics'!$B$22*'Underlying Mechanics'!$B$15*INDEX('Underlying Mechanics'!$B$31:$B$51,G$1-'Underlying Mechanics'!$B$8+1)*'Underlying Mechanics'!$B$5))*(1-$A115))-IF(G$1=0,'Underlying Mechanics'!$B$23*(1-$B115),0)-IF(G$1&gt;0,'Underlying Mechanics'!$B$22*'Underlying Mechanics'!$B$17,0)-IF(G$1&gt;0,'Underlying Mechanics'!$B$12*'Underlying Mechanics'!$B$18,0)</x:f>
        <x:v>-19500</x:v>
      </x:c>
      <x:c r="H115" t="n">
        <x:f>((IF(H$1-'Underlying Mechanics'!$B$8&lt;0,0,'Underlying Mechanics'!$B$22*'Underlying Mechanics'!$B$15*INDEX('Underlying Mechanics'!$B$31:$B$51,H$1-'Underlying Mechanics'!$B$8+1)*'Underlying Mechanics'!$B$5))*(1-$A115))-IF(H$1=0,'Underlying Mechanics'!$B$23*(1-$B115),0)-IF(H$1&gt;0,'Underlying Mechanics'!$B$22*'Underlying Mechanics'!$B$17,0)-IF(H$1&gt;0,'Underlying Mechanics'!$B$12*'Underlying Mechanics'!$B$18,0)</x:f>
        <x:v>-16500</x:v>
      </x:c>
      <x:c r="I115" t="n">
        <x:f>((IF(I$1-'Underlying Mechanics'!$B$8&lt;0,0,'Underlying Mechanics'!$B$22*'Underlying Mechanics'!$B$15*INDEX('Underlying Mechanics'!$B$31:$B$51,I$1-'Underlying Mechanics'!$B$8+1)*'Underlying Mechanics'!$B$5))*(1-$A115))-IF(I$1=0,'Underlying Mechanics'!$B$23*(1-$B115),0)-IF(I$1&gt;0,'Underlying Mechanics'!$B$22*'Underlying Mechanics'!$B$17,0)-IF(I$1&gt;0,'Underlying Mechanics'!$B$12*'Underlying Mechanics'!$B$18,0)</x:f>
        <x:v>-11700</x:v>
      </x:c>
      <x:c r="J115" t="n">
        <x:f>((IF(J$1-'Underlying Mechanics'!$B$8&lt;0,0,'Underlying Mechanics'!$B$22*'Underlying Mechanics'!$B$15*INDEX('Underlying Mechanics'!$B$31:$B$51,J$1-'Underlying Mechanics'!$B$8+1)*'Underlying Mechanics'!$B$5))*(1-$A115))-IF(J$1=0,'Underlying Mechanics'!$B$23*(1-$B115),0)-IF(J$1&gt;0,'Underlying Mechanics'!$B$22*'Underlying Mechanics'!$B$17,0)-IF(J$1&gt;0,'Underlying Mechanics'!$B$12*'Underlying Mechanics'!$B$18,0)</x:f>
        <x:v>-5699.999999999996</x:v>
      </x:c>
      <x:c r="K115" t="n">
        <x:f>((IF(K$1-'Underlying Mechanics'!$B$8&lt;0,0,'Underlying Mechanics'!$B$22*'Underlying Mechanics'!$B$15*INDEX('Underlying Mechanics'!$B$31:$B$51,K$1-'Underlying Mechanics'!$B$8+1)*'Underlying Mechanics'!$B$5))*(1-$A115))-IF(K$1=0,'Underlying Mechanics'!$B$23*(1-$B115),0)-IF(K$1&gt;0,'Underlying Mechanics'!$B$22*'Underlying Mechanics'!$B$17,0)-IF(K$1&gt;0,'Underlying Mechanics'!$B$12*'Underlying Mechanics'!$B$18,0)</x:f>
        <x:v>1500</x:v>
      </x:c>
      <x:c r="L115" t="n">
        <x:f>((IF(L$1-'Underlying Mechanics'!$B$8&lt;0,0,'Underlying Mechanics'!$B$22*'Underlying Mechanics'!$B$15*INDEX('Underlying Mechanics'!$B$31:$B$51,L$1-'Underlying Mechanics'!$B$8+1)*'Underlying Mechanics'!$B$5))*(1-$A115))-IF(L$1=0,'Underlying Mechanics'!$B$23*(1-$B115),0)-IF(L$1&gt;0,'Underlying Mechanics'!$B$22*'Underlying Mechanics'!$B$17,0)-IF(L$1&gt;0,'Underlying Mechanics'!$B$12*'Underlying Mechanics'!$B$18,0)</x:f>
        <x:v>9900</x:v>
      </x:c>
      <x:c r="M115" t="n">
        <x:f>((IF(M$1-'Underlying Mechanics'!$B$8&lt;0,0,'Underlying Mechanics'!$B$22*'Underlying Mechanics'!$B$15*INDEX('Underlying Mechanics'!$B$31:$B$51,M$1-'Underlying Mechanics'!$B$8+1)*'Underlying Mechanics'!$B$5))*(1-$A115))-IF(M$1=0,'Underlying Mechanics'!$B$23*(1-$B115),0)-IF(M$1&gt;0,'Underlying Mechanics'!$B$22*'Underlying Mechanics'!$B$17,0)-IF(M$1&gt;0,'Underlying Mechanics'!$B$12*'Underlying Mechanics'!$B$18,0)</x:f>
        <x:v>18300.000000000007</x:v>
      </x:c>
      <x:c r="N115" t="n">
        <x:f>((IF(N$1-'Underlying Mechanics'!$B$8&lt;0,0,'Underlying Mechanics'!$B$22*'Underlying Mechanics'!$B$15*INDEX('Underlying Mechanics'!$B$31:$B$51,N$1-'Underlying Mechanics'!$B$8+1)*'Underlying Mechanics'!$B$5))*(1-$A115))-IF(N$1=0,'Underlying Mechanics'!$B$23*(1-$B115),0)-IF(N$1&gt;0,'Underlying Mechanics'!$B$22*'Underlying Mechanics'!$B$17,0)-IF(N$1&gt;0,'Underlying Mechanics'!$B$12*'Underlying Mechanics'!$B$18,0)</x:f>
        <x:v>25500</x:v>
      </x:c>
      <x:c r="O115" t="n">
        <x:f>((IF(O$1-'Underlying Mechanics'!$B$8&lt;0,0,'Underlying Mechanics'!$B$22*'Underlying Mechanics'!$B$15*INDEX('Underlying Mechanics'!$B$31:$B$51,O$1-'Underlying Mechanics'!$B$8+1)*'Underlying Mechanics'!$B$5))*(1-$A115))-IF(O$1=0,'Underlying Mechanics'!$B$23*(1-$B115),0)-IF(O$1&gt;0,'Underlying Mechanics'!$B$22*'Underlying Mechanics'!$B$17,0)-IF(O$1&gt;0,'Underlying Mechanics'!$B$12*'Underlying Mechanics'!$B$18,0)</x:f>
        <x:v>31500</x:v>
      </x:c>
      <x:c r="P115" t="n">
        <x:f>((IF(P$1-'Underlying Mechanics'!$B$8&lt;0,0,'Underlying Mechanics'!$B$22*'Underlying Mechanics'!$B$15*INDEX('Underlying Mechanics'!$B$31:$B$51,P$1-'Underlying Mechanics'!$B$8+1)*'Underlying Mechanics'!$B$5))*(1-$A115))-IF(P$1=0,'Underlying Mechanics'!$B$23*(1-$B115),0)-IF(P$1&gt;0,'Underlying Mechanics'!$B$22*'Underlying Mechanics'!$B$17,0)-IF(P$1&gt;0,'Underlying Mechanics'!$B$12*'Underlying Mechanics'!$B$18,0)</x:f>
        <x:v>37500</x:v>
      </x:c>
      <x:c r="Q115" t="n">
        <x:f>((IF(Q$1-'Underlying Mechanics'!$B$8&lt;0,0,'Underlying Mechanics'!$B$22*'Underlying Mechanics'!$B$15*INDEX('Underlying Mechanics'!$B$31:$B$51,Q$1-'Underlying Mechanics'!$B$8+1)*'Underlying Mechanics'!$B$5))*(1-$A115))-IF(Q$1=0,'Underlying Mechanics'!$B$23*(1-$B115),0)-IF(Q$1&gt;0,'Underlying Mechanics'!$B$22*'Underlying Mechanics'!$B$17,0)-IF(Q$1&gt;0,'Underlying Mechanics'!$B$12*'Underlying Mechanics'!$B$18,0)</x:f>
        <x:v>37500</x:v>
      </x:c>
      <x:c r="R115" t="n">
        <x:f>((IF(R$1-'Underlying Mechanics'!$B$8&lt;0,0,'Underlying Mechanics'!$B$22*'Underlying Mechanics'!$B$15*INDEX('Underlying Mechanics'!$B$31:$B$51,R$1-'Underlying Mechanics'!$B$8+1)*'Underlying Mechanics'!$B$5))*(1-$A115))-IF(R$1=0,'Underlying Mechanics'!$B$23*(1-$B115),0)-IF(R$1&gt;0,'Underlying Mechanics'!$B$22*'Underlying Mechanics'!$B$17,0)-IF(R$1&gt;0,'Underlying Mechanics'!$B$12*'Underlying Mechanics'!$B$18,0)</x:f>
        <x:v>37500</x:v>
      </x:c>
      <x:c r="S115" t="n">
        <x:f>((IF(S$1-'Underlying Mechanics'!$B$8&lt;0,0,'Underlying Mechanics'!$B$22*'Underlying Mechanics'!$B$15*INDEX('Underlying Mechanics'!$B$31:$B$51,S$1-'Underlying Mechanics'!$B$8+1)*'Underlying Mechanics'!$B$5))*(1-$A115))-IF(S$1=0,'Underlying Mechanics'!$B$23*(1-$B115),0)-IF(S$1&gt;0,'Underlying Mechanics'!$B$22*'Underlying Mechanics'!$B$17,0)-IF(S$1&gt;0,'Underlying Mechanics'!$B$12*'Underlying Mechanics'!$B$18,0)</x:f>
        <x:v>37500</x:v>
      </x:c>
      <x:c r="T115" t="n">
        <x:f>((IF(T$1-'Underlying Mechanics'!$B$8&lt;0,0,'Underlying Mechanics'!$B$22*'Underlying Mechanics'!$B$15*INDEX('Underlying Mechanics'!$B$31:$B$51,T$1-'Underlying Mechanics'!$B$8+1)*'Underlying Mechanics'!$B$5))*(1-$A115))-IF(T$1=0,'Underlying Mechanics'!$B$23*(1-$B115),0)-IF(T$1&gt;0,'Underlying Mechanics'!$B$22*'Underlying Mechanics'!$B$17,0)-IF(T$1&gt;0,'Underlying Mechanics'!$B$12*'Underlying Mechanics'!$B$18,0)</x:f>
        <x:v>37500</x:v>
      </x:c>
      <x:c r="U115" t="n">
        <x:f>((IF(U$1-'Underlying Mechanics'!$B$8&lt;0,0,'Underlying Mechanics'!$B$22*'Underlying Mechanics'!$B$15*INDEX('Underlying Mechanics'!$B$31:$B$51,U$1-'Underlying Mechanics'!$B$8+1)*'Underlying Mechanics'!$B$5))*(1-$A115))-IF(U$1=0,'Underlying Mechanics'!$B$23*(1-$B115),0)-IF(U$1&gt;0,'Underlying Mechanics'!$B$22*'Underlying Mechanics'!$B$17,0)-IF(U$1&gt;0,'Underlying Mechanics'!$B$12*'Underlying Mechanics'!$B$18,0)</x:f>
        <x:v>37500</x:v>
      </x:c>
      <x:c r="V115" t="n">
        <x:f>((IF(V$1-'Underlying Mechanics'!$B$8&lt;0,0,'Underlying Mechanics'!$B$22*'Underlying Mechanics'!$B$15*INDEX('Underlying Mechanics'!$B$31:$B$51,V$1-'Underlying Mechanics'!$B$8+1)*'Underlying Mechanics'!$B$5))*(1-$A115))-IF(V$1=0,'Underlying Mechanics'!$B$23*(1-$B115),0)-IF(V$1&gt;0,'Underlying Mechanics'!$B$22*'Underlying Mechanics'!$B$17,0)-IF(V$1&gt;0,'Underlying Mechanics'!$B$12*'Underlying Mechanics'!$B$18,0)</x:f>
        <x:v>37500</x:v>
      </x:c>
      <x:c r="W115" t="n">
        <x:f>((IF(W$1-'Underlying Mechanics'!$B$8&lt;0,0,'Underlying Mechanics'!$B$22*'Underlying Mechanics'!$B$15*INDEX('Underlying Mechanics'!$B$31:$B$51,W$1-'Underlying Mechanics'!$B$8+1)*'Underlying Mechanics'!$B$5))*(1-$A115))-IF(W$1=0,'Underlying Mechanics'!$B$23*(1-$B115),0)-IF(W$1&gt;0,'Underlying Mechanics'!$B$22*'Underlying Mechanics'!$B$17,0)-IF(W$1&gt;0,'Underlying Mechanics'!$B$12*'Underlying Mechanics'!$B$18,0)</x:f>
        <x:v>37500</x:v>
      </x:c>
      <x:c r="X115" t="n">
        <x:f>IFERROR(IRR(C115:W115),-1)</x:f>
        <x:v>0.0474728128739014</x:v>
      </x:c>
    </x:row>
    <x:row r="116">
      <x:c r="A116" t="n">
        <x:v>0.5</x:v>
      </x:c>
      <x:c r="B116" t="n">
        <x:v>0.45</x:v>
      </x:c>
      <x:c r="C116" t="n">
        <x:f>((IF(C$1-'Underlying Mechanics'!$B$8&lt;0,0,'Underlying Mechanics'!$B$22*'Underlying Mechanics'!$B$15*INDEX('Underlying Mechanics'!$B$31:$B$51,C$1-'Underlying Mechanics'!$B$8+1)*'Underlying Mechanics'!$B$5))*(1-$A116))-IF(C$1=0,'Underlying Mechanics'!$B$23*(1-$B116),0)-IF(C$1&gt;0,'Underlying Mechanics'!$B$22*'Underlying Mechanics'!$B$17,0)-IF(C$1&gt;0,'Underlying Mechanics'!$B$12*'Underlying Mechanics'!$B$18,0)</x:f>
        <x:v>-82500</x:v>
      </x:c>
      <x:c r="D116" t="n">
        <x:f>((IF(D$1-'Underlying Mechanics'!$B$8&lt;0,0,'Underlying Mechanics'!$B$22*'Underlying Mechanics'!$B$15*INDEX('Underlying Mechanics'!$B$31:$B$51,D$1-'Underlying Mechanics'!$B$8+1)*'Underlying Mechanics'!$B$5))*(1-$A116))-IF(D$1=0,'Underlying Mechanics'!$B$23*(1-$B116),0)-IF(D$1&gt;0,'Underlying Mechanics'!$B$22*'Underlying Mechanics'!$B$17,0)-IF(D$1&gt;0,'Underlying Mechanics'!$B$12*'Underlying Mechanics'!$B$18,0)</x:f>
        <x:v>-22500</x:v>
      </x:c>
      <x:c r="E116" t="n">
        <x:f>((IF(E$1-'Underlying Mechanics'!$B$8&lt;0,0,'Underlying Mechanics'!$B$22*'Underlying Mechanics'!$B$15*INDEX('Underlying Mechanics'!$B$31:$B$51,E$1-'Underlying Mechanics'!$B$8+1)*'Underlying Mechanics'!$B$5))*(1-$A116))-IF(E$1=0,'Underlying Mechanics'!$B$23*(1-$B116),0)-IF(E$1&gt;0,'Underlying Mechanics'!$B$22*'Underlying Mechanics'!$B$17,0)-IF(E$1&gt;0,'Underlying Mechanics'!$B$12*'Underlying Mechanics'!$B$18,0)</x:f>
        <x:v>-22500</x:v>
      </x:c>
      <x:c r="F116" t="n">
        <x:f>((IF(F$1-'Underlying Mechanics'!$B$8&lt;0,0,'Underlying Mechanics'!$B$22*'Underlying Mechanics'!$B$15*INDEX('Underlying Mechanics'!$B$31:$B$51,F$1-'Underlying Mechanics'!$B$8+1)*'Underlying Mechanics'!$B$5))*(1-$A116))-IF(F$1=0,'Underlying Mechanics'!$B$23*(1-$B116),0)-IF(F$1&gt;0,'Underlying Mechanics'!$B$22*'Underlying Mechanics'!$B$17,0)-IF(F$1&gt;0,'Underlying Mechanics'!$B$12*'Underlying Mechanics'!$B$18,0)</x:f>
        <x:v>-21300</x:v>
      </x:c>
      <x:c r="G116" t="n">
        <x:f>((IF(G$1-'Underlying Mechanics'!$B$8&lt;0,0,'Underlying Mechanics'!$B$22*'Underlying Mechanics'!$B$15*INDEX('Underlying Mechanics'!$B$31:$B$51,G$1-'Underlying Mechanics'!$B$8+1)*'Underlying Mechanics'!$B$5))*(1-$A116))-IF(G$1=0,'Underlying Mechanics'!$B$23*(1-$B116),0)-IF(G$1&gt;0,'Underlying Mechanics'!$B$22*'Underlying Mechanics'!$B$17,0)-IF(G$1&gt;0,'Underlying Mechanics'!$B$12*'Underlying Mechanics'!$B$18,0)</x:f>
        <x:v>-19500</x:v>
      </x:c>
      <x:c r="H116" t="n">
        <x:f>((IF(H$1-'Underlying Mechanics'!$B$8&lt;0,0,'Underlying Mechanics'!$B$22*'Underlying Mechanics'!$B$15*INDEX('Underlying Mechanics'!$B$31:$B$51,H$1-'Underlying Mechanics'!$B$8+1)*'Underlying Mechanics'!$B$5))*(1-$A116))-IF(H$1=0,'Underlying Mechanics'!$B$23*(1-$B116),0)-IF(H$1&gt;0,'Underlying Mechanics'!$B$22*'Underlying Mechanics'!$B$17,0)-IF(H$1&gt;0,'Underlying Mechanics'!$B$12*'Underlying Mechanics'!$B$18,0)</x:f>
        <x:v>-16500</x:v>
      </x:c>
      <x:c r="I116" t="n">
        <x:f>((IF(I$1-'Underlying Mechanics'!$B$8&lt;0,0,'Underlying Mechanics'!$B$22*'Underlying Mechanics'!$B$15*INDEX('Underlying Mechanics'!$B$31:$B$51,I$1-'Underlying Mechanics'!$B$8+1)*'Underlying Mechanics'!$B$5))*(1-$A116))-IF(I$1=0,'Underlying Mechanics'!$B$23*(1-$B116),0)-IF(I$1&gt;0,'Underlying Mechanics'!$B$22*'Underlying Mechanics'!$B$17,0)-IF(I$1&gt;0,'Underlying Mechanics'!$B$12*'Underlying Mechanics'!$B$18,0)</x:f>
        <x:v>-11700</x:v>
      </x:c>
      <x:c r="J116" t="n">
        <x:f>((IF(J$1-'Underlying Mechanics'!$B$8&lt;0,0,'Underlying Mechanics'!$B$22*'Underlying Mechanics'!$B$15*INDEX('Underlying Mechanics'!$B$31:$B$51,J$1-'Underlying Mechanics'!$B$8+1)*'Underlying Mechanics'!$B$5))*(1-$A116))-IF(J$1=0,'Underlying Mechanics'!$B$23*(1-$B116),0)-IF(J$1&gt;0,'Underlying Mechanics'!$B$22*'Underlying Mechanics'!$B$17,0)-IF(J$1&gt;0,'Underlying Mechanics'!$B$12*'Underlying Mechanics'!$B$18,0)</x:f>
        <x:v>-5699.999999999996</x:v>
      </x:c>
      <x:c r="K116" t="n">
        <x:f>((IF(K$1-'Underlying Mechanics'!$B$8&lt;0,0,'Underlying Mechanics'!$B$22*'Underlying Mechanics'!$B$15*INDEX('Underlying Mechanics'!$B$31:$B$51,K$1-'Underlying Mechanics'!$B$8+1)*'Underlying Mechanics'!$B$5))*(1-$A116))-IF(K$1=0,'Underlying Mechanics'!$B$23*(1-$B116),0)-IF(K$1&gt;0,'Underlying Mechanics'!$B$22*'Underlying Mechanics'!$B$17,0)-IF(K$1&gt;0,'Underlying Mechanics'!$B$12*'Underlying Mechanics'!$B$18,0)</x:f>
        <x:v>1500</x:v>
      </x:c>
      <x:c r="L116" t="n">
        <x:f>((IF(L$1-'Underlying Mechanics'!$B$8&lt;0,0,'Underlying Mechanics'!$B$22*'Underlying Mechanics'!$B$15*INDEX('Underlying Mechanics'!$B$31:$B$51,L$1-'Underlying Mechanics'!$B$8+1)*'Underlying Mechanics'!$B$5))*(1-$A116))-IF(L$1=0,'Underlying Mechanics'!$B$23*(1-$B116),0)-IF(L$1&gt;0,'Underlying Mechanics'!$B$22*'Underlying Mechanics'!$B$17,0)-IF(L$1&gt;0,'Underlying Mechanics'!$B$12*'Underlying Mechanics'!$B$18,0)</x:f>
        <x:v>9900</x:v>
      </x:c>
      <x:c r="M116" t="n">
        <x:f>((IF(M$1-'Underlying Mechanics'!$B$8&lt;0,0,'Underlying Mechanics'!$B$22*'Underlying Mechanics'!$B$15*INDEX('Underlying Mechanics'!$B$31:$B$51,M$1-'Underlying Mechanics'!$B$8+1)*'Underlying Mechanics'!$B$5))*(1-$A116))-IF(M$1=0,'Underlying Mechanics'!$B$23*(1-$B116),0)-IF(M$1&gt;0,'Underlying Mechanics'!$B$22*'Underlying Mechanics'!$B$17,0)-IF(M$1&gt;0,'Underlying Mechanics'!$B$12*'Underlying Mechanics'!$B$18,0)</x:f>
        <x:v>18300.000000000007</x:v>
      </x:c>
      <x:c r="N116" t="n">
        <x:f>((IF(N$1-'Underlying Mechanics'!$B$8&lt;0,0,'Underlying Mechanics'!$B$22*'Underlying Mechanics'!$B$15*INDEX('Underlying Mechanics'!$B$31:$B$51,N$1-'Underlying Mechanics'!$B$8+1)*'Underlying Mechanics'!$B$5))*(1-$A116))-IF(N$1=0,'Underlying Mechanics'!$B$23*(1-$B116),0)-IF(N$1&gt;0,'Underlying Mechanics'!$B$22*'Underlying Mechanics'!$B$17,0)-IF(N$1&gt;0,'Underlying Mechanics'!$B$12*'Underlying Mechanics'!$B$18,0)</x:f>
        <x:v>25500</x:v>
      </x:c>
      <x:c r="O116" t="n">
        <x:f>((IF(O$1-'Underlying Mechanics'!$B$8&lt;0,0,'Underlying Mechanics'!$B$22*'Underlying Mechanics'!$B$15*INDEX('Underlying Mechanics'!$B$31:$B$51,O$1-'Underlying Mechanics'!$B$8+1)*'Underlying Mechanics'!$B$5))*(1-$A116))-IF(O$1=0,'Underlying Mechanics'!$B$23*(1-$B116),0)-IF(O$1&gt;0,'Underlying Mechanics'!$B$22*'Underlying Mechanics'!$B$17,0)-IF(O$1&gt;0,'Underlying Mechanics'!$B$12*'Underlying Mechanics'!$B$18,0)</x:f>
        <x:v>31500</x:v>
      </x:c>
      <x:c r="P116" t="n">
        <x:f>((IF(P$1-'Underlying Mechanics'!$B$8&lt;0,0,'Underlying Mechanics'!$B$22*'Underlying Mechanics'!$B$15*INDEX('Underlying Mechanics'!$B$31:$B$51,P$1-'Underlying Mechanics'!$B$8+1)*'Underlying Mechanics'!$B$5))*(1-$A116))-IF(P$1=0,'Underlying Mechanics'!$B$23*(1-$B116),0)-IF(P$1&gt;0,'Underlying Mechanics'!$B$22*'Underlying Mechanics'!$B$17,0)-IF(P$1&gt;0,'Underlying Mechanics'!$B$12*'Underlying Mechanics'!$B$18,0)</x:f>
        <x:v>37500</x:v>
      </x:c>
      <x:c r="Q116" t="n">
        <x:f>((IF(Q$1-'Underlying Mechanics'!$B$8&lt;0,0,'Underlying Mechanics'!$B$22*'Underlying Mechanics'!$B$15*INDEX('Underlying Mechanics'!$B$31:$B$51,Q$1-'Underlying Mechanics'!$B$8+1)*'Underlying Mechanics'!$B$5))*(1-$A116))-IF(Q$1=0,'Underlying Mechanics'!$B$23*(1-$B116),0)-IF(Q$1&gt;0,'Underlying Mechanics'!$B$22*'Underlying Mechanics'!$B$17,0)-IF(Q$1&gt;0,'Underlying Mechanics'!$B$12*'Underlying Mechanics'!$B$18,0)</x:f>
        <x:v>37500</x:v>
      </x:c>
      <x:c r="R116" t="n">
        <x:f>((IF(R$1-'Underlying Mechanics'!$B$8&lt;0,0,'Underlying Mechanics'!$B$22*'Underlying Mechanics'!$B$15*INDEX('Underlying Mechanics'!$B$31:$B$51,R$1-'Underlying Mechanics'!$B$8+1)*'Underlying Mechanics'!$B$5))*(1-$A116))-IF(R$1=0,'Underlying Mechanics'!$B$23*(1-$B116),0)-IF(R$1&gt;0,'Underlying Mechanics'!$B$22*'Underlying Mechanics'!$B$17,0)-IF(R$1&gt;0,'Underlying Mechanics'!$B$12*'Underlying Mechanics'!$B$18,0)</x:f>
        <x:v>37500</x:v>
      </x:c>
      <x:c r="S116" t="n">
        <x:f>((IF(S$1-'Underlying Mechanics'!$B$8&lt;0,0,'Underlying Mechanics'!$B$22*'Underlying Mechanics'!$B$15*INDEX('Underlying Mechanics'!$B$31:$B$51,S$1-'Underlying Mechanics'!$B$8+1)*'Underlying Mechanics'!$B$5))*(1-$A116))-IF(S$1=0,'Underlying Mechanics'!$B$23*(1-$B116),0)-IF(S$1&gt;0,'Underlying Mechanics'!$B$22*'Underlying Mechanics'!$B$17,0)-IF(S$1&gt;0,'Underlying Mechanics'!$B$12*'Underlying Mechanics'!$B$18,0)</x:f>
        <x:v>37500</x:v>
      </x:c>
      <x:c r="T116" t="n">
        <x:f>((IF(T$1-'Underlying Mechanics'!$B$8&lt;0,0,'Underlying Mechanics'!$B$22*'Underlying Mechanics'!$B$15*INDEX('Underlying Mechanics'!$B$31:$B$51,T$1-'Underlying Mechanics'!$B$8+1)*'Underlying Mechanics'!$B$5))*(1-$A116))-IF(T$1=0,'Underlying Mechanics'!$B$23*(1-$B116),0)-IF(T$1&gt;0,'Underlying Mechanics'!$B$22*'Underlying Mechanics'!$B$17,0)-IF(T$1&gt;0,'Underlying Mechanics'!$B$12*'Underlying Mechanics'!$B$18,0)</x:f>
        <x:v>37500</x:v>
      </x:c>
      <x:c r="U116" t="n">
        <x:f>((IF(U$1-'Underlying Mechanics'!$B$8&lt;0,0,'Underlying Mechanics'!$B$22*'Underlying Mechanics'!$B$15*INDEX('Underlying Mechanics'!$B$31:$B$51,U$1-'Underlying Mechanics'!$B$8+1)*'Underlying Mechanics'!$B$5))*(1-$A116))-IF(U$1=0,'Underlying Mechanics'!$B$23*(1-$B116),0)-IF(U$1&gt;0,'Underlying Mechanics'!$B$22*'Underlying Mechanics'!$B$17,0)-IF(U$1&gt;0,'Underlying Mechanics'!$B$12*'Underlying Mechanics'!$B$18,0)</x:f>
        <x:v>37500</x:v>
      </x:c>
      <x:c r="V116" t="n">
        <x:f>((IF(V$1-'Underlying Mechanics'!$B$8&lt;0,0,'Underlying Mechanics'!$B$22*'Underlying Mechanics'!$B$15*INDEX('Underlying Mechanics'!$B$31:$B$51,V$1-'Underlying Mechanics'!$B$8+1)*'Underlying Mechanics'!$B$5))*(1-$A116))-IF(V$1=0,'Underlying Mechanics'!$B$23*(1-$B116),0)-IF(V$1&gt;0,'Underlying Mechanics'!$B$22*'Underlying Mechanics'!$B$17,0)-IF(V$1&gt;0,'Underlying Mechanics'!$B$12*'Underlying Mechanics'!$B$18,0)</x:f>
        <x:v>37500</x:v>
      </x:c>
      <x:c r="W116" t="n">
        <x:f>((IF(W$1-'Underlying Mechanics'!$B$8&lt;0,0,'Underlying Mechanics'!$B$22*'Underlying Mechanics'!$B$15*INDEX('Underlying Mechanics'!$B$31:$B$51,W$1-'Underlying Mechanics'!$B$8+1)*'Underlying Mechanics'!$B$5))*(1-$A116))-IF(W$1=0,'Underlying Mechanics'!$B$23*(1-$B116),0)-IF(W$1&gt;0,'Underlying Mechanics'!$B$22*'Underlying Mechanics'!$B$17,0)-IF(W$1&gt;0,'Underlying Mechanics'!$B$12*'Underlying Mechanics'!$B$18,0)</x:f>
        <x:v>37500</x:v>
      </x:c>
      <x:c r="X116" t="n">
        <x:f>IFERROR(IRR(C116:W116),-1)</x:f>
        <x:v>0.05067844760925248</x:v>
      </x:c>
    </x:row>
    <x:row r="117">
      <x:c r="A117" t="n">
        <x:v>0.5</x:v>
      </x:c>
      <x:c r="B117" t="n">
        <x:v>0.5</x:v>
      </x:c>
      <x:c r="C117" t="n">
        <x:f>((IF(C$1-'Underlying Mechanics'!$B$8&lt;0,0,'Underlying Mechanics'!$B$22*'Underlying Mechanics'!$B$15*INDEX('Underlying Mechanics'!$B$31:$B$51,C$1-'Underlying Mechanics'!$B$8+1)*'Underlying Mechanics'!$B$5))*(1-$A117))-IF(C$1=0,'Underlying Mechanics'!$B$23*(1-$B117),0)-IF(C$1&gt;0,'Underlying Mechanics'!$B$22*'Underlying Mechanics'!$B$17,0)-IF(C$1&gt;0,'Underlying Mechanics'!$B$12*'Underlying Mechanics'!$B$18,0)</x:f>
        <x:v>-75000</x:v>
      </x:c>
      <x:c r="D117" t="n">
        <x:f>((IF(D$1-'Underlying Mechanics'!$B$8&lt;0,0,'Underlying Mechanics'!$B$22*'Underlying Mechanics'!$B$15*INDEX('Underlying Mechanics'!$B$31:$B$51,D$1-'Underlying Mechanics'!$B$8+1)*'Underlying Mechanics'!$B$5))*(1-$A117))-IF(D$1=0,'Underlying Mechanics'!$B$23*(1-$B117),0)-IF(D$1&gt;0,'Underlying Mechanics'!$B$22*'Underlying Mechanics'!$B$17,0)-IF(D$1&gt;0,'Underlying Mechanics'!$B$12*'Underlying Mechanics'!$B$18,0)</x:f>
        <x:v>-22500</x:v>
      </x:c>
      <x:c r="E117" t="n">
        <x:f>((IF(E$1-'Underlying Mechanics'!$B$8&lt;0,0,'Underlying Mechanics'!$B$22*'Underlying Mechanics'!$B$15*INDEX('Underlying Mechanics'!$B$31:$B$51,E$1-'Underlying Mechanics'!$B$8+1)*'Underlying Mechanics'!$B$5))*(1-$A117))-IF(E$1=0,'Underlying Mechanics'!$B$23*(1-$B117),0)-IF(E$1&gt;0,'Underlying Mechanics'!$B$22*'Underlying Mechanics'!$B$17,0)-IF(E$1&gt;0,'Underlying Mechanics'!$B$12*'Underlying Mechanics'!$B$18,0)</x:f>
        <x:v>-22500</x:v>
      </x:c>
      <x:c r="F117" t="n">
        <x:f>((IF(F$1-'Underlying Mechanics'!$B$8&lt;0,0,'Underlying Mechanics'!$B$22*'Underlying Mechanics'!$B$15*INDEX('Underlying Mechanics'!$B$31:$B$51,F$1-'Underlying Mechanics'!$B$8+1)*'Underlying Mechanics'!$B$5))*(1-$A117))-IF(F$1=0,'Underlying Mechanics'!$B$23*(1-$B117),0)-IF(F$1&gt;0,'Underlying Mechanics'!$B$22*'Underlying Mechanics'!$B$17,0)-IF(F$1&gt;0,'Underlying Mechanics'!$B$12*'Underlying Mechanics'!$B$18,0)</x:f>
        <x:v>-21300</x:v>
      </x:c>
      <x:c r="G117" t="n">
        <x:f>((IF(G$1-'Underlying Mechanics'!$B$8&lt;0,0,'Underlying Mechanics'!$B$22*'Underlying Mechanics'!$B$15*INDEX('Underlying Mechanics'!$B$31:$B$51,G$1-'Underlying Mechanics'!$B$8+1)*'Underlying Mechanics'!$B$5))*(1-$A117))-IF(G$1=0,'Underlying Mechanics'!$B$23*(1-$B117),0)-IF(G$1&gt;0,'Underlying Mechanics'!$B$22*'Underlying Mechanics'!$B$17,0)-IF(G$1&gt;0,'Underlying Mechanics'!$B$12*'Underlying Mechanics'!$B$18,0)</x:f>
        <x:v>-19500</x:v>
      </x:c>
      <x:c r="H117" t="n">
        <x:f>((IF(H$1-'Underlying Mechanics'!$B$8&lt;0,0,'Underlying Mechanics'!$B$22*'Underlying Mechanics'!$B$15*INDEX('Underlying Mechanics'!$B$31:$B$51,H$1-'Underlying Mechanics'!$B$8+1)*'Underlying Mechanics'!$B$5))*(1-$A117))-IF(H$1=0,'Underlying Mechanics'!$B$23*(1-$B117),0)-IF(H$1&gt;0,'Underlying Mechanics'!$B$22*'Underlying Mechanics'!$B$17,0)-IF(H$1&gt;0,'Underlying Mechanics'!$B$12*'Underlying Mechanics'!$B$18,0)</x:f>
        <x:v>-16500</x:v>
      </x:c>
      <x:c r="I117" t="n">
        <x:f>((IF(I$1-'Underlying Mechanics'!$B$8&lt;0,0,'Underlying Mechanics'!$B$22*'Underlying Mechanics'!$B$15*INDEX('Underlying Mechanics'!$B$31:$B$51,I$1-'Underlying Mechanics'!$B$8+1)*'Underlying Mechanics'!$B$5))*(1-$A117))-IF(I$1=0,'Underlying Mechanics'!$B$23*(1-$B117),0)-IF(I$1&gt;0,'Underlying Mechanics'!$B$22*'Underlying Mechanics'!$B$17,0)-IF(I$1&gt;0,'Underlying Mechanics'!$B$12*'Underlying Mechanics'!$B$18,0)</x:f>
        <x:v>-11700</x:v>
      </x:c>
      <x:c r="J117" t="n">
        <x:f>((IF(J$1-'Underlying Mechanics'!$B$8&lt;0,0,'Underlying Mechanics'!$B$22*'Underlying Mechanics'!$B$15*INDEX('Underlying Mechanics'!$B$31:$B$51,J$1-'Underlying Mechanics'!$B$8+1)*'Underlying Mechanics'!$B$5))*(1-$A117))-IF(J$1=0,'Underlying Mechanics'!$B$23*(1-$B117),0)-IF(J$1&gt;0,'Underlying Mechanics'!$B$22*'Underlying Mechanics'!$B$17,0)-IF(J$1&gt;0,'Underlying Mechanics'!$B$12*'Underlying Mechanics'!$B$18,0)</x:f>
        <x:v>-5699.999999999996</x:v>
      </x:c>
      <x:c r="K117" t="n">
        <x:f>((IF(K$1-'Underlying Mechanics'!$B$8&lt;0,0,'Underlying Mechanics'!$B$22*'Underlying Mechanics'!$B$15*INDEX('Underlying Mechanics'!$B$31:$B$51,K$1-'Underlying Mechanics'!$B$8+1)*'Underlying Mechanics'!$B$5))*(1-$A117))-IF(K$1=0,'Underlying Mechanics'!$B$23*(1-$B117),0)-IF(K$1&gt;0,'Underlying Mechanics'!$B$22*'Underlying Mechanics'!$B$17,0)-IF(K$1&gt;0,'Underlying Mechanics'!$B$12*'Underlying Mechanics'!$B$18,0)</x:f>
        <x:v>1500</x:v>
      </x:c>
      <x:c r="L117" t="n">
        <x:f>((IF(L$1-'Underlying Mechanics'!$B$8&lt;0,0,'Underlying Mechanics'!$B$22*'Underlying Mechanics'!$B$15*INDEX('Underlying Mechanics'!$B$31:$B$51,L$1-'Underlying Mechanics'!$B$8+1)*'Underlying Mechanics'!$B$5))*(1-$A117))-IF(L$1=0,'Underlying Mechanics'!$B$23*(1-$B117),0)-IF(L$1&gt;0,'Underlying Mechanics'!$B$22*'Underlying Mechanics'!$B$17,0)-IF(L$1&gt;0,'Underlying Mechanics'!$B$12*'Underlying Mechanics'!$B$18,0)</x:f>
        <x:v>9900</x:v>
      </x:c>
      <x:c r="M117" t="n">
        <x:f>((IF(M$1-'Underlying Mechanics'!$B$8&lt;0,0,'Underlying Mechanics'!$B$22*'Underlying Mechanics'!$B$15*INDEX('Underlying Mechanics'!$B$31:$B$51,M$1-'Underlying Mechanics'!$B$8+1)*'Underlying Mechanics'!$B$5))*(1-$A117))-IF(M$1=0,'Underlying Mechanics'!$B$23*(1-$B117),0)-IF(M$1&gt;0,'Underlying Mechanics'!$B$22*'Underlying Mechanics'!$B$17,0)-IF(M$1&gt;0,'Underlying Mechanics'!$B$12*'Underlying Mechanics'!$B$18,0)</x:f>
        <x:v>18300.000000000007</x:v>
      </x:c>
      <x:c r="N117" t="n">
        <x:f>((IF(N$1-'Underlying Mechanics'!$B$8&lt;0,0,'Underlying Mechanics'!$B$22*'Underlying Mechanics'!$B$15*INDEX('Underlying Mechanics'!$B$31:$B$51,N$1-'Underlying Mechanics'!$B$8+1)*'Underlying Mechanics'!$B$5))*(1-$A117))-IF(N$1=0,'Underlying Mechanics'!$B$23*(1-$B117),0)-IF(N$1&gt;0,'Underlying Mechanics'!$B$22*'Underlying Mechanics'!$B$17,0)-IF(N$1&gt;0,'Underlying Mechanics'!$B$12*'Underlying Mechanics'!$B$18,0)</x:f>
        <x:v>25500</x:v>
      </x:c>
      <x:c r="O117" t="n">
        <x:f>((IF(O$1-'Underlying Mechanics'!$B$8&lt;0,0,'Underlying Mechanics'!$B$22*'Underlying Mechanics'!$B$15*INDEX('Underlying Mechanics'!$B$31:$B$51,O$1-'Underlying Mechanics'!$B$8+1)*'Underlying Mechanics'!$B$5))*(1-$A117))-IF(O$1=0,'Underlying Mechanics'!$B$23*(1-$B117),0)-IF(O$1&gt;0,'Underlying Mechanics'!$B$22*'Underlying Mechanics'!$B$17,0)-IF(O$1&gt;0,'Underlying Mechanics'!$B$12*'Underlying Mechanics'!$B$18,0)</x:f>
        <x:v>31500</x:v>
      </x:c>
      <x:c r="P117" t="n">
        <x:f>((IF(P$1-'Underlying Mechanics'!$B$8&lt;0,0,'Underlying Mechanics'!$B$22*'Underlying Mechanics'!$B$15*INDEX('Underlying Mechanics'!$B$31:$B$51,P$1-'Underlying Mechanics'!$B$8+1)*'Underlying Mechanics'!$B$5))*(1-$A117))-IF(P$1=0,'Underlying Mechanics'!$B$23*(1-$B117),0)-IF(P$1&gt;0,'Underlying Mechanics'!$B$22*'Underlying Mechanics'!$B$17,0)-IF(P$1&gt;0,'Underlying Mechanics'!$B$12*'Underlying Mechanics'!$B$18,0)</x:f>
        <x:v>37500</x:v>
      </x:c>
      <x:c r="Q117" t="n">
        <x:f>((IF(Q$1-'Underlying Mechanics'!$B$8&lt;0,0,'Underlying Mechanics'!$B$22*'Underlying Mechanics'!$B$15*INDEX('Underlying Mechanics'!$B$31:$B$51,Q$1-'Underlying Mechanics'!$B$8+1)*'Underlying Mechanics'!$B$5))*(1-$A117))-IF(Q$1=0,'Underlying Mechanics'!$B$23*(1-$B117),0)-IF(Q$1&gt;0,'Underlying Mechanics'!$B$22*'Underlying Mechanics'!$B$17,0)-IF(Q$1&gt;0,'Underlying Mechanics'!$B$12*'Underlying Mechanics'!$B$18,0)</x:f>
        <x:v>37500</x:v>
      </x:c>
      <x:c r="R117" t="n">
        <x:f>((IF(R$1-'Underlying Mechanics'!$B$8&lt;0,0,'Underlying Mechanics'!$B$22*'Underlying Mechanics'!$B$15*INDEX('Underlying Mechanics'!$B$31:$B$51,R$1-'Underlying Mechanics'!$B$8+1)*'Underlying Mechanics'!$B$5))*(1-$A117))-IF(R$1=0,'Underlying Mechanics'!$B$23*(1-$B117),0)-IF(R$1&gt;0,'Underlying Mechanics'!$B$22*'Underlying Mechanics'!$B$17,0)-IF(R$1&gt;0,'Underlying Mechanics'!$B$12*'Underlying Mechanics'!$B$18,0)</x:f>
        <x:v>37500</x:v>
      </x:c>
      <x:c r="S117" t="n">
        <x:f>((IF(S$1-'Underlying Mechanics'!$B$8&lt;0,0,'Underlying Mechanics'!$B$22*'Underlying Mechanics'!$B$15*INDEX('Underlying Mechanics'!$B$31:$B$51,S$1-'Underlying Mechanics'!$B$8+1)*'Underlying Mechanics'!$B$5))*(1-$A117))-IF(S$1=0,'Underlying Mechanics'!$B$23*(1-$B117),0)-IF(S$1&gt;0,'Underlying Mechanics'!$B$22*'Underlying Mechanics'!$B$17,0)-IF(S$1&gt;0,'Underlying Mechanics'!$B$12*'Underlying Mechanics'!$B$18,0)</x:f>
        <x:v>37500</x:v>
      </x:c>
      <x:c r="T117" t="n">
        <x:f>((IF(T$1-'Underlying Mechanics'!$B$8&lt;0,0,'Underlying Mechanics'!$B$22*'Underlying Mechanics'!$B$15*INDEX('Underlying Mechanics'!$B$31:$B$51,T$1-'Underlying Mechanics'!$B$8+1)*'Underlying Mechanics'!$B$5))*(1-$A117))-IF(T$1=0,'Underlying Mechanics'!$B$23*(1-$B117),0)-IF(T$1&gt;0,'Underlying Mechanics'!$B$22*'Underlying Mechanics'!$B$17,0)-IF(T$1&gt;0,'Underlying Mechanics'!$B$12*'Underlying Mechanics'!$B$18,0)</x:f>
        <x:v>37500</x:v>
      </x:c>
      <x:c r="U117" t="n">
        <x:f>((IF(U$1-'Underlying Mechanics'!$B$8&lt;0,0,'Underlying Mechanics'!$B$22*'Underlying Mechanics'!$B$15*INDEX('Underlying Mechanics'!$B$31:$B$51,U$1-'Underlying Mechanics'!$B$8+1)*'Underlying Mechanics'!$B$5))*(1-$A117))-IF(U$1=0,'Underlying Mechanics'!$B$23*(1-$B117),0)-IF(U$1&gt;0,'Underlying Mechanics'!$B$22*'Underlying Mechanics'!$B$17,0)-IF(U$1&gt;0,'Underlying Mechanics'!$B$12*'Underlying Mechanics'!$B$18,0)</x:f>
        <x:v>37500</x:v>
      </x:c>
      <x:c r="V117" t="n">
        <x:f>((IF(V$1-'Underlying Mechanics'!$B$8&lt;0,0,'Underlying Mechanics'!$B$22*'Underlying Mechanics'!$B$15*INDEX('Underlying Mechanics'!$B$31:$B$51,V$1-'Underlying Mechanics'!$B$8+1)*'Underlying Mechanics'!$B$5))*(1-$A117))-IF(V$1=0,'Underlying Mechanics'!$B$23*(1-$B117),0)-IF(V$1&gt;0,'Underlying Mechanics'!$B$22*'Underlying Mechanics'!$B$17,0)-IF(V$1&gt;0,'Underlying Mechanics'!$B$12*'Underlying Mechanics'!$B$18,0)</x:f>
        <x:v>37500</x:v>
      </x:c>
      <x:c r="W117" t="n">
        <x:f>((IF(W$1-'Underlying Mechanics'!$B$8&lt;0,0,'Underlying Mechanics'!$B$22*'Underlying Mechanics'!$B$15*INDEX('Underlying Mechanics'!$B$31:$B$51,W$1-'Underlying Mechanics'!$B$8+1)*'Underlying Mechanics'!$B$5))*(1-$A117))-IF(W$1=0,'Underlying Mechanics'!$B$23*(1-$B117),0)-IF(W$1&gt;0,'Underlying Mechanics'!$B$22*'Underlying Mechanics'!$B$17,0)-IF(W$1&gt;0,'Underlying Mechanics'!$B$12*'Underlying Mechanics'!$B$18,0)</x:f>
        <x:v>37500</x:v>
      </x:c>
      <x:c r="X117" t="n">
        <x:f>IFERROR(IRR(C117:W117),-1)</x:f>
        <x:v>0.054069972489851834</x:v>
      </x:c>
    </x:row>
    <x:row r="118">
      <x:c r="A118" t="n">
        <x:v>0.5</x:v>
      </x:c>
      <x:c r="B118" t="n">
        <x:v>0.55</x:v>
      </x:c>
      <x:c r="C118" t="n">
        <x:f>((IF(C$1-'Underlying Mechanics'!$B$8&lt;0,0,'Underlying Mechanics'!$B$22*'Underlying Mechanics'!$B$15*INDEX('Underlying Mechanics'!$B$31:$B$51,C$1-'Underlying Mechanics'!$B$8+1)*'Underlying Mechanics'!$B$5))*(1-$A118))-IF(C$1=0,'Underlying Mechanics'!$B$23*(1-$B118),0)-IF(C$1&gt;0,'Underlying Mechanics'!$B$22*'Underlying Mechanics'!$B$17,0)-IF(C$1&gt;0,'Underlying Mechanics'!$B$12*'Underlying Mechanics'!$B$18,0)</x:f>
        <x:v>-67500</x:v>
      </x:c>
      <x:c r="D118" t="n">
        <x:f>((IF(D$1-'Underlying Mechanics'!$B$8&lt;0,0,'Underlying Mechanics'!$B$22*'Underlying Mechanics'!$B$15*INDEX('Underlying Mechanics'!$B$31:$B$51,D$1-'Underlying Mechanics'!$B$8+1)*'Underlying Mechanics'!$B$5))*(1-$A118))-IF(D$1=0,'Underlying Mechanics'!$B$23*(1-$B118),0)-IF(D$1&gt;0,'Underlying Mechanics'!$B$22*'Underlying Mechanics'!$B$17,0)-IF(D$1&gt;0,'Underlying Mechanics'!$B$12*'Underlying Mechanics'!$B$18,0)</x:f>
        <x:v>-22500</x:v>
      </x:c>
      <x:c r="E118" t="n">
        <x:f>((IF(E$1-'Underlying Mechanics'!$B$8&lt;0,0,'Underlying Mechanics'!$B$22*'Underlying Mechanics'!$B$15*INDEX('Underlying Mechanics'!$B$31:$B$51,E$1-'Underlying Mechanics'!$B$8+1)*'Underlying Mechanics'!$B$5))*(1-$A118))-IF(E$1=0,'Underlying Mechanics'!$B$23*(1-$B118),0)-IF(E$1&gt;0,'Underlying Mechanics'!$B$22*'Underlying Mechanics'!$B$17,0)-IF(E$1&gt;0,'Underlying Mechanics'!$B$12*'Underlying Mechanics'!$B$18,0)</x:f>
        <x:v>-22500</x:v>
      </x:c>
      <x:c r="F118" t="n">
        <x:f>((IF(F$1-'Underlying Mechanics'!$B$8&lt;0,0,'Underlying Mechanics'!$B$22*'Underlying Mechanics'!$B$15*INDEX('Underlying Mechanics'!$B$31:$B$51,F$1-'Underlying Mechanics'!$B$8+1)*'Underlying Mechanics'!$B$5))*(1-$A118))-IF(F$1=0,'Underlying Mechanics'!$B$23*(1-$B118),0)-IF(F$1&gt;0,'Underlying Mechanics'!$B$22*'Underlying Mechanics'!$B$17,0)-IF(F$1&gt;0,'Underlying Mechanics'!$B$12*'Underlying Mechanics'!$B$18,0)</x:f>
        <x:v>-21300</x:v>
      </x:c>
      <x:c r="G118" t="n">
        <x:f>((IF(G$1-'Underlying Mechanics'!$B$8&lt;0,0,'Underlying Mechanics'!$B$22*'Underlying Mechanics'!$B$15*INDEX('Underlying Mechanics'!$B$31:$B$51,G$1-'Underlying Mechanics'!$B$8+1)*'Underlying Mechanics'!$B$5))*(1-$A118))-IF(G$1=0,'Underlying Mechanics'!$B$23*(1-$B118),0)-IF(G$1&gt;0,'Underlying Mechanics'!$B$22*'Underlying Mechanics'!$B$17,0)-IF(G$1&gt;0,'Underlying Mechanics'!$B$12*'Underlying Mechanics'!$B$18,0)</x:f>
        <x:v>-19500</x:v>
      </x:c>
      <x:c r="H118" t="n">
        <x:f>((IF(H$1-'Underlying Mechanics'!$B$8&lt;0,0,'Underlying Mechanics'!$B$22*'Underlying Mechanics'!$B$15*INDEX('Underlying Mechanics'!$B$31:$B$51,H$1-'Underlying Mechanics'!$B$8+1)*'Underlying Mechanics'!$B$5))*(1-$A118))-IF(H$1=0,'Underlying Mechanics'!$B$23*(1-$B118),0)-IF(H$1&gt;0,'Underlying Mechanics'!$B$22*'Underlying Mechanics'!$B$17,0)-IF(H$1&gt;0,'Underlying Mechanics'!$B$12*'Underlying Mechanics'!$B$18,0)</x:f>
        <x:v>-16500</x:v>
      </x:c>
      <x:c r="I118" t="n">
        <x:f>((IF(I$1-'Underlying Mechanics'!$B$8&lt;0,0,'Underlying Mechanics'!$B$22*'Underlying Mechanics'!$B$15*INDEX('Underlying Mechanics'!$B$31:$B$51,I$1-'Underlying Mechanics'!$B$8+1)*'Underlying Mechanics'!$B$5))*(1-$A118))-IF(I$1=0,'Underlying Mechanics'!$B$23*(1-$B118),0)-IF(I$1&gt;0,'Underlying Mechanics'!$B$22*'Underlying Mechanics'!$B$17,0)-IF(I$1&gt;0,'Underlying Mechanics'!$B$12*'Underlying Mechanics'!$B$18,0)</x:f>
        <x:v>-11700</x:v>
      </x:c>
      <x:c r="J118" t="n">
        <x:f>((IF(J$1-'Underlying Mechanics'!$B$8&lt;0,0,'Underlying Mechanics'!$B$22*'Underlying Mechanics'!$B$15*INDEX('Underlying Mechanics'!$B$31:$B$51,J$1-'Underlying Mechanics'!$B$8+1)*'Underlying Mechanics'!$B$5))*(1-$A118))-IF(J$1=0,'Underlying Mechanics'!$B$23*(1-$B118),0)-IF(J$1&gt;0,'Underlying Mechanics'!$B$22*'Underlying Mechanics'!$B$17,0)-IF(J$1&gt;0,'Underlying Mechanics'!$B$12*'Underlying Mechanics'!$B$18,0)</x:f>
        <x:v>-5699.999999999996</x:v>
      </x:c>
      <x:c r="K118" t="n">
        <x:f>((IF(K$1-'Underlying Mechanics'!$B$8&lt;0,0,'Underlying Mechanics'!$B$22*'Underlying Mechanics'!$B$15*INDEX('Underlying Mechanics'!$B$31:$B$51,K$1-'Underlying Mechanics'!$B$8+1)*'Underlying Mechanics'!$B$5))*(1-$A118))-IF(K$1=0,'Underlying Mechanics'!$B$23*(1-$B118),0)-IF(K$1&gt;0,'Underlying Mechanics'!$B$22*'Underlying Mechanics'!$B$17,0)-IF(K$1&gt;0,'Underlying Mechanics'!$B$12*'Underlying Mechanics'!$B$18,0)</x:f>
        <x:v>1500</x:v>
      </x:c>
      <x:c r="L118" t="n">
        <x:f>((IF(L$1-'Underlying Mechanics'!$B$8&lt;0,0,'Underlying Mechanics'!$B$22*'Underlying Mechanics'!$B$15*INDEX('Underlying Mechanics'!$B$31:$B$51,L$1-'Underlying Mechanics'!$B$8+1)*'Underlying Mechanics'!$B$5))*(1-$A118))-IF(L$1=0,'Underlying Mechanics'!$B$23*(1-$B118),0)-IF(L$1&gt;0,'Underlying Mechanics'!$B$22*'Underlying Mechanics'!$B$17,0)-IF(L$1&gt;0,'Underlying Mechanics'!$B$12*'Underlying Mechanics'!$B$18,0)</x:f>
        <x:v>9900</x:v>
      </x:c>
      <x:c r="M118" t="n">
        <x:f>((IF(M$1-'Underlying Mechanics'!$B$8&lt;0,0,'Underlying Mechanics'!$B$22*'Underlying Mechanics'!$B$15*INDEX('Underlying Mechanics'!$B$31:$B$51,M$1-'Underlying Mechanics'!$B$8+1)*'Underlying Mechanics'!$B$5))*(1-$A118))-IF(M$1=0,'Underlying Mechanics'!$B$23*(1-$B118),0)-IF(M$1&gt;0,'Underlying Mechanics'!$B$22*'Underlying Mechanics'!$B$17,0)-IF(M$1&gt;0,'Underlying Mechanics'!$B$12*'Underlying Mechanics'!$B$18,0)</x:f>
        <x:v>18300.000000000007</x:v>
      </x:c>
      <x:c r="N118" t="n">
        <x:f>((IF(N$1-'Underlying Mechanics'!$B$8&lt;0,0,'Underlying Mechanics'!$B$22*'Underlying Mechanics'!$B$15*INDEX('Underlying Mechanics'!$B$31:$B$51,N$1-'Underlying Mechanics'!$B$8+1)*'Underlying Mechanics'!$B$5))*(1-$A118))-IF(N$1=0,'Underlying Mechanics'!$B$23*(1-$B118),0)-IF(N$1&gt;0,'Underlying Mechanics'!$B$22*'Underlying Mechanics'!$B$17,0)-IF(N$1&gt;0,'Underlying Mechanics'!$B$12*'Underlying Mechanics'!$B$18,0)</x:f>
        <x:v>25500</x:v>
      </x:c>
      <x:c r="O118" t="n">
        <x:f>((IF(O$1-'Underlying Mechanics'!$B$8&lt;0,0,'Underlying Mechanics'!$B$22*'Underlying Mechanics'!$B$15*INDEX('Underlying Mechanics'!$B$31:$B$51,O$1-'Underlying Mechanics'!$B$8+1)*'Underlying Mechanics'!$B$5))*(1-$A118))-IF(O$1=0,'Underlying Mechanics'!$B$23*(1-$B118),0)-IF(O$1&gt;0,'Underlying Mechanics'!$B$22*'Underlying Mechanics'!$B$17,0)-IF(O$1&gt;0,'Underlying Mechanics'!$B$12*'Underlying Mechanics'!$B$18,0)</x:f>
        <x:v>31500</x:v>
      </x:c>
      <x:c r="P118" t="n">
        <x:f>((IF(P$1-'Underlying Mechanics'!$B$8&lt;0,0,'Underlying Mechanics'!$B$22*'Underlying Mechanics'!$B$15*INDEX('Underlying Mechanics'!$B$31:$B$51,P$1-'Underlying Mechanics'!$B$8+1)*'Underlying Mechanics'!$B$5))*(1-$A118))-IF(P$1=0,'Underlying Mechanics'!$B$23*(1-$B118),0)-IF(P$1&gt;0,'Underlying Mechanics'!$B$22*'Underlying Mechanics'!$B$17,0)-IF(P$1&gt;0,'Underlying Mechanics'!$B$12*'Underlying Mechanics'!$B$18,0)</x:f>
        <x:v>37500</x:v>
      </x:c>
      <x:c r="Q118" t="n">
        <x:f>((IF(Q$1-'Underlying Mechanics'!$B$8&lt;0,0,'Underlying Mechanics'!$B$22*'Underlying Mechanics'!$B$15*INDEX('Underlying Mechanics'!$B$31:$B$51,Q$1-'Underlying Mechanics'!$B$8+1)*'Underlying Mechanics'!$B$5))*(1-$A118))-IF(Q$1=0,'Underlying Mechanics'!$B$23*(1-$B118),0)-IF(Q$1&gt;0,'Underlying Mechanics'!$B$22*'Underlying Mechanics'!$B$17,0)-IF(Q$1&gt;0,'Underlying Mechanics'!$B$12*'Underlying Mechanics'!$B$18,0)</x:f>
        <x:v>37500</x:v>
      </x:c>
      <x:c r="R118" t="n">
        <x:f>((IF(R$1-'Underlying Mechanics'!$B$8&lt;0,0,'Underlying Mechanics'!$B$22*'Underlying Mechanics'!$B$15*INDEX('Underlying Mechanics'!$B$31:$B$51,R$1-'Underlying Mechanics'!$B$8+1)*'Underlying Mechanics'!$B$5))*(1-$A118))-IF(R$1=0,'Underlying Mechanics'!$B$23*(1-$B118),0)-IF(R$1&gt;0,'Underlying Mechanics'!$B$22*'Underlying Mechanics'!$B$17,0)-IF(R$1&gt;0,'Underlying Mechanics'!$B$12*'Underlying Mechanics'!$B$18,0)</x:f>
        <x:v>37500</x:v>
      </x:c>
      <x:c r="S118" t="n">
        <x:f>((IF(S$1-'Underlying Mechanics'!$B$8&lt;0,0,'Underlying Mechanics'!$B$22*'Underlying Mechanics'!$B$15*INDEX('Underlying Mechanics'!$B$31:$B$51,S$1-'Underlying Mechanics'!$B$8+1)*'Underlying Mechanics'!$B$5))*(1-$A118))-IF(S$1=0,'Underlying Mechanics'!$B$23*(1-$B118),0)-IF(S$1&gt;0,'Underlying Mechanics'!$B$22*'Underlying Mechanics'!$B$17,0)-IF(S$1&gt;0,'Underlying Mechanics'!$B$12*'Underlying Mechanics'!$B$18,0)</x:f>
        <x:v>37500</x:v>
      </x:c>
      <x:c r="T118" t="n">
        <x:f>((IF(T$1-'Underlying Mechanics'!$B$8&lt;0,0,'Underlying Mechanics'!$B$22*'Underlying Mechanics'!$B$15*INDEX('Underlying Mechanics'!$B$31:$B$51,T$1-'Underlying Mechanics'!$B$8+1)*'Underlying Mechanics'!$B$5))*(1-$A118))-IF(T$1=0,'Underlying Mechanics'!$B$23*(1-$B118),0)-IF(T$1&gt;0,'Underlying Mechanics'!$B$22*'Underlying Mechanics'!$B$17,0)-IF(T$1&gt;0,'Underlying Mechanics'!$B$12*'Underlying Mechanics'!$B$18,0)</x:f>
        <x:v>37500</x:v>
      </x:c>
      <x:c r="U118" t="n">
        <x:f>((IF(U$1-'Underlying Mechanics'!$B$8&lt;0,0,'Underlying Mechanics'!$B$22*'Underlying Mechanics'!$B$15*INDEX('Underlying Mechanics'!$B$31:$B$51,U$1-'Underlying Mechanics'!$B$8+1)*'Underlying Mechanics'!$B$5))*(1-$A118))-IF(U$1=0,'Underlying Mechanics'!$B$23*(1-$B118),0)-IF(U$1&gt;0,'Underlying Mechanics'!$B$22*'Underlying Mechanics'!$B$17,0)-IF(U$1&gt;0,'Underlying Mechanics'!$B$12*'Underlying Mechanics'!$B$18,0)</x:f>
        <x:v>37500</x:v>
      </x:c>
      <x:c r="V118" t="n">
        <x:f>((IF(V$1-'Underlying Mechanics'!$B$8&lt;0,0,'Underlying Mechanics'!$B$22*'Underlying Mechanics'!$B$15*INDEX('Underlying Mechanics'!$B$31:$B$51,V$1-'Underlying Mechanics'!$B$8+1)*'Underlying Mechanics'!$B$5))*(1-$A118))-IF(V$1=0,'Underlying Mechanics'!$B$23*(1-$B118),0)-IF(V$1&gt;0,'Underlying Mechanics'!$B$22*'Underlying Mechanics'!$B$17,0)-IF(V$1&gt;0,'Underlying Mechanics'!$B$12*'Underlying Mechanics'!$B$18,0)</x:f>
        <x:v>37500</x:v>
      </x:c>
      <x:c r="W118" t="n">
        <x:f>((IF(W$1-'Underlying Mechanics'!$B$8&lt;0,0,'Underlying Mechanics'!$B$22*'Underlying Mechanics'!$B$15*INDEX('Underlying Mechanics'!$B$31:$B$51,W$1-'Underlying Mechanics'!$B$8+1)*'Underlying Mechanics'!$B$5))*(1-$A118))-IF(W$1=0,'Underlying Mechanics'!$B$23*(1-$B118),0)-IF(W$1&gt;0,'Underlying Mechanics'!$B$22*'Underlying Mechanics'!$B$17,0)-IF(W$1&gt;0,'Underlying Mechanics'!$B$12*'Underlying Mechanics'!$B$18,0)</x:f>
        <x:v>37500</x:v>
      </x:c>
      <x:c r="X118" t="n">
        <x:f>IFERROR(IRR(C118:W118),-1)</x:f>
        <x:v>0.05766994950568566</x:v>
      </x:c>
    </x:row>
    <x:row r="119">
      <x:c r="A119" t="n">
        <x:v>0.5</x:v>
      </x:c>
      <x:c r="B119" t="n">
        <x:v>0.6</x:v>
      </x:c>
      <x:c r="C119" t="n">
        <x:f>((IF(C$1-'Underlying Mechanics'!$B$8&lt;0,0,'Underlying Mechanics'!$B$22*'Underlying Mechanics'!$B$15*INDEX('Underlying Mechanics'!$B$31:$B$51,C$1-'Underlying Mechanics'!$B$8+1)*'Underlying Mechanics'!$B$5))*(1-$A119))-IF(C$1=0,'Underlying Mechanics'!$B$23*(1-$B119),0)-IF(C$1&gt;0,'Underlying Mechanics'!$B$22*'Underlying Mechanics'!$B$17,0)-IF(C$1&gt;0,'Underlying Mechanics'!$B$12*'Underlying Mechanics'!$B$18,0)</x:f>
        <x:v>-60000</x:v>
      </x:c>
      <x:c r="D119" t="n">
        <x:f>((IF(D$1-'Underlying Mechanics'!$B$8&lt;0,0,'Underlying Mechanics'!$B$22*'Underlying Mechanics'!$B$15*INDEX('Underlying Mechanics'!$B$31:$B$51,D$1-'Underlying Mechanics'!$B$8+1)*'Underlying Mechanics'!$B$5))*(1-$A119))-IF(D$1=0,'Underlying Mechanics'!$B$23*(1-$B119),0)-IF(D$1&gt;0,'Underlying Mechanics'!$B$22*'Underlying Mechanics'!$B$17,0)-IF(D$1&gt;0,'Underlying Mechanics'!$B$12*'Underlying Mechanics'!$B$18,0)</x:f>
        <x:v>-22500</x:v>
      </x:c>
      <x:c r="E119" t="n">
        <x:f>((IF(E$1-'Underlying Mechanics'!$B$8&lt;0,0,'Underlying Mechanics'!$B$22*'Underlying Mechanics'!$B$15*INDEX('Underlying Mechanics'!$B$31:$B$51,E$1-'Underlying Mechanics'!$B$8+1)*'Underlying Mechanics'!$B$5))*(1-$A119))-IF(E$1=0,'Underlying Mechanics'!$B$23*(1-$B119),0)-IF(E$1&gt;0,'Underlying Mechanics'!$B$22*'Underlying Mechanics'!$B$17,0)-IF(E$1&gt;0,'Underlying Mechanics'!$B$12*'Underlying Mechanics'!$B$18,0)</x:f>
        <x:v>-22500</x:v>
      </x:c>
      <x:c r="F119" t="n">
        <x:f>((IF(F$1-'Underlying Mechanics'!$B$8&lt;0,0,'Underlying Mechanics'!$B$22*'Underlying Mechanics'!$B$15*INDEX('Underlying Mechanics'!$B$31:$B$51,F$1-'Underlying Mechanics'!$B$8+1)*'Underlying Mechanics'!$B$5))*(1-$A119))-IF(F$1=0,'Underlying Mechanics'!$B$23*(1-$B119),0)-IF(F$1&gt;0,'Underlying Mechanics'!$B$22*'Underlying Mechanics'!$B$17,0)-IF(F$1&gt;0,'Underlying Mechanics'!$B$12*'Underlying Mechanics'!$B$18,0)</x:f>
        <x:v>-21300</x:v>
      </x:c>
      <x:c r="G119" t="n">
        <x:f>((IF(G$1-'Underlying Mechanics'!$B$8&lt;0,0,'Underlying Mechanics'!$B$22*'Underlying Mechanics'!$B$15*INDEX('Underlying Mechanics'!$B$31:$B$51,G$1-'Underlying Mechanics'!$B$8+1)*'Underlying Mechanics'!$B$5))*(1-$A119))-IF(G$1=0,'Underlying Mechanics'!$B$23*(1-$B119),0)-IF(G$1&gt;0,'Underlying Mechanics'!$B$22*'Underlying Mechanics'!$B$17,0)-IF(G$1&gt;0,'Underlying Mechanics'!$B$12*'Underlying Mechanics'!$B$18,0)</x:f>
        <x:v>-19500</x:v>
      </x:c>
      <x:c r="H119" t="n">
        <x:f>((IF(H$1-'Underlying Mechanics'!$B$8&lt;0,0,'Underlying Mechanics'!$B$22*'Underlying Mechanics'!$B$15*INDEX('Underlying Mechanics'!$B$31:$B$51,H$1-'Underlying Mechanics'!$B$8+1)*'Underlying Mechanics'!$B$5))*(1-$A119))-IF(H$1=0,'Underlying Mechanics'!$B$23*(1-$B119),0)-IF(H$1&gt;0,'Underlying Mechanics'!$B$22*'Underlying Mechanics'!$B$17,0)-IF(H$1&gt;0,'Underlying Mechanics'!$B$12*'Underlying Mechanics'!$B$18,0)</x:f>
        <x:v>-16500</x:v>
      </x:c>
      <x:c r="I119" t="n">
        <x:f>((IF(I$1-'Underlying Mechanics'!$B$8&lt;0,0,'Underlying Mechanics'!$B$22*'Underlying Mechanics'!$B$15*INDEX('Underlying Mechanics'!$B$31:$B$51,I$1-'Underlying Mechanics'!$B$8+1)*'Underlying Mechanics'!$B$5))*(1-$A119))-IF(I$1=0,'Underlying Mechanics'!$B$23*(1-$B119),0)-IF(I$1&gt;0,'Underlying Mechanics'!$B$22*'Underlying Mechanics'!$B$17,0)-IF(I$1&gt;0,'Underlying Mechanics'!$B$12*'Underlying Mechanics'!$B$18,0)</x:f>
        <x:v>-11700</x:v>
      </x:c>
      <x:c r="J119" t="n">
        <x:f>((IF(J$1-'Underlying Mechanics'!$B$8&lt;0,0,'Underlying Mechanics'!$B$22*'Underlying Mechanics'!$B$15*INDEX('Underlying Mechanics'!$B$31:$B$51,J$1-'Underlying Mechanics'!$B$8+1)*'Underlying Mechanics'!$B$5))*(1-$A119))-IF(J$1=0,'Underlying Mechanics'!$B$23*(1-$B119),0)-IF(J$1&gt;0,'Underlying Mechanics'!$B$22*'Underlying Mechanics'!$B$17,0)-IF(J$1&gt;0,'Underlying Mechanics'!$B$12*'Underlying Mechanics'!$B$18,0)</x:f>
        <x:v>-5699.999999999996</x:v>
      </x:c>
      <x:c r="K119" t="n">
        <x:f>((IF(K$1-'Underlying Mechanics'!$B$8&lt;0,0,'Underlying Mechanics'!$B$22*'Underlying Mechanics'!$B$15*INDEX('Underlying Mechanics'!$B$31:$B$51,K$1-'Underlying Mechanics'!$B$8+1)*'Underlying Mechanics'!$B$5))*(1-$A119))-IF(K$1=0,'Underlying Mechanics'!$B$23*(1-$B119),0)-IF(K$1&gt;0,'Underlying Mechanics'!$B$22*'Underlying Mechanics'!$B$17,0)-IF(K$1&gt;0,'Underlying Mechanics'!$B$12*'Underlying Mechanics'!$B$18,0)</x:f>
        <x:v>1500</x:v>
      </x:c>
      <x:c r="L119" t="n">
        <x:f>((IF(L$1-'Underlying Mechanics'!$B$8&lt;0,0,'Underlying Mechanics'!$B$22*'Underlying Mechanics'!$B$15*INDEX('Underlying Mechanics'!$B$31:$B$51,L$1-'Underlying Mechanics'!$B$8+1)*'Underlying Mechanics'!$B$5))*(1-$A119))-IF(L$1=0,'Underlying Mechanics'!$B$23*(1-$B119),0)-IF(L$1&gt;0,'Underlying Mechanics'!$B$22*'Underlying Mechanics'!$B$17,0)-IF(L$1&gt;0,'Underlying Mechanics'!$B$12*'Underlying Mechanics'!$B$18,0)</x:f>
        <x:v>9900</x:v>
      </x:c>
      <x:c r="M119" t="n">
        <x:f>((IF(M$1-'Underlying Mechanics'!$B$8&lt;0,0,'Underlying Mechanics'!$B$22*'Underlying Mechanics'!$B$15*INDEX('Underlying Mechanics'!$B$31:$B$51,M$1-'Underlying Mechanics'!$B$8+1)*'Underlying Mechanics'!$B$5))*(1-$A119))-IF(M$1=0,'Underlying Mechanics'!$B$23*(1-$B119),0)-IF(M$1&gt;0,'Underlying Mechanics'!$B$22*'Underlying Mechanics'!$B$17,0)-IF(M$1&gt;0,'Underlying Mechanics'!$B$12*'Underlying Mechanics'!$B$18,0)</x:f>
        <x:v>18300.000000000007</x:v>
      </x:c>
      <x:c r="N119" t="n">
        <x:f>((IF(N$1-'Underlying Mechanics'!$B$8&lt;0,0,'Underlying Mechanics'!$B$22*'Underlying Mechanics'!$B$15*INDEX('Underlying Mechanics'!$B$31:$B$51,N$1-'Underlying Mechanics'!$B$8+1)*'Underlying Mechanics'!$B$5))*(1-$A119))-IF(N$1=0,'Underlying Mechanics'!$B$23*(1-$B119),0)-IF(N$1&gt;0,'Underlying Mechanics'!$B$22*'Underlying Mechanics'!$B$17,0)-IF(N$1&gt;0,'Underlying Mechanics'!$B$12*'Underlying Mechanics'!$B$18,0)</x:f>
        <x:v>25500</x:v>
      </x:c>
      <x:c r="O119" t="n">
        <x:f>((IF(O$1-'Underlying Mechanics'!$B$8&lt;0,0,'Underlying Mechanics'!$B$22*'Underlying Mechanics'!$B$15*INDEX('Underlying Mechanics'!$B$31:$B$51,O$1-'Underlying Mechanics'!$B$8+1)*'Underlying Mechanics'!$B$5))*(1-$A119))-IF(O$1=0,'Underlying Mechanics'!$B$23*(1-$B119),0)-IF(O$1&gt;0,'Underlying Mechanics'!$B$22*'Underlying Mechanics'!$B$17,0)-IF(O$1&gt;0,'Underlying Mechanics'!$B$12*'Underlying Mechanics'!$B$18,0)</x:f>
        <x:v>31500</x:v>
      </x:c>
      <x:c r="P119" t="n">
        <x:f>((IF(P$1-'Underlying Mechanics'!$B$8&lt;0,0,'Underlying Mechanics'!$B$22*'Underlying Mechanics'!$B$15*INDEX('Underlying Mechanics'!$B$31:$B$51,P$1-'Underlying Mechanics'!$B$8+1)*'Underlying Mechanics'!$B$5))*(1-$A119))-IF(P$1=0,'Underlying Mechanics'!$B$23*(1-$B119),0)-IF(P$1&gt;0,'Underlying Mechanics'!$B$22*'Underlying Mechanics'!$B$17,0)-IF(P$1&gt;0,'Underlying Mechanics'!$B$12*'Underlying Mechanics'!$B$18,0)</x:f>
        <x:v>37500</x:v>
      </x:c>
      <x:c r="Q119" t="n">
        <x:f>((IF(Q$1-'Underlying Mechanics'!$B$8&lt;0,0,'Underlying Mechanics'!$B$22*'Underlying Mechanics'!$B$15*INDEX('Underlying Mechanics'!$B$31:$B$51,Q$1-'Underlying Mechanics'!$B$8+1)*'Underlying Mechanics'!$B$5))*(1-$A119))-IF(Q$1=0,'Underlying Mechanics'!$B$23*(1-$B119),0)-IF(Q$1&gt;0,'Underlying Mechanics'!$B$22*'Underlying Mechanics'!$B$17,0)-IF(Q$1&gt;0,'Underlying Mechanics'!$B$12*'Underlying Mechanics'!$B$18,0)</x:f>
        <x:v>37500</x:v>
      </x:c>
      <x:c r="R119" t="n">
        <x:f>((IF(R$1-'Underlying Mechanics'!$B$8&lt;0,0,'Underlying Mechanics'!$B$22*'Underlying Mechanics'!$B$15*INDEX('Underlying Mechanics'!$B$31:$B$51,R$1-'Underlying Mechanics'!$B$8+1)*'Underlying Mechanics'!$B$5))*(1-$A119))-IF(R$1=0,'Underlying Mechanics'!$B$23*(1-$B119),0)-IF(R$1&gt;0,'Underlying Mechanics'!$B$22*'Underlying Mechanics'!$B$17,0)-IF(R$1&gt;0,'Underlying Mechanics'!$B$12*'Underlying Mechanics'!$B$18,0)</x:f>
        <x:v>37500</x:v>
      </x:c>
      <x:c r="S119" t="n">
        <x:f>((IF(S$1-'Underlying Mechanics'!$B$8&lt;0,0,'Underlying Mechanics'!$B$22*'Underlying Mechanics'!$B$15*INDEX('Underlying Mechanics'!$B$31:$B$51,S$1-'Underlying Mechanics'!$B$8+1)*'Underlying Mechanics'!$B$5))*(1-$A119))-IF(S$1=0,'Underlying Mechanics'!$B$23*(1-$B119),0)-IF(S$1&gt;0,'Underlying Mechanics'!$B$22*'Underlying Mechanics'!$B$17,0)-IF(S$1&gt;0,'Underlying Mechanics'!$B$12*'Underlying Mechanics'!$B$18,0)</x:f>
        <x:v>37500</x:v>
      </x:c>
      <x:c r="T119" t="n">
        <x:f>((IF(T$1-'Underlying Mechanics'!$B$8&lt;0,0,'Underlying Mechanics'!$B$22*'Underlying Mechanics'!$B$15*INDEX('Underlying Mechanics'!$B$31:$B$51,T$1-'Underlying Mechanics'!$B$8+1)*'Underlying Mechanics'!$B$5))*(1-$A119))-IF(T$1=0,'Underlying Mechanics'!$B$23*(1-$B119),0)-IF(T$1&gt;0,'Underlying Mechanics'!$B$22*'Underlying Mechanics'!$B$17,0)-IF(T$1&gt;0,'Underlying Mechanics'!$B$12*'Underlying Mechanics'!$B$18,0)</x:f>
        <x:v>37500</x:v>
      </x:c>
      <x:c r="U119" t="n">
        <x:f>((IF(U$1-'Underlying Mechanics'!$B$8&lt;0,0,'Underlying Mechanics'!$B$22*'Underlying Mechanics'!$B$15*INDEX('Underlying Mechanics'!$B$31:$B$51,U$1-'Underlying Mechanics'!$B$8+1)*'Underlying Mechanics'!$B$5))*(1-$A119))-IF(U$1=0,'Underlying Mechanics'!$B$23*(1-$B119),0)-IF(U$1&gt;0,'Underlying Mechanics'!$B$22*'Underlying Mechanics'!$B$17,0)-IF(U$1&gt;0,'Underlying Mechanics'!$B$12*'Underlying Mechanics'!$B$18,0)</x:f>
        <x:v>37500</x:v>
      </x:c>
      <x:c r="V119" t="n">
        <x:f>((IF(V$1-'Underlying Mechanics'!$B$8&lt;0,0,'Underlying Mechanics'!$B$22*'Underlying Mechanics'!$B$15*INDEX('Underlying Mechanics'!$B$31:$B$51,V$1-'Underlying Mechanics'!$B$8+1)*'Underlying Mechanics'!$B$5))*(1-$A119))-IF(V$1=0,'Underlying Mechanics'!$B$23*(1-$B119),0)-IF(V$1&gt;0,'Underlying Mechanics'!$B$22*'Underlying Mechanics'!$B$17,0)-IF(V$1&gt;0,'Underlying Mechanics'!$B$12*'Underlying Mechanics'!$B$18,0)</x:f>
        <x:v>37500</x:v>
      </x:c>
      <x:c r="W119" t="n">
        <x:f>((IF(W$1-'Underlying Mechanics'!$B$8&lt;0,0,'Underlying Mechanics'!$B$22*'Underlying Mechanics'!$B$15*INDEX('Underlying Mechanics'!$B$31:$B$51,W$1-'Underlying Mechanics'!$B$8+1)*'Underlying Mechanics'!$B$5))*(1-$A119))-IF(W$1=0,'Underlying Mechanics'!$B$23*(1-$B119),0)-IF(W$1&gt;0,'Underlying Mechanics'!$B$22*'Underlying Mechanics'!$B$17,0)-IF(W$1&gt;0,'Underlying Mechanics'!$B$12*'Underlying Mechanics'!$B$18,0)</x:f>
        <x:v>37500</x:v>
      </x:c>
      <x:c r="X119" t="n">
        <x:f>IFERROR(IRR(C119:W119),-1)</x:f>
        <x:v>0.06150533329574641</x:v>
      </x:c>
    </x:row>
    <x:row r="120">
      <x:c r="A120" t="n">
        <x:v>0.5</x:v>
      </x:c>
      <x:c r="B120" t="n">
        <x:v>0.65</x:v>
      </x:c>
      <x:c r="C120" t="n">
        <x:f>((IF(C$1-'Underlying Mechanics'!$B$8&lt;0,0,'Underlying Mechanics'!$B$22*'Underlying Mechanics'!$B$15*INDEX('Underlying Mechanics'!$B$31:$B$51,C$1-'Underlying Mechanics'!$B$8+1)*'Underlying Mechanics'!$B$5))*(1-$A120))-IF(C$1=0,'Underlying Mechanics'!$B$23*(1-$B120),0)-IF(C$1&gt;0,'Underlying Mechanics'!$B$22*'Underlying Mechanics'!$B$17,0)-IF(C$1&gt;0,'Underlying Mechanics'!$B$12*'Underlying Mechanics'!$B$18,0)</x:f>
        <x:v>-52500</x:v>
      </x:c>
      <x:c r="D120" t="n">
        <x:f>((IF(D$1-'Underlying Mechanics'!$B$8&lt;0,0,'Underlying Mechanics'!$B$22*'Underlying Mechanics'!$B$15*INDEX('Underlying Mechanics'!$B$31:$B$51,D$1-'Underlying Mechanics'!$B$8+1)*'Underlying Mechanics'!$B$5))*(1-$A120))-IF(D$1=0,'Underlying Mechanics'!$B$23*(1-$B120),0)-IF(D$1&gt;0,'Underlying Mechanics'!$B$22*'Underlying Mechanics'!$B$17,0)-IF(D$1&gt;0,'Underlying Mechanics'!$B$12*'Underlying Mechanics'!$B$18,0)</x:f>
        <x:v>-22500</x:v>
      </x:c>
      <x:c r="E120" t="n">
        <x:f>((IF(E$1-'Underlying Mechanics'!$B$8&lt;0,0,'Underlying Mechanics'!$B$22*'Underlying Mechanics'!$B$15*INDEX('Underlying Mechanics'!$B$31:$B$51,E$1-'Underlying Mechanics'!$B$8+1)*'Underlying Mechanics'!$B$5))*(1-$A120))-IF(E$1=0,'Underlying Mechanics'!$B$23*(1-$B120),0)-IF(E$1&gt;0,'Underlying Mechanics'!$B$22*'Underlying Mechanics'!$B$17,0)-IF(E$1&gt;0,'Underlying Mechanics'!$B$12*'Underlying Mechanics'!$B$18,0)</x:f>
        <x:v>-22500</x:v>
      </x:c>
      <x:c r="F120" t="n">
        <x:f>((IF(F$1-'Underlying Mechanics'!$B$8&lt;0,0,'Underlying Mechanics'!$B$22*'Underlying Mechanics'!$B$15*INDEX('Underlying Mechanics'!$B$31:$B$51,F$1-'Underlying Mechanics'!$B$8+1)*'Underlying Mechanics'!$B$5))*(1-$A120))-IF(F$1=0,'Underlying Mechanics'!$B$23*(1-$B120),0)-IF(F$1&gt;0,'Underlying Mechanics'!$B$22*'Underlying Mechanics'!$B$17,0)-IF(F$1&gt;0,'Underlying Mechanics'!$B$12*'Underlying Mechanics'!$B$18,0)</x:f>
        <x:v>-21300</x:v>
      </x:c>
      <x:c r="G120" t="n">
        <x:f>((IF(G$1-'Underlying Mechanics'!$B$8&lt;0,0,'Underlying Mechanics'!$B$22*'Underlying Mechanics'!$B$15*INDEX('Underlying Mechanics'!$B$31:$B$51,G$1-'Underlying Mechanics'!$B$8+1)*'Underlying Mechanics'!$B$5))*(1-$A120))-IF(G$1=0,'Underlying Mechanics'!$B$23*(1-$B120),0)-IF(G$1&gt;0,'Underlying Mechanics'!$B$22*'Underlying Mechanics'!$B$17,0)-IF(G$1&gt;0,'Underlying Mechanics'!$B$12*'Underlying Mechanics'!$B$18,0)</x:f>
        <x:v>-19500</x:v>
      </x:c>
      <x:c r="H120" t="n">
        <x:f>((IF(H$1-'Underlying Mechanics'!$B$8&lt;0,0,'Underlying Mechanics'!$B$22*'Underlying Mechanics'!$B$15*INDEX('Underlying Mechanics'!$B$31:$B$51,H$1-'Underlying Mechanics'!$B$8+1)*'Underlying Mechanics'!$B$5))*(1-$A120))-IF(H$1=0,'Underlying Mechanics'!$B$23*(1-$B120),0)-IF(H$1&gt;0,'Underlying Mechanics'!$B$22*'Underlying Mechanics'!$B$17,0)-IF(H$1&gt;0,'Underlying Mechanics'!$B$12*'Underlying Mechanics'!$B$18,0)</x:f>
        <x:v>-16500</x:v>
      </x:c>
      <x:c r="I120" t="n">
        <x:f>((IF(I$1-'Underlying Mechanics'!$B$8&lt;0,0,'Underlying Mechanics'!$B$22*'Underlying Mechanics'!$B$15*INDEX('Underlying Mechanics'!$B$31:$B$51,I$1-'Underlying Mechanics'!$B$8+1)*'Underlying Mechanics'!$B$5))*(1-$A120))-IF(I$1=0,'Underlying Mechanics'!$B$23*(1-$B120),0)-IF(I$1&gt;0,'Underlying Mechanics'!$B$22*'Underlying Mechanics'!$B$17,0)-IF(I$1&gt;0,'Underlying Mechanics'!$B$12*'Underlying Mechanics'!$B$18,0)</x:f>
        <x:v>-11700</x:v>
      </x:c>
      <x:c r="J120" t="n">
        <x:f>((IF(J$1-'Underlying Mechanics'!$B$8&lt;0,0,'Underlying Mechanics'!$B$22*'Underlying Mechanics'!$B$15*INDEX('Underlying Mechanics'!$B$31:$B$51,J$1-'Underlying Mechanics'!$B$8+1)*'Underlying Mechanics'!$B$5))*(1-$A120))-IF(J$1=0,'Underlying Mechanics'!$B$23*(1-$B120),0)-IF(J$1&gt;0,'Underlying Mechanics'!$B$22*'Underlying Mechanics'!$B$17,0)-IF(J$1&gt;0,'Underlying Mechanics'!$B$12*'Underlying Mechanics'!$B$18,0)</x:f>
        <x:v>-5699.999999999996</x:v>
      </x:c>
      <x:c r="K120" t="n">
        <x:f>((IF(K$1-'Underlying Mechanics'!$B$8&lt;0,0,'Underlying Mechanics'!$B$22*'Underlying Mechanics'!$B$15*INDEX('Underlying Mechanics'!$B$31:$B$51,K$1-'Underlying Mechanics'!$B$8+1)*'Underlying Mechanics'!$B$5))*(1-$A120))-IF(K$1=0,'Underlying Mechanics'!$B$23*(1-$B120),0)-IF(K$1&gt;0,'Underlying Mechanics'!$B$22*'Underlying Mechanics'!$B$17,0)-IF(K$1&gt;0,'Underlying Mechanics'!$B$12*'Underlying Mechanics'!$B$18,0)</x:f>
        <x:v>1500</x:v>
      </x:c>
      <x:c r="L120" t="n">
        <x:f>((IF(L$1-'Underlying Mechanics'!$B$8&lt;0,0,'Underlying Mechanics'!$B$22*'Underlying Mechanics'!$B$15*INDEX('Underlying Mechanics'!$B$31:$B$51,L$1-'Underlying Mechanics'!$B$8+1)*'Underlying Mechanics'!$B$5))*(1-$A120))-IF(L$1=0,'Underlying Mechanics'!$B$23*(1-$B120),0)-IF(L$1&gt;0,'Underlying Mechanics'!$B$22*'Underlying Mechanics'!$B$17,0)-IF(L$1&gt;0,'Underlying Mechanics'!$B$12*'Underlying Mechanics'!$B$18,0)</x:f>
        <x:v>9900</x:v>
      </x:c>
      <x:c r="M120" t="n">
        <x:f>((IF(M$1-'Underlying Mechanics'!$B$8&lt;0,0,'Underlying Mechanics'!$B$22*'Underlying Mechanics'!$B$15*INDEX('Underlying Mechanics'!$B$31:$B$51,M$1-'Underlying Mechanics'!$B$8+1)*'Underlying Mechanics'!$B$5))*(1-$A120))-IF(M$1=0,'Underlying Mechanics'!$B$23*(1-$B120),0)-IF(M$1&gt;0,'Underlying Mechanics'!$B$22*'Underlying Mechanics'!$B$17,0)-IF(M$1&gt;0,'Underlying Mechanics'!$B$12*'Underlying Mechanics'!$B$18,0)</x:f>
        <x:v>18300.000000000007</x:v>
      </x:c>
      <x:c r="N120" t="n">
        <x:f>((IF(N$1-'Underlying Mechanics'!$B$8&lt;0,0,'Underlying Mechanics'!$B$22*'Underlying Mechanics'!$B$15*INDEX('Underlying Mechanics'!$B$31:$B$51,N$1-'Underlying Mechanics'!$B$8+1)*'Underlying Mechanics'!$B$5))*(1-$A120))-IF(N$1=0,'Underlying Mechanics'!$B$23*(1-$B120),0)-IF(N$1&gt;0,'Underlying Mechanics'!$B$22*'Underlying Mechanics'!$B$17,0)-IF(N$1&gt;0,'Underlying Mechanics'!$B$12*'Underlying Mechanics'!$B$18,0)</x:f>
        <x:v>25500</x:v>
      </x:c>
      <x:c r="O120" t="n">
        <x:f>((IF(O$1-'Underlying Mechanics'!$B$8&lt;0,0,'Underlying Mechanics'!$B$22*'Underlying Mechanics'!$B$15*INDEX('Underlying Mechanics'!$B$31:$B$51,O$1-'Underlying Mechanics'!$B$8+1)*'Underlying Mechanics'!$B$5))*(1-$A120))-IF(O$1=0,'Underlying Mechanics'!$B$23*(1-$B120),0)-IF(O$1&gt;0,'Underlying Mechanics'!$B$22*'Underlying Mechanics'!$B$17,0)-IF(O$1&gt;0,'Underlying Mechanics'!$B$12*'Underlying Mechanics'!$B$18,0)</x:f>
        <x:v>31500</x:v>
      </x:c>
      <x:c r="P120" t="n">
        <x:f>((IF(P$1-'Underlying Mechanics'!$B$8&lt;0,0,'Underlying Mechanics'!$B$22*'Underlying Mechanics'!$B$15*INDEX('Underlying Mechanics'!$B$31:$B$51,P$1-'Underlying Mechanics'!$B$8+1)*'Underlying Mechanics'!$B$5))*(1-$A120))-IF(P$1=0,'Underlying Mechanics'!$B$23*(1-$B120),0)-IF(P$1&gt;0,'Underlying Mechanics'!$B$22*'Underlying Mechanics'!$B$17,0)-IF(P$1&gt;0,'Underlying Mechanics'!$B$12*'Underlying Mechanics'!$B$18,0)</x:f>
        <x:v>37500</x:v>
      </x:c>
      <x:c r="Q120" t="n">
        <x:f>((IF(Q$1-'Underlying Mechanics'!$B$8&lt;0,0,'Underlying Mechanics'!$B$22*'Underlying Mechanics'!$B$15*INDEX('Underlying Mechanics'!$B$31:$B$51,Q$1-'Underlying Mechanics'!$B$8+1)*'Underlying Mechanics'!$B$5))*(1-$A120))-IF(Q$1=0,'Underlying Mechanics'!$B$23*(1-$B120),0)-IF(Q$1&gt;0,'Underlying Mechanics'!$B$22*'Underlying Mechanics'!$B$17,0)-IF(Q$1&gt;0,'Underlying Mechanics'!$B$12*'Underlying Mechanics'!$B$18,0)</x:f>
        <x:v>37500</x:v>
      </x:c>
      <x:c r="R120" t="n">
        <x:f>((IF(R$1-'Underlying Mechanics'!$B$8&lt;0,0,'Underlying Mechanics'!$B$22*'Underlying Mechanics'!$B$15*INDEX('Underlying Mechanics'!$B$31:$B$51,R$1-'Underlying Mechanics'!$B$8+1)*'Underlying Mechanics'!$B$5))*(1-$A120))-IF(R$1=0,'Underlying Mechanics'!$B$23*(1-$B120),0)-IF(R$1&gt;0,'Underlying Mechanics'!$B$22*'Underlying Mechanics'!$B$17,0)-IF(R$1&gt;0,'Underlying Mechanics'!$B$12*'Underlying Mechanics'!$B$18,0)</x:f>
        <x:v>37500</x:v>
      </x:c>
      <x:c r="S120" t="n">
        <x:f>((IF(S$1-'Underlying Mechanics'!$B$8&lt;0,0,'Underlying Mechanics'!$B$22*'Underlying Mechanics'!$B$15*INDEX('Underlying Mechanics'!$B$31:$B$51,S$1-'Underlying Mechanics'!$B$8+1)*'Underlying Mechanics'!$B$5))*(1-$A120))-IF(S$1=0,'Underlying Mechanics'!$B$23*(1-$B120),0)-IF(S$1&gt;0,'Underlying Mechanics'!$B$22*'Underlying Mechanics'!$B$17,0)-IF(S$1&gt;0,'Underlying Mechanics'!$B$12*'Underlying Mechanics'!$B$18,0)</x:f>
        <x:v>37500</x:v>
      </x:c>
      <x:c r="T120" t="n">
        <x:f>((IF(T$1-'Underlying Mechanics'!$B$8&lt;0,0,'Underlying Mechanics'!$B$22*'Underlying Mechanics'!$B$15*INDEX('Underlying Mechanics'!$B$31:$B$51,T$1-'Underlying Mechanics'!$B$8+1)*'Underlying Mechanics'!$B$5))*(1-$A120))-IF(T$1=0,'Underlying Mechanics'!$B$23*(1-$B120),0)-IF(T$1&gt;0,'Underlying Mechanics'!$B$22*'Underlying Mechanics'!$B$17,0)-IF(T$1&gt;0,'Underlying Mechanics'!$B$12*'Underlying Mechanics'!$B$18,0)</x:f>
        <x:v>37500</x:v>
      </x:c>
      <x:c r="U120" t="n">
        <x:f>((IF(U$1-'Underlying Mechanics'!$B$8&lt;0,0,'Underlying Mechanics'!$B$22*'Underlying Mechanics'!$B$15*INDEX('Underlying Mechanics'!$B$31:$B$51,U$1-'Underlying Mechanics'!$B$8+1)*'Underlying Mechanics'!$B$5))*(1-$A120))-IF(U$1=0,'Underlying Mechanics'!$B$23*(1-$B120),0)-IF(U$1&gt;0,'Underlying Mechanics'!$B$22*'Underlying Mechanics'!$B$17,0)-IF(U$1&gt;0,'Underlying Mechanics'!$B$12*'Underlying Mechanics'!$B$18,0)</x:f>
        <x:v>37500</x:v>
      </x:c>
      <x:c r="V120" t="n">
        <x:f>((IF(V$1-'Underlying Mechanics'!$B$8&lt;0,0,'Underlying Mechanics'!$B$22*'Underlying Mechanics'!$B$15*INDEX('Underlying Mechanics'!$B$31:$B$51,V$1-'Underlying Mechanics'!$B$8+1)*'Underlying Mechanics'!$B$5))*(1-$A120))-IF(V$1=0,'Underlying Mechanics'!$B$23*(1-$B120),0)-IF(V$1&gt;0,'Underlying Mechanics'!$B$22*'Underlying Mechanics'!$B$17,0)-IF(V$1&gt;0,'Underlying Mechanics'!$B$12*'Underlying Mechanics'!$B$18,0)</x:f>
        <x:v>37500</x:v>
      </x:c>
      <x:c r="W120" t="n">
        <x:f>((IF(W$1-'Underlying Mechanics'!$B$8&lt;0,0,'Underlying Mechanics'!$B$22*'Underlying Mechanics'!$B$15*INDEX('Underlying Mechanics'!$B$31:$B$51,W$1-'Underlying Mechanics'!$B$8+1)*'Underlying Mechanics'!$B$5))*(1-$A120))-IF(W$1=0,'Underlying Mechanics'!$B$23*(1-$B120),0)-IF(W$1&gt;0,'Underlying Mechanics'!$B$22*'Underlying Mechanics'!$B$17,0)-IF(W$1&gt;0,'Underlying Mechanics'!$B$12*'Underlying Mechanics'!$B$18,0)</x:f>
        <x:v>37500</x:v>
      </x:c>
      <x:c r="X120" t="n">
        <x:f>IFERROR(IRR(C120:W120),-1)</x:f>
        <x:v>0.0656086973416207</x:v>
      </x:c>
    </x:row>
    <x:row r="121">
      <x:c r="A121" t="n">
        <x:v>0.5</x:v>
      </x:c>
      <x:c r="B121" t="n">
        <x:v>0.7</x:v>
      </x:c>
      <x:c r="C121" t="n">
        <x:f>((IF(C$1-'Underlying Mechanics'!$B$8&lt;0,0,'Underlying Mechanics'!$B$22*'Underlying Mechanics'!$B$15*INDEX('Underlying Mechanics'!$B$31:$B$51,C$1-'Underlying Mechanics'!$B$8+1)*'Underlying Mechanics'!$B$5))*(1-$A121))-IF(C$1=0,'Underlying Mechanics'!$B$23*(1-$B121),0)-IF(C$1&gt;0,'Underlying Mechanics'!$B$22*'Underlying Mechanics'!$B$17,0)-IF(C$1&gt;0,'Underlying Mechanics'!$B$12*'Underlying Mechanics'!$B$18,0)</x:f>
        <x:v>-45000.00000000001</x:v>
      </x:c>
      <x:c r="D121" t="n">
        <x:f>((IF(D$1-'Underlying Mechanics'!$B$8&lt;0,0,'Underlying Mechanics'!$B$22*'Underlying Mechanics'!$B$15*INDEX('Underlying Mechanics'!$B$31:$B$51,D$1-'Underlying Mechanics'!$B$8+1)*'Underlying Mechanics'!$B$5))*(1-$A121))-IF(D$1=0,'Underlying Mechanics'!$B$23*(1-$B121),0)-IF(D$1&gt;0,'Underlying Mechanics'!$B$22*'Underlying Mechanics'!$B$17,0)-IF(D$1&gt;0,'Underlying Mechanics'!$B$12*'Underlying Mechanics'!$B$18,0)</x:f>
        <x:v>-22500</x:v>
      </x:c>
      <x:c r="E121" t="n">
        <x:f>((IF(E$1-'Underlying Mechanics'!$B$8&lt;0,0,'Underlying Mechanics'!$B$22*'Underlying Mechanics'!$B$15*INDEX('Underlying Mechanics'!$B$31:$B$51,E$1-'Underlying Mechanics'!$B$8+1)*'Underlying Mechanics'!$B$5))*(1-$A121))-IF(E$1=0,'Underlying Mechanics'!$B$23*(1-$B121),0)-IF(E$1&gt;0,'Underlying Mechanics'!$B$22*'Underlying Mechanics'!$B$17,0)-IF(E$1&gt;0,'Underlying Mechanics'!$B$12*'Underlying Mechanics'!$B$18,0)</x:f>
        <x:v>-22500</x:v>
      </x:c>
      <x:c r="F121" t="n">
        <x:f>((IF(F$1-'Underlying Mechanics'!$B$8&lt;0,0,'Underlying Mechanics'!$B$22*'Underlying Mechanics'!$B$15*INDEX('Underlying Mechanics'!$B$31:$B$51,F$1-'Underlying Mechanics'!$B$8+1)*'Underlying Mechanics'!$B$5))*(1-$A121))-IF(F$1=0,'Underlying Mechanics'!$B$23*(1-$B121),0)-IF(F$1&gt;0,'Underlying Mechanics'!$B$22*'Underlying Mechanics'!$B$17,0)-IF(F$1&gt;0,'Underlying Mechanics'!$B$12*'Underlying Mechanics'!$B$18,0)</x:f>
        <x:v>-21300</x:v>
      </x:c>
      <x:c r="G121" t="n">
        <x:f>((IF(G$1-'Underlying Mechanics'!$B$8&lt;0,0,'Underlying Mechanics'!$B$22*'Underlying Mechanics'!$B$15*INDEX('Underlying Mechanics'!$B$31:$B$51,G$1-'Underlying Mechanics'!$B$8+1)*'Underlying Mechanics'!$B$5))*(1-$A121))-IF(G$1=0,'Underlying Mechanics'!$B$23*(1-$B121),0)-IF(G$1&gt;0,'Underlying Mechanics'!$B$22*'Underlying Mechanics'!$B$17,0)-IF(G$1&gt;0,'Underlying Mechanics'!$B$12*'Underlying Mechanics'!$B$18,0)</x:f>
        <x:v>-19500</x:v>
      </x:c>
      <x:c r="H121" t="n">
        <x:f>((IF(H$1-'Underlying Mechanics'!$B$8&lt;0,0,'Underlying Mechanics'!$B$22*'Underlying Mechanics'!$B$15*INDEX('Underlying Mechanics'!$B$31:$B$51,H$1-'Underlying Mechanics'!$B$8+1)*'Underlying Mechanics'!$B$5))*(1-$A121))-IF(H$1=0,'Underlying Mechanics'!$B$23*(1-$B121),0)-IF(H$1&gt;0,'Underlying Mechanics'!$B$22*'Underlying Mechanics'!$B$17,0)-IF(H$1&gt;0,'Underlying Mechanics'!$B$12*'Underlying Mechanics'!$B$18,0)</x:f>
        <x:v>-16500</x:v>
      </x:c>
      <x:c r="I121" t="n">
        <x:f>((IF(I$1-'Underlying Mechanics'!$B$8&lt;0,0,'Underlying Mechanics'!$B$22*'Underlying Mechanics'!$B$15*INDEX('Underlying Mechanics'!$B$31:$B$51,I$1-'Underlying Mechanics'!$B$8+1)*'Underlying Mechanics'!$B$5))*(1-$A121))-IF(I$1=0,'Underlying Mechanics'!$B$23*(1-$B121),0)-IF(I$1&gt;0,'Underlying Mechanics'!$B$22*'Underlying Mechanics'!$B$17,0)-IF(I$1&gt;0,'Underlying Mechanics'!$B$12*'Underlying Mechanics'!$B$18,0)</x:f>
        <x:v>-11700</x:v>
      </x:c>
      <x:c r="J121" t="n">
        <x:f>((IF(J$1-'Underlying Mechanics'!$B$8&lt;0,0,'Underlying Mechanics'!$B$22*'Underlying Mechanics'!$B$15*INDEX('Underlying Mechanics'!$B$31:$B$51,J$1-'Underlying Mechanics'!$B$8+1)*'Underlying Mechanics'!$B$5))*(1-$A121))-IF(J$1=0,'Underlying Mechanics'!$B$23*(1-$B121),0)-IF(J$1&gt;0,'Underlying Mechanics'!$B$22*'Underlying Mechanics'!$B$17,0)-IF(J$1&gt;0,'Underlying Mechanics'!$B$12*'Underlying Mechanics'!$B$18,0)</x:f>
        <x:v>-5699.999999999996</x:v>
      </x:c>
      <x:c r="K121" t="n">
        <x:f>((IF(K$1-'Underlying Mechanics'!$B$8&lt;0,0,'Underlying Mechanics'!$B$22*'Underlying Mechanics'!$B$15*INDEX('Underlying Mechanics'!$B$31:$B$51,K$1-'Underlying Mechanics'!$B$8+1)*'Underlying Mechanics'!$B$5))*(1-$A121))-IF(K$1=0,'Underlying Mechanics'!$B$23*(1-$B121),0)-IF(K$1&gt;0,'Underlying Mechanics'!$B$22*'Underlying Mechanics'!$B$17,0)-IF(K$1&gt;0,'Underlying Mechanics'!$B$12*'Underlying Mechanics'!$B$18,0)</x:f>
        <x:v>1500</x:v>
      </x:c>
      <x:c r="L121" t="n">
        <x:f>((IF(L$1-'Underlying Mechanics'!$B$8&lt;0,0,'Underlying Mechanics'!$B$22*'Underlying Mechanics'!$B$15*INDEX('Underlying Mechanics'!$B$31:$B$51,L$1-'Underlying Mechanics'!$B$8+1)*'Underlying Mechanics'!$B$5))*(1-$A121))-IF(L$1=0,'Underlying Mechanics'!$B$23*(1-$B121),0)-IF(L$1&gt;0,'Underlying Mechanics'!$B$22*'Underlying Mechanics'!$B$17,0)-IF(L$1&gt;0,'Underlying Mechanics'!$B$12*'Underlying Mechanics'!$B$18,0)</x:f>
        <x:v>9900</x:v>
      </x:c>
      <x:c r="M121" t="n">
        <x:f>((IF(M$1-'Underlying Mechanics'!$B$8&lt;0,0,'Underlying Mechanics'!$B$22*'Underlying Mechanics'!$B$15*INDEX('Underlying Mechanics'!$B$31:$B$51,M$1-'Underlying Mechanics'!$B$8+1)*'Underlying Mechanics'!$B$5))*(1-$A121))-IF(M$1=0,'Underlying Mechanics'!$B$23*(1-$B121),0)-IF(M$1&gt;0,'Underlying Mechanics'!$B$22*'Underlying Mechanics'!$B$17,0)-IF(M$1&gt;0,'Underlying Mechanics'!$B$12*'Underlying Mechanics'!$B$18,0)</x:f>
        <x:v>18300.000000000007</x:v>
      </x:c>
      <x:c r="N121" t="n">
        <x:f>((IF(N$1-'Underlying Mechanics'!$B$8&lt;0,0,'Underlying Mechanics'!$B$22*'Underlying Mechanics'!$B$15*INDEX('Underlying Mechanics'!$B$31:$B$51,N$1-'Underlying Mechanics'!$B$8+1)*'Underlying Mechanics'!$B$5))*(1-$A121))-IF(N$1=0,'Underlying Mechanics'!$B$23*(1-$B121),0)-IF(N$1&gt;0,'Underlying Mechanics'!$B$22*'Underlying Mechanics'!$B$17,0)-IF(N$1&gt;0,'Underlying Mechanics'!$B$12*'Underlying Mechanics'!$B$18,0)</x:f>
        <x:v>25500</x:v>
      </x:c>
      <x:c r="O121" t="n">
        <x:f>((IF(O$1-'Underlying Mechanics'!$B$8&lt;0,0,'Underlying Mechanics'!$B$22*'Underlying Mechanics'!$B$15*INDEX('Underlying Mechanics'!$B$31:$B$51,O$1-'Underlying Mechanics'!$B$8+1)*'Underlying Mechanics'!$B$5))*(1-$A121))-IF(O$1=0,'Underlying Mechanics'!$B$23*(1-$B121),0)-IF(O$1&gt;0,'Underlying Mechanics'!$B$22*'Underlying Mechanics'!$B$17,0)-IF(O$1&gt;0,'Underlying Mechanics'!$B$12*'Underlying Mechanics'!$B$18,0)</x:f>
        <x:v>31500</x:v>
      </x:c>
      <x:c r="P121" t="n">
        <x:f>((IF(P$1-'Underlying Mechanics'!$B$8&lt;0,0,'Underlying Mechanics'!$B$22*'Underlying Mechanics'!$B$15*INDEX('Underlying Mechanics'!$B$31:$B$51,P$1-'Underlying Mechanics'!$B$8+1)*'Underlying Mechanics'!$B$5))*(1-$A121))-IF(P$1=0,'Underlying Mechanics'!$B$23*(1-$B121),0)-IF(P$1&gt;0,'Underlying Mechanics'!$B$22*'Underlying Mechanics'!$B$17,0)-IF(P$1&gt;0,'Underlying Mechanics'!$B$12*'Underlying Mechanics'!$B$18,0)</x:f>
        <x:v>37500</x:v>
      </x:c>
      <x:c r="Q121" t="n">
        <x:f>((IF(Q$1-'Underlying Mechanics'!$B$8&lt;0,0,'Underlying Mechanics'!$B$22*'Underlying Mechanics'!$B$15*INDEX('Underlying Mechanics'!$B$31:$B$51,Q$1-'Underlying Mechanics'!$B$8+1)*'Underlying Mechanics'!$B$5))*(1-$A121))-IF(Q$1=0,'Underlying Mechanics'!$B$23*(1-$B121),0)-IF(Q$1&gt;0,'Underlying Mechanics'!$B$22*'Underlying Mechanics'!$B$17,0)-IF(Q$1&gt;0,'Underlying Mechanics'!$B$12*'Underlying Mechanics'!$B$18,0)</x:f>
        <x:v>37500</x:v>
      </x:c>
      <x:c r="R121" t="n">
        <x:f>((IF(R$1-'Underlying Mechanics'!$B$8&lt;0,0,'Underlying Mechanics'!$B$22*'Underlying Mechanics'!$B$15*INDEX('Underlying Mechanics'!$B$31:$B$51,R$1-'Underlying Mechanics'!$B$8+1)*'Underlying Mechanics'!$B$5))*(1-$A121))-IF(R$1=0,'Underlying Mechanics'!$B$23*(1-$B121),0)-IF(R$1&gt;0,'Underlying Mechanics'!$B$22*'Underlying Mechanics'!$B$17,0)-IF(R$1&gt;0,'Underlying Mechanics'!$B$12*'Underlying Mechanics'!$B$18,0)</x:f>
        <x:v>37500</x:v>
      </x:c>
      <x:c r="S121" t="n">
        <x:f>((IF(S$1-'Underlying Mechanics'!$B$8&lt;0,0,'Underlying Mechanics'!$B$22*'Underlying Mechanics'!$B$15*INDEX('Underlying Mechanics'!$B$31:$B$51,S$1-'Underlying Mechanics'!$B$8+1)*'Underlying Mechanics'!$B$5))*(1-$A121))-IF(S$1=0,'Underlying Mechanics'!$B$23*(1-$B121),0)-IF(S$1&gt;0,'Underlying Mechanics'!$B$22*'Underlying Mechanics'!$B$17,0)-IF(S$1&gt;0,'Underlying Mechanics'!$B$12*'Underlying Mechanics'!$B$18,0)</x:f>
        <x:v>37500</x:v>
      </x:c>
      <x:c r="T121" t="n">
        <x:f>((IF(T$1-'Underlying Mechanics'!$B$8&lt;0,0,'Underlying Mechanics'!$B$22*'Underlying Mechanics'!$B$15*INDEX('Underlying Mechanics'!$B$31:$B$51,T$1-'Underlying Mechanics'!$B$8+1)*'Underlying Mechanics'!$B$5))*(1-$A121))-IF(T$1=0,'Underlying Mechanics'!$B$23*(1-$B121),0)-IF(T$1&gt;0,'Underlying Mechanics'!$B$22*'Underlying Mechanics'!$B$17,0)-IF(T$1&gt;0,'Underlying Mechanics'!$B$12*'Underlying Mechanics'!$B$18,0)</x:f>
        <x:v>37500</x:v>
      </x:c>
      <x:c r="U121" t="n">
        <x:f>((IF(U$1-'Underlying Mechanics'!$B$8&lt;0,0,'Underlying Mechanics'!$B$22*'Underlying Mechanics'!$B$15*INDEX('Underlying Mechanics'!$B$31:$B$51,U$1-'Underlying Mechanics'!$B$8+1)*'Underlying Mechanics'!$B$5))*(1-$A121))-IF(U$1=0,'Underlying Mechanics'!$B$23*(1-$B121),0)-IF(U$1&gt;0,'Underlying Mechanics'!$B$22*'Underlying Mechanics'!$B$17,0)-IF(U$1&gt;0,'Underlying Mechanics'!$B$12*'Underlying Mechanics'!$B$18,0)</x:f>
        <x:v>37500</x:v>
      </x:c>
      <x:c r="V121" t="n">
        <x:f>((IF(V$1-'Underlying Mechanics'!$B$8&lt;0,0,'Underlying Mechanics'!$B$22*'Underlying Mechanics'!$B$15*INDEX('Underlying Mechanics'!$B$31:$B$51,V$1-'Underlying Mechanics'!$B$8+1)*'Underlying Mechanics'!$B$5))*(1-$A121))-IF(V$1=0,'Underlying Mechanics'!$B$23*(1-$B121),0)-IF(V$1&gt;0,'Underlying Mechanics'!$B$22*'Underlying Mechanics'!$B$17,0)-IF(V$1&gt;0,'Underlying Mechanics'!$B$12*'Underlying Mechanics'!$B$18,0)</x:f>
        <x:v>37500</x:v>
      </x:c>
      <x:c r="W121" t="n">
        <x:f>((IF(W$1-'Underlying Mechanics'!$B$8&lt;0,0,'Underlying Mechanics'!$B$22*'Underlying Mechanics'!$B$15*INDEX('Underlying Mechanics'!$B$31:$B$51,W$1-'Underlying Mechanics'!$B$8+1)*'Underlying Mechanics'!$B$5))*(1-$A121))-IF(W$1=0,'Underlying Mechanics'!$B$23*(1-$B121),0)-IF(W$1&gt;0,'Underlying Mechanics'!$B$22*'Underlying Mechanics'!$B$17,0)-IF(W$1&gt;0,'Underlying Mechanics'!$B$12*'Underlying Mechanics'!$B$18,0)</x:f>
        <x:v>37500</x:v>
      </x:c>
      <x:c r="X121" t="n">
        <x:f>IFERROR(IRR(C121:W121),-1)</x:f>
        <x:v>0.07001992652793597</x:v>
      </x:c>
    </x:row>
    <x:row r="122">
      <x:c r="A122" t="n">
        <x:v>0.5</x:v>
      </x:c>
      <x:c r="B122" t="n">
        <x:v>0.75</x:v>
      </x:c>
      <x:c r="C122" t="n">
        <x:f>((IF(C$1-'Underlying Mechanics'!$B$8&lt;0,0,'Underlying Mechanics'!$B$22*'Underlying Mechanics'!$B$15*INDEX('Underlying Mechanics'!$B$31:$B$51,C$1-'Underlying Mechanics'!$B$8+1)*'Underlying Mechanics'!$B$5))*(1-$A122))-IF(C$1=0,'Underlying Mechanics'!$B$23*(1-$B122),0)-IF(C$1&gt;0,'Underlying Mechanics'!$B$22*'Underlying Mechanics'!$B$17,0)-IF(C$1&gt;0,'Underlying Mechanics'!$B$12*'Underlying Mechanics'!$B$18,0)</x:f>
        <x:v>-37500</x:v>
      </x:c>
      <x:c r="D122" t="n">
        <x:f>((IF(D$1-'Underlying Mechanics'!$B$8&lt;0,0,'Underlying Mechanics'!$B$22*'Underlying Mechanics'!$B$15*INDEX('Underlying Mechanics'!$B$31:$B$51,D$1-'Underlying Mechanics'!$B$8+1)*'Underlying Mechanics'!$B$5))*(1-$A122))-IF(D$1=0,'Underlying Mechanics'!$B$23*(1-$B122),0)-IF(D$1&gt;0,'Underlying Mechanics'!$B$22*'Underlying Mechanics'!$B$17,0)-IF(D$1&gt;0,'Underlying Mechanics'!$B$12*'Underlying Mechanics'!$B$18,0)</x:f>
        <x:v>-22500</x:v>
      </x:c>
      <x:c r="E122" t="n">
        <x:f>((IF(E$1-'Underlying Mechanics'!$B$8&lt;0,0,'Underlying Mechanics'!$B$22*'Underlying Mechanics'!$B$15*INDEX('Underlying Mechanics'!$B$31:$B$51,E$1-'Underlying Mechanics'!$B$8+1)*'Underlying Mechanics'!$B$5))*(1-$A122))-IF(E$1=0,'Underlying Mechanics'!$B$23*(1-$B122),0)-IF(E$1&gt;0,'Underlying Mechanics'!$B$22*'Underlying Mechanics'!$B$17,0)-IF(E$1&gt;0,'Underlying Mechanics'!$B$12*'Underlying Mechanics'!$B$18,0)</x:f>
        <x:v>-22500</x:v>
      </x:c>
      <x:c r="F122" t="n">
        <x:f>((IF(F$1-'Underlying Mechanics'!$B$8&lt;0,0,'Underlying Mechanics'!$B$22*'Underlying Mechanics'!$B$15*INDEX('Underlying Mechanics'!$B$31:$B$51,F$1-'Underlying Mechanics'!$B$8+1)*'Underlying Mechanics'!$B$5))*(1-$A122))-IF(F$1=0,'Underlying Mechanics'!$B$23*(1-$B122),0)-IF(F$1&gt;0,'Underlying Mechanics'!$B$22*'Underlying Mechanics'!$B$17,0)-IF(F$1&gt;0,'Underlying Mechanics'!$B$12*'Underlying Mechanics'!$B$18,0)</x:f>
        <x:v>-21300</x:v>
      </x:c>
      <x:c r="G122" t="n">
        <x:f>((IF(G$1-'Underlying Mechanics'!$B$8&lt;0,0,'Underlying Mechanics'!$B$22*'Underlying Mechanics'!$B$15*INDEX('Underlying Mechanics'!$B$31:$B$51,G$1-'Underlying Mechanics'!$B$8+1)*'Underlying Mechanics'!$B$5))*(1-$A122))-IF(G$1=0,'Underlying Mechanics'!$B$23*(1-$B122),0)-IF(G$1&gt;0,'Underlying Mechanics'!$B$22*'Underlying Mechanics'!$B$17,0)-IF(G$1&gt;0,'Underlying Mechanics'!$B$12*'Underlying Mechanics'!$B$18,0)</x:f>
        <x:v>-19500</x:v>
      </x:c>
      <x:c r="H122" t="n">
        <x:f>((IF(H$1-'Underlying Mechanics'!$B$8&lt;0,0,'Underlying Mechanics'!$B$22*'Underlying Mechanics'!$B$15*INDEX('Underlying Mechanics'!$B$31:$B$51,H$1-'Underlying Mechanics'!$B$8+1)*'Underlying Mechanics'!$B$5))*(1-$A122))-IF(H$1=0,'Underlying Mechanics'!$B$23*(1-$B122),0)-IF(H$1&gt;0,'Underlying Mechanics'!$B$22*'Underlying Mechanics'!$B$17,0)-IF(H$1&gt;0,'Underlying Mechanics'!$B$12*'Underlying Mechanics'!$B$18,0)</x:f>
        <x:v>-16500</x:v>
      </x:c>
      <x:c r="I122" t="n">
        <x:f>((IF(I$1-'Underlying Mechanics'!$B$8&lt;0,0,'Underlying Mechanics'!$B$22*'Underlying Mechanics'!$B$15*INDEX('Underlying Mechanics'!$B$31:$B$51,I$1-'Underlying Mechanics'!$B$8+1)*'Underlying Mechanics'!$B$5))*(1-$A122))-IF(I$1=0,'Underlying Mechanics'!$B$23*(1-$B122),0)-IF(I$1&gt;0,'Underlying Mechanics'!$B$22*'Underlying Mechanics'!$B$17,0)-IF(I$1&gt;0,'Underlying Mechanics'!$B$12*'Underlying Mechanics'!$B$18,0)</x:f>
        <x:v>-11700</x:v>
      </x:c>
      <x:c r="J122" t="n">
        <x:f>((IF(J$1-'Underlying Mechanics'!$B$8&lt;0,0,'Underlying Mechanics'!$B$22*'Underlying Mechanics'!$B$15*INDEX('Underlying Mechanics'!$B$31:$B$51,J$1-'Underlying Mechanics'!$B$8+1)*'Underlying Mechanics'!$B$5))*(1-$A122))-IF(J$1=0,'Underlying Mechanics'!$B$23*(1-$B122),0)-IF(J$1&gt;0,'Underlying Mechanics'!$B$22*'Underlying Mechanics'!$B$17,0)-IF(J$1&gt;0,'Underlying Mechanics'!$B$12*'Underlying Mechanics'!$B$18,0)</x:f>
        <x:v>-5699.999999999996</x:v>
      </x:c>
      <x:c r="K122" t="n">
        <x:f>((IF(K$1-'Underlying Mechanics'!$B$8&lt;0,0,'Underlying Mechanics'!$B$22*'Underlying Mechanics'!$B$15*INDEX('Underlying Mechanics'!$B$31:$B$51,K$1-'Underlying Mechanics'!$B$8+1)*'Underlying Mechanics'!$B$5))*(1-$A122))-IF(K$1=0,'Underlying Mechanics'!$B$23*(1-$B122),0)-IF(K$1&gt;0,'Underlying Mechanics'!$B$22*'Underlying Mechanics'!$B$17,0)-IF(K$1&gt;0,'Underlying Mechanics'!$B$12*'Underlying Mechanics'!$B$18,0)</x:f>
        <x:v>1500</x:v>
      </x:c>
      <x:c r="L122" t="n">
        <x:f>((IF(L$1-'Underlying Mechanics'!$B$8&lt;0,0,'Underlying Mechanics'!$B$22*'Underlying Mechanics'!$B$15*INDEX('Underlying Mechanics'!$B$31:$B$51,L$1-'Underlying Mechanics'!$B$8+1)*'Underlying Mechanics'!$B$5))*(1-$A122))-IF(L$1=0,'Underlying Mechanics'!$B$23*(1-$B122),0)-IF(L$1&gt;0,'Underlying Mechanics'!$B$22*'Underlying Mechanics'!$B$17,0)-IF(L$1&gt;0,'Underlying Mechanics'!$B$12*'Underlying Mechanics'!$B$18,0)</x:f>
        <x:v>9900</x:v>
      </x:c>
      <x:c r="M122" t="n">
        <x:f>((IF(M$1-'Underlying Mechanics'!$B$8&lt;0,0,'Underlying Mechanics'!$B$22*'Underlying Mechanics'!$B$15*INDEX('Underlying Mechanics'!$B$31:$B$51,M$1-'Underlying Mechanics'!$B$8+1)*'Underlying Mechanics'!$B$5))*(1-$A122))-IF(M$1=0,'Underlying Mechanics'!$B$23*(1-$B122),0)-IF(M$1&gt;0,'Underlying Mechanics'!$B$22*'Underlying Mechanics'!$B$17,0)-IF(M$1&gt;0,'Underlying Mechanics'!$B$12*'Underlying Mechanics'!$B$18,0)</x:f>
        <x:v>18300.000000000007</x:v>
      </x:c>
      <x:c r="N122" t="n">
        <x:f>((IF(N$1-'Underlying Mechanics'!$B$8&lt;0,0,'Underlying Mechanics'!$B$22*'Underlying Mechanics'!$B$15*INDEX('Underlying Mechanics'!$B$31:$B$51,N$1-'Underlying Mechanics'!$B$8+1)*'Underlying Mechanics'!$B$5))*(1-$A122))-IF(N$1=0,'Underlying Mechanics'!$B$23*(1-$B122),0)-IF(N$1&gt;0,'Underlying Mechanics'!$B$22*'Underlying Mechanics'!$B$17,0)-IF(N$1&gt;0,'Underlying Mechanics'!$B$12*'Underlying Mechanics'!$B$18,0)</x:f>
        <x:v>25500</x:v>
      </x:c>
      <x:c r="O122" t="n">
        <x:f>((IF(O$1-'Underlying Mechanics'!$B$8&lt;0,0,'Underlying Mechanics'!$B$22*'Underlying Mechanics'!$B$15*INDEX('Underlying Mechanics'!$B$31:$B$51,O$1-'Underlying Mechanics'!$B$8+1)*'Underlying Mechanics'!$B$5))*(1-$A122))-IF(O$1=0,'Underlying Mechanics'!$B$23*(1-$B122),0)-IF(O$1&gt;0,'Underlying Mechanics'!$B$22*'Underlying Mechanics'!$B$17,0)-IF(O$1&gt;0,'Underlying Mechanics'!$B$12*'Underlying Mechanics'!$B$18,0)</x:f>
        <x:v>31500</x:v>
      </x:c>
      <x:c r="P122" t="n">
        <x:f>((IF(P$1-'Underlying Mechanics'!$B$8&lt;0,0,'Underlying Mechanics'!$B$22*'Underlying Mechanics'!$B$15*INDEX('Underlying Mechanics'!$B$31:$B$51,P$1-'Underlying Mechanics'!$B$8+1)*'Underlying Mechanics'!$B$5))*(1-$A122))-IF(P$1=0,'Underlying Mechanics'!$B$23*(1-$B122),0)-IF(P$1&gt;0,'Underlying Mechanics'!$B$22*'Underlying Mechanics'!$B$17,0)-IF(P$1&gt;0,'Underlying Mechanics'!$B$12*'Underlying Mechanics'!$B$18,0)</x:f>
        <x:v>37500</x:v>
      </x:c>
      <x:c r="Q122" t="n">
        <x:f>((IF(Q$1-'Underlying Mechanics'!$B$8&lt;0,0,'Underlying Mechanics'!$B$22*'Underlying Mechanics'!$B$15*INDEX('Underlying Mechanics'!$B$31:$B$51,Q$1-'Underlying Mechanics'!$B$8+1)*'Underlying Mechanics'!$B$5))*(1-$A122))-IF(Q$1=0,'Underlying Mechanics'!$B$23*(1-$B122),0)-IF(Q$1&gt;0,'Underlying Mechanics'!$B$22*'Underlying Mechanics'!$B$17,0)-IF(Q$1&gt;0,'Underlying Mechanics'!$B$12*'Underlying Mechanics'!$B$18,0)</x:f>
        <x:v>37500</x:v>
      </x:c>
      <x:c r="R122" t="n">
        <x:f>((IF(R$1-'Underlying Mechanics'!$B$8&lt;0,0,'Underlying Mechanics'!$B$22*'Underlying Mechanics'!$B$15*INDEX('Underlying Mechanics'!$B$31:$B$51,R$1-'Underlying Mechanics'!$B$8+1)*'Underlying Mechanics'!$B$5))*(1-$A122))-IF(R$1=0,'Underlying Mechanics'!$B$23*(1-$B122),0)-IF(R$1&gt;0,'Underlying Mechanics'!$B$22*'Underlying Mechanics'!$B$17,0)-IF(R$1&gt;0,'Underlying Mechanics'!$B$12*'Underlying Mechanics'!$B$18,0)</x:f>
        <x:v>37500</x:v>
      </x:c>
      <x:c r="S122" t="n">
        <x:f>((IF(S$1-'Underlying Mechanics'!$B$8&lt;0,0,'Underlying Mechanics'!$B$22*'Underlying Mechanics'!$B$15*INDEX('Underlying Mechanics'!$B$31:$B$51,S$1-'Underlying Mechanics'!$B$8+1)*'Underlying Mechanics'!$B$5))*(1-$A122))-IF(S$1=0,'Underlying Mechanics'!$B$23*(1-$B122),0)-IF(S$1&gt;0,'Underlying Mechanics'!$B$22*'Underlying Mechanics'!$B$17,0)-IF(S$1&gt;0,'Underlying Mechanics'!$B$12*'Underlying Mechanics'!$B$18,0)</x:f>
        <x:v>37500</x:v>
      </x:c>
      <x:c r="T122" t="n">
        <x:f>((IF(T$1-'Underlying Mechanics'!$B$8&lt;0,0,'Underlying Mechanics'!$B$22*'Underlying Mechanics'!$B$15*INDEX('Underlying Mechanics'!$B$31:$B$51,T$1-'Underlying Mechanics'!$B$8+1)*'Underlying Mechanics'!$B$5))*(1-$A122))-IF(T$1=0,'Underlying Mechanics'!$B$23*(1-$B122),0)-IF(T$1&gt;0,'Underlying Mechanics'!$B$22*'Underlying Mechanics'!$B$17,0)-IF(T$1&gt;0,'Underlying Mechanics'!$B$12*'Underlying Mechanics'!$B$18,0)</x:f>
        <x:v>37500</x:v>
      </x:c>
      <x:c r="U122" t="n">
        <x:f>((IF(U$1-'Underlying Mechanics'!$B$8&lt;0,0,'Underlying Mechanics'!$B$22*'Underlying Mechanics'!$B$15*INDEX('Underlying Mechanics'!$B$31:$B$51,U$1-'Underlying Mechanics'!$B$8+1)*'Underlying Mechanics'!$B$5))*(1-$A122))-IF(U$1=0,'Underlying Mechanics'!$B$23*(1-$B122),0)-IF(U$1&gt;0,'Underlying Mechanics'!$B$22*'Underlying Mechanics'!$B$17,0)-IF(U$1&gt;0,'Underlying Mechanics'!$B$12*'Underlying Mechanics'!$B$18,0)</x:f>
        <x:v>37500</x:v>
      </x:c>
      <x:c r="V122" t="n">
        <x:f>((IF(V$1-'Underlying Mechanics'!$B$8&lt;0,0,'Underlying Mechanics'!$B$22*'Underlying Mechanics'!$B$15*INDEX('Underlying Mechanics'!$B$31:$B$51,V$1-'Underlying Mechanics'!$B$8+1)*'Underlying Mechanics'!$B$5))*(1-$A122))-IF(V$1=0,'Underlying Mechanics'!$B$23*(1-$B122),0)-IF(V$1&gt;0,'Underlying Mechanics'!$B$22*'Underlying Mechanics'!$B$17,0)-IF(V$1&gt;0,'Underlying Mechanics'!$B$12*'Underlying Mechanics'!$B$18,0)</x:f>
        <x:v>37500</x:v>
      </x:c>
      <x:c r="W122" t="n">
        <x:f>((IF(W$1-'Underlying Mechanics'!$B$8&lt;0,0,'Underlying Mechanics'!$B$22*'Underlying Mechanics'!$B$15*INDEX('Underlying Mechanics'!$B$31:$B$51,W$1-'Underlying Mechanics'!$B$8+1)*'Underlying Mechanics'!$B$5))*(1-$A122))-IF(W$1=0,'Underlying Mechanics'!$B$23*(1-$B122),0)-IF(W$1&gt;0,'Underlying Mechanics'!$B$22*'Underlying Mechanics'!$B$17,0)-IF(W$1&gt;0,'Underlying Mechanics'!$B$12*'Underlying Mechanics'!$B$18,0)</x:f>
        <x:v>37500</x:v>
      </x:c>
      <x:c r="X122" t="n">
        <x:f>IFERROR(IRR(C122:W122),-1)</x:f>
        <x:v>0.07478860260654856</x:v>
      </x:c>
    </x:row>
    <x:row r="123">
      <x:c r="A123" t="n">
        <x:v>0.5</x:v>
      </x:c>
      <x:c r="B123" t="n">
        <x:v>0.8</x:v>
      </x:c>
      <x:c r="C123" t="n">
        <x:f>((IF(C$1-'Underlying Mechanics'!$B$8&lt;0,0,'Underlying Mechanics'!$B$22*'Underlying Mechanics'!$B$15*INDEX('Underlying Mechanics'!$B$31:$B$51,C$1-'Underlying Mechanics'!$B$8+1)*'Underlying Mechanics'!$B$5))*(1-$A123))-IF(C$1=0,'Underlying Mechanics'!$B$23*(1-$B123),0)-IF(C$1&gt;0,'Underlying Mechanics'!$B$22*'Underlying Mechanics'!$B$17,0)-IF(C$1&gt;0,'Underlying Mechanics'!$B$12*'Underlying Mechanics'!$B$18,0)</x:f>
        <x:v>-29999.999999999993</x:v>
      </x:c>
      <x:c r="D123" t="n">
        <x:f>((IF(D$1-'Underlying Mechanics'!$B$8&lt;0,0,'Underlying Mechanics'!$B$22*'Underlying Mechanics'!$B$15*INDEX('Underlying Mechanics'!$B$31:$B$51,D$1-'Underlying Mechanics'!$B$8+1)*'Underlying Mechanics'!$B$5))*(1-$A123))-IF(D$1=0,'Underlying Mechanics'!$B$23*(1-$B123),0)-IF(D$1&gt;0,'Underlying Mechanics'!$B$22*'Underlying Mechanics'!$B$17,0)-IF(D$1&gt;0,'Underlying Mechanics'!$B$12*'Underlying Mechanics'!$B$18,0)</x:f>
        <x:v>-22500</x:v>
      </x:c>
      <x:c r="E123" t="n">
        <x:f>((IF(E$1-'Underlying Mechanics'!$B$8&lt;0,0,'Underlying Mechanics'!$B$22*'Underlying Mechanics'!$B$15*INDEX('Underlying Mechanics'!$B$31:$B$51,E$1-'Underlying Mechanics'!$B$8+1)*'Underlying Mechanics'!$B$5))*(1-$A123))-IF(E$1=0,'Underlying Mechanics'!$B$23*(1-$B123),0)-IF(E$1&gt;0,'Underlying Mechanics'!$B$22*'Underlying Mechanics'!$B$17,0)-IF(E$1&gt;0,'Underlying Mechanics'!$B$12*'Underlying Mechanics'!$B$18,0)</x:f>
        <x:v>-22500</x:v>
      </x:c>
      <x:c r="F123" t="n">
        <x:f>((IF(F$1-'Underlying Mechanics'!$B$8&lt;0,0,'Underlying Mechanics'!$B$22*'Underlying Mechanics'!$B$15*INDEX('Underlying Mechanics'!$B$31:$B$51,F$1-'Underlying Mechanics'!$B$8+1)*'Underlying Mechanics'!$B$5))*(1-$A123))-IF(F$1=0,'Underlying Mechanics'!$B$23*(1-$B123),0)-IF(F$1&gt;0,'Underlying Mechanics'!$B$22*'Underlying Mechanics'!$B$17,0)-IF(F$1&gt;0,'Underlying Mechanics'!$B$12*'Underlying Mechanics'!$B$18,0)</x:f>
        <x:v>-21300</x:v>
      </x:c>
      <x:c r="G123" t="n">
        <x:f>((IF(G$1-'Underlying Mechanics'!$B$8&lt;0,0,'Underlying Mechanics'!$B$22*'Underlying Mechanics'!$B$15*INDEX('Underlying Mechanics'!$B$31:$B$51,G$1-'Underlying Mechanics'!$B$8+1)*'Underlying Mechanics'!$B$5))*(1-$A123))-IF(G$1=0,'Underlying Mechanics'!$B$23*(1-$B123),0)-IF(G$1&gt;0,'Underlying Mechanics'!$B$22*'Underlying Mechanics'!$B$17,0)-IF(G$1&gt;0,'Underlying Mechanics'!$B$12*'Underlying Mechanics'!$B$18,0)</x:f>
        <x:v>-19500</x:v>
      </x:c>
      <x:c r="H123" t="n">
        <x:f>((IF(H$1-'Underlying Mechanics'!$B$8&lt;0,0,'Underlying Mechanics'!$B$22*'Underlying Mechanics'!$B$15*INDEX('Underlying Mechanics'!$B$31:$B$51,H$1-'Underlying Mechanics'!$B$8+1)*'Underlying Mechanics'!$B$5))*(1-$A123))-IF(H$1=0,'Underlying Mechanics'!$B$23*(1-$B123),0)-IF(H$1&gt;0,'Underlying Mechanics'!$B$22*'Underlying Mechanics'!$B$17,0)-IF(H$1&gt;0,'Underlying Mechanics'!$B$12*'Underlying Mechanics'!$B$18,0)</x:f>
        <x:v>-16500</x:v>
      </x:c>
      <x:c r="I123" t="n">
        <x:f>((IF(I$1-'Underlying Mechanics'!$B$8&lt;0,0,'Underlying Mechanics'!$B$22*'Underlying Mechanics'!$B$15*INDEX('Underlying Mechanics'!$B$31:$B$51,I$1-'Underlying Mechanics'!$B$8+1)*'Underlying Mechanics'!$B$5))*(1-$A123))-IF(I$1=0,'Underlying Mechanics'!$B$23*(1-$B123),0)-IF(I$1&gt;0,'Underlying Mechanics'!$B$22*'Underlying Mechanics'!$B$17,0)-IF(I$1&gt;0,'Underlying Mechanics'!$B$12*'Underlying Mechanics'!$B$18,0)</x:f>
        <x:v>-11700</x:v>
      </x:c>
      <x:c r="J123" t="n">
        <x:f>((IF(J$1-'Underlying Mechanics'!$B$8&lt;0,0,'Underlying Mechanics'!$B$22*'Underlying Mechanics'!$B$15*INDEX('Underlying Mechanics'!$B$31:$B$51,J$1-'Underlying Mechanics'!$B$8+1)*'Underlying Mechanics'!$B$5))*(1-$A123))-IF(J$1=0,'Underlying Mechanics'!$B$23*(1-$B123),0)-IF(J$1&gt;0,'Underlying Mechanics'!$B$22*'Underlying Mechanics'!$B$17,0)-IF(J$1&gt;0,'Underlying Mechanics'!$B$12*'Underlying Mechanics'!$B$18,0)</x:f>
        <x:v>-5699.999999999996</x:v>
      </x:c>
      <x:c r="K123" t="n">
        <x:f>((IF(K$1-'Underlying Mechanics'!$B$8&lt;0,0,'Underlying Mechanics'!$B$22*'Underlying Mechanics'!$B$15*INDEX('Underlying Mechanics'!$B$31:$B$51,K$1-'Underlying Mechanics'!$B$8+1)*'Underlying Mechanics'!$B$5))*(1-$A123))-IF(K$1=0,'Underlying Mechanics'!$B$23*(1-$B123),0)-IF(K$1&gt;0,'Underlying Mechanics'!$B$22*'Underlying Mechanics'!$B$17,0)-IF(K$1&gt;0,'Underlying Mechanics'!$B$12*'Underlying Mechanics'!$B$18,0)</x:f>
        <x:v>1500</x:v>
      </x:c>
      <x:c r="L123" t="n">
        <x:f>((IF(L$1-'Underlying Mechanics'!$B$8&lt;0,0,'Underlying Mechanics'!$B$22*'Underlying Mechanics'!$B$15*INDEX('Underlying Mechanics'!$B$31:$B$51,L$1-'Underlying Mechanics'!$B$8+1)*'Underlying Mechanics'!$B$5))*(1-$A123))-IF(L$1=0,'Underlying Mechanics'!$B$23*(1-$B123),0)-IF(L$1&gt;0,'Underlying Mechanics'!$B$22*'Underlying Mechanics'!$B$17,0)-IF(L$1&gt;0,'Underlying Mechanics'!$B$12*'Underlying Mechanics'!$B$18,0)</x:f>
        <x:v>9900</x:v>
      </x:c>
      <x:c r="M123" t="n">
        <x:f>((IF(M$1-'Underlying Mechanics'!$B$8&lt;0,0,'Underlying Mechanics'!$B$22*'Underlying Mechanics'!$B$15*INDEX('Underlying Mechanics'!$B$31:$B$51,M$1-'Underlying Mechanics'!$B$8+1)*'Underlying Mechanics'!$B$5))*(1-$A123))-IF(M$1=0,'Underlying Mechanics'!$B$23*(1-$B123),0)-IF(M$1&gt;0,'Underlying Mechanics'!$B$22*'Underlying Mechanics'!$B$17,0)-IF(M$1&gt;0,'Underlying Mechanics'!$B$12*'Underlying Mechanics'!$B$18,0)</x:f>
        <x:v>18300.000000000007</x:v>
      </x:c>
      <x:c r="N123" t="n">
        <x:f>((IF(N$1-'Underlying Mechanics'!$B$8&lt;0,0,'Underlying Mechanics'!$B$22*'Underlying Mechanics'!$B$15*INDEX('Underlying Mechanics'!$B$31:$B$51,N$1-'Underlying Mechanics'!$B$8+1)*'Underlying Mechanics'!$B$5))*(1-$A123))-IF(N$1=0,'Underlying Mechanics'!$B$23*(1-$B123),0)-IF(N$1&gt;0,'Underlying Mechanics'!$B$22*'Underlying Mechanics'!$B$17,0)-IF(N$1&gt;0,'Underlying Mechanics'!$B$12*'Underlying Mechanics'!$B$18,0)</x:f>
        <x:v>25500</x:v>
      </x:c>
      <x:c r="O123" t="n">
        <x:f>((IF(O$1-'Underlying Mechanics'!$B$8&lt;0,0,'Underlying Mechanics'!$B$22*'Underlying Mechanics'!$B$15*INDEX('Underlying Mechanics'!$B$31:$B$51,O$1-'Underlying Mechanics'!$B$8+1)*'Underlying Mechanics'!$B$5))*(1-$A123))-IF(O$1=0,'Underlying Mechanics'!$B$23*(1-$B123),0)-IF(O$1&gt;0,'Underlying Mechanics'!$B$22*'Underlying Mechanics'!$B$17,0)-IF(O$1&gt;0,'Underlying Mechanics'!$B$12*'Underlying Mechanics'!$B$18,0)</x:f>
        <x:v>31500</x:v>
      </x:c>
      <x:c r="P123" t="n">
        <x:f>((IF(P$1-'Underlying Mechanics'!$B$8&lt;0,0,'Underlying Mechanics'!$B$22*'Underlying Mechanics'!$B$15*INDEX('Underlying Mechanics'!$B$31:$B$51,P$1-'Underlying Mechanics'!$B$8+1)*'Underlying Mechanics'!$B$5))*(1-$A123))-IF(P$1=0,'Underlying Mechanics'!$B$23*(1-$B123),0)-IF(P$1&gt;0,'Underlying Mechanics'!$B$22*'Underlying Mechanics'!$B$17,0)-IF(P$1&gt;0,'Underlying Mechanics'!$B$12*'Underlying Mechanics'!$B$18,0)</x:f>
        <x:v>37500</x:v>
      </x:c>
      <x:c r="Q123" t="n">
        <x:f>((IF(Q$1-'Underlying Mechanics'!$B$8&lt;0,0,'Underlying Mechanics'!$B$22*'Underlying Mechanics'!$B$15*INDEX('Underlying Mechanics'!$B$31:$B$51,Q$1-'Underlying Mechanics'!$B$8+1)*'Underlying Mechanics'!$B$5))*(1-$A123))-IF(Q$1=0,'Underlying Mechanics'!$B$23*(1-$B123),0)-IF(Q$1&gt;0,'Underlying Mechanics'!$B$22*'Underlying Mechanics'!$B$17,0)-IF(Q$1&gt;0,'Underlying Mechanics'!$B$12*'Underlying Mechanics'!$B$18,0)</x:f>
        <x:v>37500</x:v>
      </x:c>
      <x:c r="R123" t="n">
        <x:f>((IF(R$1-'Underlying Mechanics'!$B$8&lt;0,0,'Underlying Mechanics'!$B$22*'Underlying Mechanics'!$B$15*INDEX('Underlying Mechanics'!$B$31:$B$51,R$1-'Underlying Mechanics'!$B$8+1)*'Underlying Mechanics'!$B$5))*(1-$A123))-IF(R$1=0,'Underlying Mechanics'!$B$23*(1-$B123),0)-IF(R$1&gt;0,'Underlying Mechanics'!$B$22*'Underlying Mechanics'!$B$17,0)-IF(R$1&gt;0,'Underlying Mechanics'!$B$12*'Underlying Mechanics'!$B$18,0)</x:f>
        <x:v>37500</x:v>
      </x:c>
      <x:c r="S123" t="n">
        <x:f>((IF(S$1-'Underlying Mechanics'!$B$8&lt;0,0,'Underlying Mechanics'!$B$22*'Underlying Mechanics'!$B$15*INDEX('Underlying Mechanics'!$B$31:$B$51,S$1-'Underlying Mechanics'!$B$8+1)*'Underlying Mechanics'!$B$5))*(1-$A123))-IF(S$1=0,'Underlying Mechanics'!$B$23*(1-$B123),0)-IF(S$1&gt;0,'Underlying Mechanics'!$B$22*'Underlying Mechanics'!$B$17,0)-IF(S$1&gt;0,'Underlying Mechanics'!$B$12*'Underlying Mechanics'!$B$18,0)</x:f>
        <x:v>37500</x:v>
      </x:c>
      <x:c r="T123" t="n">
        <x:f>((IF(T$1-'Underlying Mechanics'!$B$8&lt;0,0,'Underlying Mechanics'!$B$22*'Underlying Mechanics'!$B$15*INDEX('Underlying Mechanics'!$B$31:$B$51,T$1-'Underlying Mechanics'!$B$8+1)*'Underlying Mechanics'!$B$5))*(1-$A123))-IF(T$1=0,'Underlying Mechanics'!$B$23*(1-$B123),0)-IF(T$1&gt;0,'Underlying Mechanics'!$B$22*'Underlying Mechanics'!$B$17,0)-IF(T$1&gt;0,'Underlying Mechanics'!$B$12*'Underlying Mechanics'!$B$18,0)</x:f>
        <x:v>37500</x:v>
      </x:c>
      <x:c r="U123" t="n">
        <x:f>((IF(U$1-'Underlying Mechanics'!$B$8&lt;0,0,'Underlying Mechanics'!$B$22*'Underlying Mechanics'!$B$15*INDEX('Underlying Mechanics'!$B$31:$B$51,U$1-'Underlying Mechanics'!$B$8+1)*'Underlying Mechanics'!$B$5))*(1-$A123))-IF(U$1=0,'Underlying Mechanics'!$B$23*(1-$B123),0)-IF(U$1&gt;0,'Underlying Mechanics'!$B$22*'Underlying Mechanics'!$B$17,0)-IF(U$1&gt;0,'Underlying Mechanics'!$B$12*'Underlying Mechanics'!$B$18,0)</x:f>
        <x:v>37500</x:v>
      </x:c>
      <x:c r="V123" t="n">
        <x:f>((IF(V$1-'Underlying Mechanics'!$B$8&lt;0,0,'Underlying Mechanics'!$B$22*'Underlying Mechanics'!$B$15*INDEX('Underlying Mechanics'!$B$31:$B$51,V$1-'Underlying Mechanics'!$B$8+1)*'Underlying Mechanics'!$B$5))*(1-$A123))-IF(V$1=0,'Underlying Mechanics'!$B$23*(1-$B123),0)-IF(V$1&gt;0,'Underlying Mechanics'!$B$22*'Underlying Mechanics'!$B$17,0)-IF(V$1&gt;0,'Underlying Mechanics'!$B$12*'Underlying Mechanics'!$B$18,0)</x:f>
        <x:v>37500</x:v>
      </x:c>
      <x:c r="W123" t="n">
        <x:f>((IF(W$1-'Underlying Mechanics'!$B$8&lt;0,0,'Underlying Mechanics'!$B$22*'Underlying Mechanics'!$B$15*INDEX('Underlying Mechanics'!$B$31:$B$51,W$1-'Underlying Mechanics'!$B$8+1)*'Underlying Mechanics'!$B$5))*(1-$A123))-IF(W$1=0,'Underlying Mechanics'!$B$23*(1-$B123),0)-IF(W$1&gt;0,'Underlying Mechanics'!$B$22*'Underlying Mechanics'!$B$17,0)-IF(W$1&gt;0,'Underlying Mechanics'!$B$12*'Underlying Mechanics'!$B$18,0)</x:f>
        <x:v>37500</x:v>
      </x:c>
      <x:c r="X123" t="n">
        <x:f>IFERROR(IRR(C123:W123),-1)</x:f>
        <x:v>0.07997745975699966</x:v>
      </x:c>
    </x:row>
    <x:row r="124">
      <x:c r="A124" t="n">
        <x:v>0.5</x:v>
      </x:c>
      <x:c r="B124" t="n">
        <x:v>0.85</x:v>
      </x:c>
      <x:c r="C124" t="n">
        <x:f>((IF(C$1-'Underlying Mechanics'!$B$8&lt;0,0,'Underlying Mechanics'!$B$22*'Underlying Mechanics'!$B$15*INDEX('Underlying Mechanics'!$B$31:$B$51,C$1-'Underlying Mechanics'!$B$8+1)*'Underlying Mechanics'!$B$5))*(1-$A124))-IF(C$1=0,'Underlying Mechanics'!$B$23*(1-$B124),0)-IF(C$1&gt;0,'Underlying Mechanics'!$B$22*'Underlying Mechanics'!$B$17,0)-IF(C$1&gt;0,'Underlying Mechanics'!$B$12*'Underlying Mechanics'!$B$18,0)</x:f>
        <x:v>-22500.000000000004</x:v>
      </x:c>
      <x:c r="D124" t="n">
        <x:f>((IF(D$1-'Underlying Mechanics'!$B$8&lt;0,0,'Underlying Mechanics'!$B$22*'Underlying Mechanics'!$B$15*INDEX('Underlying Mechanics'!$B$31:$B$51,D$1-'Underlying Mechanics'!$B$8+1)*'Underlying Mechanics'!$B$5))*(1-$A124))-IF(D$1=0,'Underlying Mechanics'!$B$23*(1-$B124),0)-IF(D$1&gt;0,'Underlying Mechanics'!$B$22*'Underlying Mechanics'!$B$17,0)-IF(D$1&gt;0,'Underlying Mechanics'!$B$12*'Underlying Mechanics'!$B$18,0)</x:f>
        <x:v>-22500</x:v>
      </x:c>
      <x:c r="E124" t="n">
        <x:f>((IF(E$1-'Underlying Mechanics'!$B$8&lt;0,0,'Underlying Mechanics'!$B$22*'Underlying Mechanics'!$B$15*INDEX('Underlying Mechanics'!$B$31:$B$51,E$1-'Underlying Mechanics'!$B$8+1)*'Underlying Mechanics'!$B$5))*(1-$A124))-IF(E$1=0,'Underlying Mechanics'!$B$23*(1-$B124),0)-IF(E$1&gt;0,'Underlying Mechanics'!$B$22*'Underlying Mechanics'!$B$17,0)-IF(E$1&gt;0,'Underlying Mechanics'!$B$12*'Underlying Mechanics'!$B$18,0)</x:f>
        <x:v>-22500</x:v>
      </x:c>
      <x:c r="F124" t="n">
        <x:f>((IF(F$1-'Underlying Mechanics'!$B$8&lt;0,0,'Underlying Mechanics'!$B$22*'Underlying Mechanics'!$B$15*INDEX('Underlying Mechanics'!$B$31:$B$51,F$1-'Underlying Mechanics'!$B$8+1)*'Underlying Mechanics'!$B$5))*(1-$A124))-IF(F$1=0,'Underlying Mechanics'!$B$23*(1-$B124),0)-IF(F$1&gt;0,'Underlying Mechanics'!$B$22*'Underlying Mechanics'!$B$17,0)-IF(F$1&gt;0,'Underlying Mechanics'!$B$12*'Underlying Mechanics'!$B$18,0)</x:f>
        <x:v>-21300</x:v>
      </x:c>
      <x:c r="G124" t="n">
        <x:f>((IF(G$1-'Underlying Mechanics'!$B$8&lt;0,0,'Underlying Mechanics'!$B$22*'Underlying Mechanics'!$B$15*INDEX('Underlying Mechanics'!$B$31:$B$51,G$1-'Underlying Mechanics'!$B$8+1)*'Underlying Mechanics'!$B$5))*(1-$A124))-IF(G$1=0,'Underlying Mechanics'!$B$23*(1-$B124),0)-IF(G$1&gt;0,'Underlying Mechanics'!$B$22*'Underlying Mechanics'!$B$17,0)-IF(G$1&gt;0,'Underlying Mechanics'!$B$12*'Underlying Mechanics'!$B$18,0)</x:f>
        <x:v>-19500</x:v>
      </x:c>
      <x:c r="H124" t="n">
        <x:f>((IF(H$1-'Underlying Mechanics'!$B$8&lt;0,0,'Underlying Mechanics'!$B$22*'Underlying Mechanics'!$B$15*INDEX('Underlying Mechanics'!$B$31:$B$51,H$1-'Underlying Mechanics'!$B$8+1)*'Underlying Mechanics'!$B$5))*(1-$A124))-IF(H$1=0,'Underlying Mechanics'!$B$23*(1-$B124),0)-IF(H$1&gt;0,'Underlying Mechanics'!$B$22*'Underlying Mechanics'!$B$17,0)-IF(H$1&gt;0,'Underlying Mechanics'!$B$12*'Underlying Mechanics'!$B$18,0)</x:f>
        <x:v>-16500</x:v>
      </x:c>
      <x:c r="I124" t="n">
        <x:f>((IF(I$1-'Underlying Mechanics'!$B$8&lt;0,0,'Underlying Mechanics'!$B$22*'Underlying Mechanics'!$B$15*INDEX('Underlying Mechanics'!$B$31:$B$51,I$1-'Underlying Mechanics'!$B$8+1)*'Underlying Mechanics'!$B$5))*(1-$A124))-IF(I$1=0,'Underlying Mechanics'!$B$23*(1-$B124),0)-IF(I$1&gt;0,'Underlying Mechanics'!$B$22*'Underlying Mechanics'!$B$17,0)-IF(I$1&gt;0,'Underlying Mechanics'!$B$12*'Underlying Mechanics'!$B$18,0)</x:f>
        <x:v>-11700</x:v>
      </x:c>
      <x:c r="J124" t="n">
        <x:f>((IF(J$1-'Underlying Mechanics'!$B$8&lt;0,0,'Underlying Mechanics'!$B$22*'Underlying Mechanics'!$B$15*INDEX('Underlying Mechanics'!$B$31:$B$51,J$1-'Underlying Mechanics'!$B$8+1)*'Underlying Mechanics'!$B$5))*(1-$A124))-IF(J$1=0,'Underlying Mechanics'!$B$23*(1-$B124),0)-IF(J$1&gt;0,'Underlying Mechanics'!$B$22*'Underlying Mechanics'!$B$17,0)-IF(J$1&gt;0,'Underlying Mechanics'!$B$12*'Underlying Mechanics'!$B$18,0)</x:f>
        <x:v>-5699.999999999996</x:v>
      </x:c>
      <x:c r="K124" t="n">
        <x:f>((IF(K$1-'Underlying Mechanics'!$B$8&lt;0,0,'Underlying Mechanics'!$B$22*'Underlying Mechanics'!$B$15*INDEX('Underlying Mechanics'!$B$31:$B$51,K$1-'Underlying Mechanics'!$B$8+1)*'Underlying Mechanics'!$B$5))*(1-$A124))-IF(K$1=0,'Underlying Mechanics'!$B$23*(1-$B124),0)-IF(K$1&gt;0,'Underlying Mechanics'!$B$22*'Underlying Mechanics'!$B$17,0)-IF(K$1&gt;0,'Underlying Mechanics'!$B$12*'Underlying Mechanics'!$B$18,0)</x:f>
        <x:v>1500</x:v>
      </x:c>
      <x:c r="L124" t="n">
        <x:f>((IF(L$1-'Underlying Mechanics'!$B$8&lt;0,0,'Underlying Mechanics'!$B$22*'Underlying Mechanics'!$B$15*INDEX('Underlying Mechanics'!$B$31:$B$51,L$1-'Underlying Mechanics'!$B$8+1)*'Underlying Mechanics'!$B$5))*(1-$A124))-IF(L$1=0,'Underlying Mechanics'!$B$23*(1-$B124),0)-IF(L$1&gt;0,'Underlying Mechanics'!$B$22*'Underlying Mechanics'!$B$17,0)-IF(L$1&gt;0,'Underlying Mechanics'!$B$12*'Underlying Mechanics'!$B$18,0)</x:f>
        <x:v>9900</x:v>
      </x:c>
      <x:c r="M124" t="n">
        <x:f>((IF(M$1-'Underlying Mechanics'!$B$8&lt;0,0,'Underlying Mechanics'!$B$22*'Underlying Mechanics'!$B$15*INDEX('Underlying Mechanics'!$B$31:$B$51,M$1-'Underlying Mechanics'!$B$8+1)*'Underlying Mechanics'!$B$5))*(1-$A124))-IF(M$1=0,'Underlying Mechanics'!$B$23*(1-$B124),0)-IF(M$1&gt;0,'Underlying Mechanics'!$B$22*'Underlying Mechanics'!$B$17,0)-IF(M$1&gt;0,'Underlying Mechanics'!$B$12*'Underlying Mechanics'!$B$18,0)</x:f>
        <x:v>18300.000000000007</x:v>
      </x:c>
      <x:c r="N124" t="n">
        <x:f>((IF(N$1-'Underlying Mechanics'!$B$8&lt;0,0,'Underlying Mechanics'!$B$22*'Underlying Mechanics'!$B$15*INDEX('Underlying Mechanics'!$B$31:$B$51,N$1-'Underlying Mechanics'!$B$8+1)*'Underlying Mechanics'!$B$5))*(1-$A124))-IF(N$1=0,'Underlying Mechanics'!$B$23*(1-$B124),0)-IF(N$1&gt;0,'Underlying Mechanics'!$B$22*'Underlying Mechanics'!$B$17,0)-IF(N$1&gt;0,'Underlying Mechanics'!$B$12*'Underlying Mechanics'!$B$18,0)</x:f>
        <x:v>25500</x:v>
      </x:c>
      <x:c r="O124" t="n">
        <x:f>((IF(O$1-'Underlying Mechanics'!$B$8&lt;0,0,'Underlying Mechanics'!$B$22*'Underlying Mechanics'!$B$15*INDEX('Underlying Mechanics'!$B$31:$B$51,O$1-'Underlying Mechanics'!$B$8+1)*'Underlying Mechanics'!$B$5))*(1-$A124))-IF(O$1=0,'Underlying Mechanics'!$B$23*(1-$B124),0)-IF(O$1&gt;0,'Underlying Mechanics'!$B$22*'Underlying Mechanics'!$B$17,0)-IF(O$1&gt;0,'Underlying Mechanics'!$B$12*'Underlying Mechanics'!$B$18,0)</x:f>
        <x:v>31500</x:v>
      </x:c>
      <x:c r="P124" t="n">
        <x:f>((IF(P$1-'Underlying Mechanics'!$B$8&lt;0,0,'Underlying Mechanics'!$B$22*'Underlying Mechanics'!$B$15*INDEX('Underlying Mechanics'!$B$31:$B$51,P$1-'Underlying Mechanics'!$B$8+1)*'Underlying Mechanics'!$B$5))*(1-$A124))-IF(P$1=0,'Underlying Mechanics'!$B$23*(1-$B124),0)-IF(P$1&gt;0,'Underlying Mechanics'!$B$22*'Underlying Mechanics'!$B$17,0)-IF(P$1&gt;0,'Underlying Mechanics'!$B$12*'Underlying Mechanics'!$B$18,0)</x:f>
        <x:v>37500</x:v>
      </x:c>
      <x:c r="Q124" t="n">
        <x:f>((IF(Q$1-'Underlying Mechanics'!$B$8&lt;0,0,'Underlying Mechanics'!$B$22*'Underlying Mechanics'!$B$15*INDEX('Underlying Mechanics'!$B$31:$B$51,Q$1-'Underlying Mechanics'!$B$8+1)*'Underlying Mechanics'!$B$5))*(1-$A124))-IF(Q$1=0,'Underlying Mechanics'!$B$23*(1-$B124),0)-IF(Q$1&gt;0,'Underlying Mechanics'!$B$22*'Underlying Mechanics'!$B$17,0)-IF(Q$1&gt;0,'Underlying Mechanics'!$B$12*'Underlying Mechanics'!$B$18,0)</x:f>
        <x:v>37500</x:v>
      </x:c>
      <x:c r="R124" t="n">
        <x:f>((IF(R$1-'Underlying Mechanics'!$B$8&lt;0,0,'Underlying Mechanics'!$B$22*'Underlying Mechanics'!$B$15*INDEX('Underlying Mechanics'!$B$31:$B$51,R$1-'Underlying Mechanics'!$B$8+1)*'Underlying Mechanics'!$B$5))*(1-$A124))-IF(R$1=0,'Underlying Mechanics'!$B$23*(1-$B124),0)-IF(R$1&gt;0,'Underlying Mechanics'!$B$22*'Underlying Mechanics'!$B$17,0)-IF(R$1&gt;0,'Underlying Mechanics'!$B$12*'Underlying Mechanics'!$B$18,0)</x:f>
        <x:v>37500</x:v>
      </x:c>
      <x:c r="S124" t="n">
        <x:f>((IF(S$1-'Underlying Mechanics'!$B$8&lt;0,0,'Underlying Mechanics'!$B$22*'Underlying Mechanics'!$B$15*INDEX('Underlying Mechanics'!$B$31:$B$51,S$1-'Underlying Mechanics'!$B$8+1)*'Underlying Mechanics'!$B$5))*(1-$A124))-IF(S$1=0,'Underlying Mechanics'!$B$23*(1-$B124),0)-IF(S$1&gt;0,'Underlying Mechanics'!$B$22*'Underlying Mechanics'!$B$17,0)-IF(S$1&gt;0,'Underlying Mechanics'!$B$12*'Underlying Mechanics'!$B$18,0)</x:f>
        <x:v>37500</x:v>
      </x:c>
      <x:c r="T124" t="n">
        <x:f>((IF(T$1-'Underlying Mechanics'!$B$8&lt;0,0,'Underlying Mechanics'!$B$22*'Underlying Mechanics'!$B$15*INDEX('Underlying Mechanics'!$B$31:$B$51,T$1-'Underlying Mechanics'!$B$8+1)*'Underlying Mechanics'!$B$5))*(1-$A124))-IF(T$1=0,'Underlying Mechanics'!$B$23*(1-$B124),0)-IF(T$1&gt;0,'Underlying Mechanics'!$B$22*'Underlying Mechanics'!$B$17,0)-IF(T$1&gt;0,'Underlying Mechanics'!$B$12*'Underlying Mechanics'!$B$18,0)</x:f>
        <x:v>37500</x:v>
      </x:c>
      <x:c r="U124" t="n">
        <x:f>((IF(U$1-'Underlying Mechanics'!$B$8&lt;0,0,'Underlying Mechanics'!$B$22*'Underlying Mechanics'!$B$15*INDEX('Underlying Mechanics'!$B$31:$B$51,U$1-'Underlying Mechanics'!$B$8+1)*'Underlying Mechanics'!$B$5))*(1-$A124))-IF(U$1=0,'Underlying Mechanics'!$B$23*(1-$B124),0)-IF(U$1&gt;0,'Underlying Mechanics'!$B$22*'Underlying Mechanics'!$B$17,0)-IF(U$1&gt;0,'Underlying Mechanics'!$B$12*'Underlying Mechanics'!$B$18,0)</x:f>
        <x:v>37500</x:v>
      </x:c>
      <x:c r="V124" t="n">
        <x:f>((IF(V$1-'Underlying Mechanics'!$B$8&lt;0,0,'Underlying Mechanics'!$B$22*'Underlying Mechanics'!$B$15*INDEX('Underlying Mechanics'!$B$31:$B$51,V$1-'Underlying Mechanics'!$B$8+1)*'Underlying Mechanics'!$B$5))*(1-$A124))-IF(V$1=0,'Underlying Mechanics'!$B$23*(1-$B124),0)-IF(V$1&gt;0,'Underlying Mechanics'!$B$22*'Underlying Mechanics'!$B$17,0)-IF(V$1&gt;0,'Underlying Mechanics'!$B$12*'Underlying Mechanics'!$B$18,0)</x:f>
        <x:v>37500</x:v>
      </x:c>
      <x:c r="W124" t="n">
        <x:f>((IF(W$1-'Underlying Mechanics'!$B$8&lt;0,0,'Underlying Mechanics'!$B$22*'Underlying Mechanics'!$B$15*INDEX('Underlying Mechanics'!$B$31:$B$51,W$1-'Underlying Mechanics'!$B$8+1)*'Underlying Mechanics'!$B$5))*(1-$A124))-IF(W$1=0,'Underlying Mechanics'!$B$23*(1-$B124),0)-IF(W$1&gt;0,'Underlying Mechanics'!$B$22*'Underlying Mechanics'!$B$17,0)-IF(W$1&gt;0,'Underlying Mechanics'!$B$12*'Underlying Mechanics'!$B$18,0)</x:f>
        <x:v>37500</x:v>
      </x:c>
      <x:c r="X124" t="n">
        <x:f>IFERROR(IRR(C124:W124),-1)</x:f>
        <x:v>0.08566754579152885</x:v>
      </x:c>
    </x:row>
    <x:row r="125">
      <x:c r="A125" t="n">
        <x:v>0.5</x:v>
      </x:c>
      <x:c r="B125" t="n">
        <x:v>0.9</x:v>
      </x:c>
      <x:c r="C125" t="n">
        <x:f>((IF(C$1-'Underlying Mechanics'!$B$8&lt;0,0,'Underlying Mechanics'!$B$22*'Underlying Mechanics'!$B$15*INDEX('Underlying Mechanics'!$B$31:$B$51,C$1-'Underlying Mechanics'!$B$8+1)*'Underlying Mechanics'!$B$5))*(1-$A125))-IF(C$1=0,'Underlying Mechanics'!$B$23*(1-$B125),0)-IF(C$1&gt;0,'Underlying Mechanics'!$B$22*'Underlying Mechanics'!$B$17,0)-IF(C$1&gt;0,'Underlying Mechanics'!$B$12*'Underlying Mechanics'!$B$18,0)</x:f>
        <x:v>-14999.999999999996</x:v>
      </x:c>
      <x:c r="D125" t="n">
        <x:f>((IF(D$1-'Underlying Mechanics'!$B$8&lt;0,0,'Underlying Mechanics'!$B$22*'Underlying Mechanics'!$B$15*INDEX('Underlying Mechanics'!$B$31:$B$51,D$1-'Underlying Mechanics'!$B$8+1)*'Underlying Mechanics'!$B$5))*(1-$A125))-IF(D$1=0,'Underlying Mechanics'!$B$23*(1-$B125),0)-IF(D$1&gt;0,'Underlying Mechanics'!$B$22*'Underlying Mechanics'!$B$17,0)-IF(D$1&gt;0,'Underlying Mechanics'!$B$12*'Underlying Mechanics'!$B$18,0)</x:f>
        <x:v>-22500</x:v>
      </x:c>
      <x:c r="E125" t="n">
        <x:f>((IF(E$1-'Underlying Mechanics'!$B$8&lt;0,0,'Underlying Mechanics'!$B$22*'Underlying Mechanics'!$B$15*INDEX('Underlying Mechanics'!$B$31:$B$51,E$1-'Underlying Mechanics'!$B$8+1)*'Underlying Mechanics'!$B$5))*(1-$A125))-IF(E$1=0,'Underlying Mechanics'!$B$23*(1-$B125),0)-IF(E$1&gt;0,'Underlying Mechanics'!$B$22*'Underlying Mechanics'!$B$17,0)-IF(E$1&gt;0,'Underlying Mechanics'!$B$12*'Underlying Mechanics'!$B$18,0)</x:f>
        <x:v>-22500</x:v>
      </x:c>
      <x:c r="F125" t="n">
        <x:f>((IF(F$1-'Underlying Mechanics'!$B$8&lt;0,0,'Underlying Mechanics'!$B$22*'Underlying Mechanics'!$B$15*INDEX('Underlying Mechanics'!$B$31:$B$51,F$1-'Underlying Mechanics'!$B$8+1)*'Underlying Mechanics'!$B$5))*(1-$A125))-IF(F$1=0,'Underlying Mechanics'!$B$23*(1-$B125),0)-IF(F$1&gt;0,'Underlying Mechanics'!$B$22*'Underlying Mechanics'!$B$17,0)-IF(F$1&gt;0,'Underlying Mechanics'!$B$12*'Underlying Mechanics'!$B$18,0)</x:f>
        <x:v>-21300</x:v>
      </x:c>
      <x:c r="G125" t="n">
        <x:f>((IF(G$1-'Underlying Mechanics'!$B$8&lt;0,0,'Underlying Mechanics'!$B$22*'Underlying Mechanics'!$B$15*INDEX('Underlying Mechanics'!$B$31:$B$51,G$1-'Underlying Mechanics'!$B$8+1)*'Underlying Mechanics'!$B$5))*(1-$A125))-IF(G$1=0,'Underlying Mechanics'!$B$23*(1-$B125),0)-IF(G$1&gt;0,'Underlying Mechanics'!$B$22*'Underlying Mechanics'!$B$17,0)-IF(G$1&gt;0,'Underlying Mechanics'!$B$12*'Underlying Mechanics'!$B$18,0)</x:f>
        <x:v>-19500</x:v>
      </x:c>
      <x:c r="H125" t="n">
        <x:f>((IF(H$1-'Underlying Mechanics'!$B$8&lt;0,0,'Underlying Mechanics'!$B$22*'Underlying Mechanics'!$B$15*INDEX('Underlying Mechanics'!$B$31:$B$51,H$1-'Underlying Mechanics'!$B$8+1)*'Underlying Mechanics'!$B$5))*(1-$A125))-IF(H$1=0,'Underlying Mechanics'!$B$23*(1-$B125),0)-IF(H$1&gt;0,'Underlying Mechanics'!$B$22*'Underlying Mechanics'!$B$17,0)-IF(H$1&gt;0,'Underlying Mechanics'!$B$12*'Underlying Mechanics'!$B$18,0)</x:f>
        <x:v>-16500</x:v>
      </x:c>
      <x:c r="I125" t="n">
        <x:f>((IF(I$1-'Underlying Mechanics'!$B$8&lt;0,0,'Underlying Mechanics'!$B$22*'Underlying Mechanics'!$B$15*INDEX('Underlying Mechanics'!$B$31:$B$51,I$1-'Underlying Mechanics'!$B$8+1)*'Underlying Mechanics'!$B$5))*(1-$A125))-IF(I$1=0,'Underlying Mechanics'!$B$23*(1-$B125),0)-IF(I$1&gt;0,'Underlying Mechanics'!$B$22*'Underlying Mechanics'!$B$17,0)-IF(I$1&gt;0,'Underlying Mechanics'!$B$12*'Underlying Mechanics'!$B$18,0)</x:f>
        <x:v>-11700</x:v>
      </x:c>
      <x:c r="J125" t="n">
        <x:f>((IF(J$1-'Underlying Mechanics'!$B$8&lt;0,0,'Underlying Mechanics'!$B$22*'Underlying Mechanics'!$B$15*INDEX('Underlying Mechanics'!$B$31:$B$51,J$1-'Underlying Mechanics'!$B$8+1)*'Underlying Mechanics'!$B$5))*(1-$A125))-IF(J$1=0,'Underlying Mechanics'!$B$23*(1-$B125),0)-IF(J$1&gt;0,'Underlying Mechanics'!$B$22*'Underlying Mechanics'!$B$17,0)-IF(J$1&gt;0,'Underlying Mechanics'!$B$12*'Underlying Mechanics'!$B$18,0)</x:f>
        <x:v>-5699.999999999996</x:v>
      </x:c>
      <x:c r="K125" t="n">
        <x:f>((IF(K$1-'Underlying Mechanics'!$B$8&lt;0,0,'Underlying Mechanics'!$B$22*'Underlying Mechanics'!$B$15*INDEX('Underlying Mechanics'!$B$31:$B$51,K$1-'Underlying Mechanics'!$B$8+1)*'Underlying Mechanics'!$B$5))*(1-$A125))-IF(K$1=0,'Underlying Mechanics'!$B$23*(1-$B125),0)-IF(K$1&gt;0,'Underlying Mechanics'!$B$22*'Underlying Mechanics'!$B$17,0)-IF(K$1&gt;0,'Underlying Mechanics'!$B$12*'Underlying Mechanics'!$B$18,0)</x:f>
        <x:v>1500</x:v>
      </x:c>
      <x:c r="L125" t="n">
        <x:f>((IF(L$1-'Underlying Mechanics'!$B$8&lt;0,0,'Underlying Mechanics'!$B$22*'Underlying Mechanics'!$B$15*INDEX('Underlying Mechanics'!$B$31:$B$51,L$1-'Underlying Mechanics'!$B$8+1)*'Underlying Mechanics'!$B$5))*(1-$A125))-IF(L$1=0,'Underlying Mechanics'!$B$23*(1-$B125),0)-IF(L$1&gt;0,'Underlying Mechanics'!$B$22*'Underlying Mechanics'!$B$17,0)-IF(L$1&gt;0,'Underlying Mechanics'!$B$12*'Underlying Mechanics'!$B$18,0)</x:f>
        <x:v>9900</x:v>
      </x:c>
      <x:c r="M125" t="n">
        <x:f>((IF(M$1-'Underlying Mechanics'!$B$8&lt;0,0,'Underlying Mechanics'!$B$22*'Underlying Mechanics'!$B$15*INDEX('Underlying Mechanics'!$B$31:$B$51,M$1-'Underlying Mechanics'!$B$8+1)*'Underlying Mechanics'!$B$5))*(1-$A125))-IF(M$1=0,'Underlying Mechanics'!$B$23*(1-$B125),0)-IF(M$1&gt;0,'Underlying Mechanics'!$B$22*'Underlying Mechanics'!$B$17,0)-IF(M$1&gt;0,'Underlying Mechanics'!$B$12*'Underlying Mechanics'!$B$18,0)</x:f>
        <x:v>18300.000000000007</x:v>
      </x:c>
      <x:c r="N125" t="n">
        <x:f>((IF(N$1-'Underlying Mechanics'!$B$8&lt;0,0,'Underlying Mechanics'!$B$22*'Underlying Mechanics'!$B$15*INDEX('Underlying Mechanics'!$B$31:$B$51,N$1-'Underlying Mechanics'!$B$8+1)*'Underlying Mechanics'!$B$5))*(1-$A125))-IF(N$1=0,'Underlying Mechanics'!$B$23*(1-$B125),0)-IF(N$1&gt;0,'Underlying Mechanics'!$B$22*'Underlying Mechanics'!$B$17,0)-IF(N$1&gt;0,'Underlying Mechanics'!$B$12*'Underlying Mechanics'!$B$18,0)</x:f>
        <x:v>25500</x:v>
      </x:c>
      <x:c r="O125" t="n">
        <x:f>((IF(O$1-'Underlying Mechanics'!$B$8&lt;0,0,'Underlying Mechanics'!$B$22*'Underlying Mechanics'!$B$15*INDEX('Underlying Mechanics'!$B$31:$B$51,O$1-'Underlying Mechanics'!$B$8+1)*'Underlying Mechanics'!$B$5))*(1-$A125))-IF(O$1=0,'Underlying Mechanics'!$B$23*(1-$B125),0)-IF(O$1&gt;0,'Underlying Mechanics'!$B$22*'Underlying Mechanics'!$B$17,0)-IF(O$1&gt;0,'Underlying Mechanics'!$B$12*'Underlying Mechanics'!$B$18,0)</x:f>
        <x:v>31500</x:v>
      </x:c>
      <x:c r="P125" t="n">
        <x:f>((IF(P$1-'Underlying Mechanics'!$B$8&lt;0,0,'Underlying Mechanics'!$B$22*'Underlying Mechanics'!$B$15*INDEX('Underlying Mechanics'!$B$31:$B$51,P$1-'Underlying Mechanics'!$B$8+1)*'Underlying Mechanics'!$B$5))*(1-$A125))-IF(P$1=0,'Underlying Mechanics'!$B$23*(1-$B125),0)-IF(P$1&gt;0,'Underlying Mechanics'!$B$22*'Underlying Mechanics'!$B$17,0)-IF(P$1&gt;0,'Underlying Mechanics'!$B$12*'Underlying Mechanics'!$B$18,0)</x:f>
        <x:v>37500</x:v>
      </x:c>
      <x:c r="Q125" t="n">
        <x:f>((IF(Q$1-'Underlying Mechanics'!$B$8&lt;0,0,'Underlying Mechanics'!$B$22*'Underlying Mechanics'!$B$15*INDEX('Underlying Mechanics'!$B$31:$B$51,Q$1-'Underlying Mechanics'!$B$8+1)*'Underlying Mechanics'!$B$5))*(1-$A125))-IF(Q$1=0,'Underlying Mechanics'!$B$23*(1-$B125),0)-IF(Q$1&gt;0,'Underlying Mechanics'!$B$22*'Underlying Mechanics'!$B$17,0)-IF(Q$1&gt;0,'Underlying Mechanics'!$B$12*'Underlying Mechanics'!$B$18,0)</x:f>
        <x:v>37500</x:v>
      </x:c>
      <x:c r="R125" t="n">
        <x:f>((IF(R$1-'Underlying Mechanics'!$B$8&lt;0,0,'Underlying Mechanics'!$B$22*'Underlying Mechanics'!$B$15*INDEX('Underlying Mechanics'!$B$31:$B$51,R$1-'Underlying Mechanics'!$B$8+1)*'Underlying Mechanics'!$B$5))*(1-$A125))-IF(R$1=0,'Underlying Mechanics'!$B$23*(1-$B125),0)-IF(R$1&gt;0,'Underlying Mechanics'!$B$22*'Underlying Mechanics'!$B$17,0)-IF(R$1&gt;0,'Underlying Mechanics'!$B$12*'Underlying Mechanics'!$B$18,0)</x:f>
        <x:v>37500</x:v>
      </x:c>
      <x:c r="S125" t="n">
        <x:f>((IF(S$1-'Underlying Mechanics'!$B$8&lt;0,0,'Underlying Mechanics'!$B$22*'Underlying Mechanics'!$B$15*INDEX('Underlying Mechanics'!$B$31:$B$51,S$1-'Underlying Mechanics'!$B$8+1)*'Underlying Mechanics'!$B$5))*(1-$A125))-IF(S$1=0,'Underlying Mechanics'!$B$23*(1-$B125),0)-IF(S$1&gt;0,'Underlying Mechanics'!$B$22*'Underlying Mechanics'!$B$17,0)-IF(S$1&gt;0,'Underlying Mechanics'!$B$12*'Underlying Mechanics'!$B$18,0)</x:f>
        <x:v>37500</x:v>
      </x:c>
      <x:c r="T125" t="n">
        <x:f>((IF(T$1-'Underlying Mechanics'!$B$8&lt;0,0,'Underlying Mechanics'!$B$22*'Underlying Mechanics'!$B$15*INDEX('Underlying Mechanics'!$B$31:$B$51,T$1-'Underlying Mechanics'!$B$8+1)*'Underlying Mechanics'!$B$5))*(1-$A125))-IF(T$1=0,'Underlying Mechanics'!$B$23*(1-$B125),0)-IF(T$1&gt;0,'Underlying Mechanics'!$B$22*'Underlying Mechanics'!$B$17,0)-IF(T$1&gt;0,'Underlying Mechanics'!$B$12*'Underlying Mechanics'!$B$18,0)</x:f>
        <x:v>37500</x:v>
      </x:c>
      <x:c r="U125" t="n">
        <x:f>((IF(U$1-'Underlying Mechanics'!$B$8&lt;0,0,'Underlying Mechanics'!$B$22*'Underlying Mechanics'!$B$15*INDEX('Underlying Mechanics'!$B$31:$B$51,U$1-'Underlying Mechanics'!$B$8+1)*'Underlying Mechanics'!$B$5))*(1-$A125))-IF(U$1=0,'Underlying Mechanics'!$B$23*(1-$B125),0)-IF(U$1&gt;0,'Underlying Mechanics'!$B$22*'Underlying Mechanics'!$B$17,0)-IF(U$1&gt;0,'Underlying Mechanics'!$B$12*'Underlying Mechanics'!$B$18,0)</x:f>
        <x:v>37500</x:v>
      </x:c>
      <x:c r="V125" t="n">
        <x:f>((IF(V$1-'Underlying Mechanics'!$B$8&lt;0,0,'Underlying Mechanics'!$B$22*'Underlying Mechanics'!$B$15*INDEX('Underlying Mechanics'!$B$31:$B$51,V$1-'Underlying Mechanics'!$B$8+1)*'Underlying Mechanics'!$B$5))*(1-$A125))-IF(V$1=0,'Underlying Mechanics'!$B$23*(1-$B125),0)-IF(V$1&gt;0,'Underlying Mechanics'!$B$22*'Underlying Mechanics'!$B$17,0)-IF(V$1&gt;0,'Underlying Mechanics'!$B$12*'Underlying Mechanics'!$B$18,0)</x:f>
        <x:v>37500</x:v>
      </x:c>
      <x:c r="W125" t="n">
        <x:f>((IF(W$1-'Underlying Mechanics'!$B$8&lt;0,0,'Underlying Mechanics'!$B$22*'Underlying Mechanics'!$B$15*INDEX('Underlying Mechanics'!$B$31:$B$51,W$1-'Underlying Mechanics'!$B$8+1)*'Underlying Mechanics'!$B$5))*(1-$A125))-IF(W$1=0,'Underlying Mechanics'!$B$23*(1-$B125),0)-IF(W$1&gt;0,'Underlying Mechanics'!$B$22*'Underlying Mechanics'!$B$17,0)-IF(W$1&gt;0,'Underlying Mechanics'!$B$12*'Underlying Mechanics'!$B$18,0)</x:f>
        <x:v>37500</x:v>
      </x:c>
      <x:c r="X125" t="n">
        <x:f>IFERROR(IRR(C125:W125),-1)</x:f>
        <x:v>0.09196622549289839</x:v>
      </x:c>
    </x:row>
    <x:row r="126">
      <x:c r="A126" t="n">
        <x:v>0.5</x:v>
      </x:c>
      <x:c r="B126" t="n">
        <x:v>0.95</x:v>
      </x:c>
      <x:c r="C126" t="n">
        <x:f>((IF(C$1-'Underlying Mechanics'!$B$8&lt;0,0,'Underlying Mechanics'!$B$22*'Underlying Mechanics'!$B$15*INDEX('Underlying Mechanics'!$B$31:$B$51,C$1-'Underlying Mechanics'!$B$8+1)*'Underlying Mechanics'!$B$5))*(1-$A126))-IF(C$1=0,'Underlying Mechanics'!$B$23*(1-$B126),0)-IF(C$1&gt;0,'Underlying Mechanics'!$B$22*'Underlying Mechanics'!$B$17,0)-IF(C$1&gt;0,'Underlying Mechanics'!$B$12*'Underlying Mechanics'!$B$18,0)</x:f>
        <x:v>-7500.000000000006</x:v>
      </x:c>
      <x:c r="D126" t="n">
        <x:f>((IF(D$1-'Underlying Mechanics'!$B$8&lt;0,0,'Underlying Mechanics'!$B$22*'Underlying Mechanics'!$B$15*INDEX('Underlying Mechanics'!$B$31:$B$51,D$1-'Underlying Mechanics'!$B$8+1)*'Underlying Mechanics'!$B$5))*(1-$A126))-IF(D$1=0,'Underlying Mechanics'!$B$23*(1-$B126),0)-IF(D$1&gt;0,'Underlying Mechanics'!$B$22*'Underlying Mechanics'!$B$17,0)-IF(D$1&gt;0,'Underlying Mechanics'!$B$12*'Underlying Mechanics'!$B$18,0)</x:f>
        <x:v>-22500</x:v>
      </x:c>
      <x:c r="E126" t="n">
        <x:f>((IF(E$1-'Underlying Mechanics'!$B$8&lt;0,0,'Underlying Mechanics'!$B$22*'Underlying Mechanics'!$B$15*INDEX('Underlying Mechanics'!$B$31:$B$51,E$1-'Underlying Mechanics'!$B$8+1)*'Underlying Mechanics'!$B$5))*(1-$A126))-IF(E$1=0,'Underlying Mechanics'!$B$23*(1-$B126),0)-IF(E$1&gt;0,'Underlying Mechanics'!$B$22*'Underlying Mechanics'!$B$17,0)-IF(E$1&gt;0,'Underlying Mechanics'!$B$12*'Underlying Mechanics'!$B$18,0)</x:f>
        <x:v>-22500</x:v>
      </x:c>
      <x:c r="F126" t="n">
        <x:f>((IF(F$1-'Underlying Mechanics'!$B$8&lt;0,0,'Underlying Mechanics'!$B$22*'Underlying Mechanics'!$B$15*INDEX('Underlying Mechanics'!$B$31:$B$51,F$1-'Underlying Mechanics'!$B$8+1)*'Underlying Mechanics'!$B$5))*(1-$A126))-IF(F$1=0,'Underlying Mechanics'!$B$23*(1-$B126),0)-IF(F$1&gt;0,'Underlying Mechanics'!$B$22*'Underlying Mechanics'!$B$17,0)-IF(F$1&gt;0,'Underlying Mechanics'!$B$12*'Underlying Mechanics'!$B$18,0)</x:f>
        <x:v>-21300</x:v>
      </x:c>
      <x:c r="G126" t="n">
        <x:f>((IF(G$1-'Underlying Mechanics'!$B$8&lt;0,0,'Underlying Mechanics'!$B$22*'Underlying Mechanics'!$B$15*INDEX('Underlying Mechanics'!$B$31:$B$51,G$1-'Underlying Mechanics'!$B$8+1)*'Underlying Mechanics'!$B$5))*(1-$A126))-IF(G$1=0,'Underlying Mechanics'!$B$23*(1-$B126),0)-IF(G$1&gt;0,'Underlying Mechanics'!$B$22*'Underlying Mechanics'!$B$17,0)-IF(G$1&gt;0,'Underlying Mechanics'!$B$12*'Underlying Mechanics'!$B$18,0)</x:f>
        <x:v>-19500</x:v>
      </x:c>
      <x:c r="H126" t="n">
        <x:f>((IF(H$1-'Underlying Mechanics'!$B$8&lt;0,0,'Underlying Mechanics'!$B$22*'Underlying Mechanics'!$B$15*INDEX('Underlying Mechanics'!$B$31:$B$51,H$1-'Underlying Mechanics'!$B$8+1)*'Underlying Mechanics'!$B$5))*(1-$A126))-IF(H$1=0,'Underlying Mechanics'!$B$23*(1-$B126),0)-IF(H$1&gt;0,'Underlying Mechanics'!$B$22*'Underlying Mechanics'!$B$17,0)-IF(H$1&gt;0,'Underlying Mechanics'!$B$12*'Underlying Mechanics'!$B$18,0)</x:f>
        <x:v>-16500</x:v>
      </x:c>
      <x:c r="I126" t="n">
        <x:f>((IF(I$1-'Underlying Mechanics'!$B$8&lt;0,0,'Underlying Mechanics'!$B$22*'Underlying Mechanics'!$B$15*INDEX('Underlying Mechanics'!$B$31:$B$51,I$1-'Underlying Mechanics'!$B$8+1)*'Underlying Mechanics'!$B$5))*(1-$A126))-IF(I$1=0,'Underlying Mechanics'!$B$23*(1-$B126),0)-IF(I$1&gt;0,'Underlying Mechanics'!$B$22*'Underlying Mechanics'!$B$17,0)-IF(I$1&gt;0,'Underlying Mechanics'!$B$12*'Underlying Mechanics'!$B$18,0)</x:f>
        <x:v>-11700</x:v>
      </x:c>
      <x:c r="J126" t="n">
        <x:f>((IF(J$1-'Underlying Mechanics'!$B$8&lt;0,0,'Underlying Mechanics'!$B$22*'Underlying Mechanics'!$B$15*INDEX('Underlying Mechanics'!$B$31:$B$51,J$1-'Underlying Mechanics'!$B$8+1)*'Underlying Mechanics'!$B$5))*(1-$A126))-IF(J$1=0,'Underlying Mechanics'!$B$23*(1-$B126),0)-IF(J$1&gt;0,'Underlying Mechanics'!$B$22*'Underlying Mechanics'!$B$17,0)-IF(J$1&gt;0,'Underlying Mechanics'!$B$12*'Underlying Mechanics'!$B$18,0)</x:f>
        <x:v>-5699.999999999996</x:v>
      </x:c>
      <x:c r="K126" t="n">
        <x:f>((IF(K$1-'Underlying Mechanics'!$B$8&lt;0,0,'Underlying Mechanics'!$B$22*'Underlying Mechanics'!$B$15*INDEX('Underlying Mechanics'!$B$31:$B$51,K$1-'Underlying Mechanics'!$B$8+1)*'Underlying Mechanics'!$B$5))*(1-$A126))-IF(K$1=0,'Underlying Mechanics'!$B$23*(1-$B126),0)-IF(K$1&gt;0,'Underlying Mechanics'!$B$22*'Underlying Mechanics'!$B$17,0)-IF(K$1&gt;0,'Underlying Mechanics'!$B$12*'Underlying Mechanics'!$B$18,0)</x:f>
        <x:v>1500</x:v>
      </x:c>
      <x:c r="L126" t="n">
        <x:f>((IF(L$1-'Underlying Mechanics'!$B$8&lt;0,0,'Underlying Mechanics'!$B$22*'Underlying Mechanics'!$B$15*INDEX('Underlying Mechanics'!$B$31:$B$51,L$1-'Underlying Mechanics'!$B$8+1)*'Underlying Mechanics'!$B$5))*(1-$A126))-IF(L$1=0,'Underlying Mechanics'!$B$23*(1-$B126),0)-IF(L$1&gt;0,'Underlying Mechanics'!$B$22*'Underlying Mechanics'!$B$17,0)-IF(L$1&gt;0,'Underlying Mechanics'!$B$12*'Underlying Mechanics'!$B$18,0)</x:f>
        <x:v>9900</x:v>
      </x:c>
      <x:c r="M126" t="n">
        <x:f>((IF(M$1-'Underlying Mechanics'!$B$8&lt;0,0,'Underlying Mechanics'!$B$22*'Underlying Mechanics'!$B$15*INDEX('Underlying Mechanics'!$B$31:$B$51,M$1-'Underlying Mechanics'!$B$8+1)*'Underlying Mechanics'!$B$5))*(1-$A126))-IF(M$1=0,'Underlying Mechanics'!$B$23*(1-$B126),0)-IF(M$1&gt;0,'Underlying Mechanics'!$B$22*'Underlying Mechanics'!$B$17,0)-IF(M$1&gt;0,'Underlying Mechanics'!$B$12*'Underlying Mechanics'!$B$18,0)</x:f>
        <x:v>18300.000000000007</x:v>
      </x:c>
      <x:c r="N126" t="n">
        <x:f>((IF(N$1-'Underlying Mechanics'!$B$8&lt;0,0,'Underlying Mechanics'!$B$22*'Underlying Mechanics'!$B$15*INDEX('Underlying Mechanics'!$B$31:$B$51,N$1-'Underlying Mechanics'!$B$8+1)*'Underlying Mechanics'!$B$5))*(1-$A126))-IF(N$1=0,'Underlying Mechanics'!$B$23*(1-$B126),0)-IF(N$1&gt;0,'Underlying Mechanics'!$B$22*'Underlying Mechanics'!$B$17,0)-IF(N$1&gt;0,'Underlying Mechanics'!$B$12*'Underlying Mechanics'!$B$18,0)</x:f>
        <x:v>25500</x:v>
      </x:c>
      <x:c r="O126" t="n">
        <x:f>((IF(O$1-'Underlying Mechanics'!$B$8&lt;0,0,'Underlying Mechanics'!$B$22*'Underlying Mechanics'!$B$15*INDEX('Underlying Mechanics'!$B$31:$B$51,O$1-'Underlying Mechanics'!$B$8+1)*'Underlying Mechanics'!$B$5))*(1-$A126))-IF(O$1=0,'Underlying Mechanics'!$B$23*(1-$B126),0)-IF(O$1&gt;0,'Underlying Mechanics'!$B$22*'Underlying Mechanics'!$B$17,0)-IF(O$1&gt;0,'Underlying Mechanics'!$B$12*'Underlying Mechanics'!$B$18,0)</x:f>
        <x:v>31500</x:v>
      </x:c>
      <x:c r="P126" t="n">
        <x:f>((IF(P$1-'Underlying Mechanics'!$B$8&lt;0,0,'Underlying Mechanics'!$B$22*'Underlying Mechanics'!$B$15*INDEX('Underlying Mechanics'!$B$31:$B$51,P$1-'Underlying Mechanics'!$B$8+1)*'Underlying Mechanics'!$B$5))*(1-$A126))-IF(P$1=0,'Underlying Mechanics'!$B$23*(1-$B126),0)-IF(P$1&gt;0,'Underlying Mechanics'!$B$22*'Underlying Mechanics'!$B$17,0)-IF(P$1&gt;0,'Underlying Mechanics'!$B$12*'Underlying Mechanics'!$B$18,0)</x:f>
        <x:v>37500</x:v>
      </x:c>
      <x:c r="Q126" t="n">
        <x:f>((IF(Q$1-'Underlying Mechanics'!$B$8&lt;0,0,'Underlying Mechanics'!$B$22*'Underlying Mechanics'!$B$15*INDEX('Underlying Mechanics'!$B$31:$B$51,Q$1-'Underlying Mechanics'!$B$8+1)*'Underlying Mechanics'!$B$5))*(1-$A126))-IF(Q$1=0,'Underlying Mechanics'!$B$23*(1-$B126),0)-IF(Q$1&gt;0,'Underlying Mechanics'!$B$22*'Underlying Mechanics'!$B$17,0)-IF(Q$1&gt;0,'Underlying Mechanics'!$B$12*'Underlying Mechanics'!$B$18,0)</x:f>
        <x:v>37500</x:v>
      </x:c>
      <x:c r="R126" t="n">
        <x:f>((IF(R$1-'Underlying Mechanics'!$B$8&lt;0,0,'Underlying Mechanics'!$B$22*'Underlying Mechanics'!$B$15*INDEX('Underlying Mechanics'!$B$31:$B$51,R$1-'Underlying Mechanics'!$B$8+1)*'Underlying Mechanics'!$B$5))*(1-$A126))-IF(R$1=0,'Underlying Mechanics'!$B$23*(1-$B126),0)-IF(R$1&gt;0,'Underlying Mechanics'!$B$22*'Underlying Mechanics'!$B$17,0)-IF(R$1&gt;0,'Underlying Mechanics'!$B$12*'Underlying Mechanics'!$B$18,0)</x:f>
        <x:v>37500</x:v>
      </x:c>
      <x:c r="S126" t="n">
        <x:f>((IF(S$1-'Underlying Mechanics'!$B$8&lt;0,0,'Underlying Mechanics'!$B$22*'Underlying Mechanics'!$B$15*INDEX('Underlying Mechanics'!$B$31:$B$51,S$1-'Underlying Mechanics'!$B$8+1)*'Underlying Mechanics'!$B$5))*(1-$A126))-IF(S$1=0,'Underlying Mechanics'!$B$23*(1-$B126),0)-IF(S$1&gt;0,'Underlying Mechanics'!$B$22*'Underlying Mechanics'!$B$17,0)-IF(S$1&gt;0,'Underlying Mechanics'!$B$12*'Underlying Mechanics'!$B$18,0)</x:f>
        <x:v>37500</x:v>
      </x:c>
      <x:c r="T126" t="n">
        <x:f>((IF(T$1-'Underlying Mechanics'!$B$8&lt;0,0,'Underlying Mechanics'!$B$22*'Underlying Mechanics'!$B$15*INDEX('Underlying Mechanics'!$B$31:$B$51,T$1-'Underlying Mechanics'!$B$8+1)*'Underlying Mechanics'!$B$5))*(1-$A126))-IF(T$1=0,'Underlying Mechanics'!$B$23*(1-$B126),0)-IF(T$1&gt;0,'Underlying Mechanics'!$B$22*'Underlying Mechanics'!$B$17,0)-IF(T$1&gt;0,'Underlying Mechanics'!$B$12*'Underlying Mechanics'!$B$18,0)</x:f>
        <x:v>37500</x:v>
      </x:c>
      <x:c r="U126" t="n">
        <x:f>((IF(U$1-'Underlying Mechanics'!$B$8&lt;0,0,'Underlying Mechanics'!$B$22*'Underlying Mechanics'!$B$15*INDEX('Underlying Mechanics'!$B$31:$B$51,U$1-'Underlying Mechanics'!$B$8+1)*'Underlying Mechanics'!$B$5))*(1-$A126))-IF(U$1=0,'Underlying Mechanics'!$B$23*(1-$B126),0)-IF(U$1&gt;0,'Underlying Mechanics'!$B$22*'Underlying Mechanics'!$B$17,0)-IF(U$1&gt;0,'Underlying Mechanics'!$B$12*'Underlying Mechanics'!$B$18,0)</x:f>
        <x:v>37500</x:v>
      </x:c>
      <x:c r="V126" t="n">
        <x:f>((IF(V$1-'Underlying Mechanics'!$B$8&lt;0,0,'Underlying Mechanics'!$B$22*'Underlying Mechanics'!$B$15*INDEX('Underlying Mechanics'!$B$31:$B$51,V$1-'Underlying Mechanics'!$B$8+1)*'Underlying Mechanics'!$B$5))*(1-$A126))-IF(V$1=0,'Underlying Mechanics'!$B$23*(1-$B126),0)-IF(V$1&gt;0,'Underlying Mechanics'!$B$22*'Underlying Mechanics'!$B$17,0)-IF(V$1&gt;0,'Underlying Mechanics'!$B$12*'Underlying Mechanics'!$B$18,0)</x:f>
        <x:v>37500</x:v>
      </x:c>
      <x:c r="W126" t="n">
        <x:f>((IF(W$1-'Underlying Mechanics'!$B$8&lt;0,0,'Underlying Mechanics'!$B$22*'Underlying Mechanics'!$B$15*INDEX('Underlying Mechanics'!$B$31:$B$51,W$1-'Underlying Mechanics'!$B$8+1)*'Underlying Mechanics'!$B$5))*(1-$A126))-IF(W$1=0,'Underlying Mechanics'!$B$23*(1-$B126),0)-IF(W$1&gt;0,'Underlying Mechanics'!$B$22*'Underlying Mechanics'!$B$17,0)-IF(W$1&gt;0,'Underlying Mechanics'!$B$12*'Underlying Mechanics'!$B$18,0)</x:f>
        <x:v>37500</x:v>
      </x:c>
      <x:c r="X126" t="n">
        <x:f>IFERROR(IRR(C126:W126),-1)</x:f>
        <x:v>0.0990201554905187</x:v>
      </x:c>
    </x:row>
    <x:row r="127">
      <x:c r="A127" t="n">
        <x:v>0.5</x:v>
      </x:c>
      <x:c r="B127" t="n">
        <x:v>1</x:v>
      </x:c>
      <x:c r="C127" t="n">
        <x:f>((IF(C$1-'Underlying Mechanics'!$B$8&lt;0,0,'Underlying Mechanics'!$B$22*'Underlying Mechanics'!$B$15*INDEX('Underlying Mechanics'!$B$31:$B$51,C$1-'Underlying Mechanics'!$B$8+1)*'Underlying Mechanics'!$B$5))*(1-$A127))-IF(C$1=0,'Underlying Mechanics'!$B$23*(1-$B127),0)-IF(C$1&gt;0,'Underlying Mechanics'!$B$22*'Underlying Mechanics'!$B$17,0)-IF(C$1&gt;0,'Underlying Mechanics'!$B$12*'Underlying Mechanics'!$B$18,0)</x:f>
        <x:v>0</x:v>
      </x:c>
      <x:c r="D127" t="n">
        <x:f>((IF(D$1-'Underlying Mechanics'!$B$8&lt;0,0,'Underlying Mechanics'!$B$22*'Underlying Mechanics'!$B$15*INDEX('Underlying Mechanics'!$B$31:$B$51,D$1-'Underlying Mechanics'!$B$8+1)*'Underlying Mechanics'!$B$5))*(1-$A127))-IF(D$1=0,'Underlying Mechanics'!$B$23*(1-$B127),0)-IF(D$1&gt;0,'Underlying Mechanics'!$B$22*'Underlying Mechanics'!$B$17,0)-IF(D$1&gt;0,'Underlying Mechanics'!$B$12*'Underlying Mechanics'!$B$18,0)</x:f>
        <x:v>-22500</x:v>
      </x:c>
      <x:c r="E127" t="n">
        <x:f>((IF(E$1-'Underlying Mechanics'!$B$8&lt;0,0,'Underlying Mechanics'!$B$22*'Underlying Mechanics'!$B$15*INDEX('Underlying Mechanics'!$B$31:$B$51,E$1-'Underlying Mechanics'!$B$8+1)*'Underlying Mechanics'!$B$5))*(1-$A127))-IF(E$1=0,'Underlying Mechanics'!$B$23*(1-$B127),0)-IF(E$1&gt;0,'Underlying Mechanics'!$B$22*'Underlying Mechanics'!$B$17,0)-IF(E$1&gt;0,'Underlying Mechanics'!$B$12*'Underlying Mechanics'!$B$18,0)</x:f>
        <x:v>-22500</x:v>
      </x:c>
      <x:c r="F127" t="n">
        <x:f>((IF(F$1-'Underlying Mechanics'!$B$8&lt;0,0,'Underlying Mechanics'!$B$22*'Underlying Mechanics'!$B$15*INDEX('Underlying Mechanics'!$B$31:$B$51,F$1-'Underlying Mechanics'!$B$8+1)*'Underlying Mechanics'!$B$5))*(1-$A127))-IF(F$1=0,'Underlying Mechanics'!$B$23*(1-$B127),0)-IF(F$1&gt;0,'Underlying Mechanics'!$B$22*'Underlying Mechanics'!$B$17,0)-IF(F$1&gt;0,'Underlying Mechanics'!$B$12*'Underlying Mechanics'!$B$18,0)</x:f>
        <x:v>-21300</x:v>
      </x:c>
      <x:c r="G127" t="n">
        <x:f>((IF(G$1-'Underlying Mechanics'!$B$8&lt;0,0,'Underlying Mechanics'!$B$22*'Underlying Mechanics'!$B$15*INDEX('Underlying Mechanics'!$B$31:$B$51,G$1-'Underlying Mechanics'!$B$8+1)*'Underlying Mechanics'!$B$5))*(1-$A127))-IF(G$1=0,'Underlying Mechanics'!$B$23*(1-$B127),0)-IF(G$1&gt;0,'Underlying Mechanics'!$B$22*'Underlying Mechanics'!$B$17,0)-IF(G$1&gt;0,'Underlying Mechanics'!$B$12*'Underlying Mechanics'!$B$18,0)</x:f>
        <x:v>-19500</x:v>
      </x:c>
      <x:c r="H127" t="n">
        <x:f>((IF(H$1-'Underlying Mechanics'!$B$8&lt;0,0,'Underlying Mechanics'!$B$22*'Underlying Mechanics'!$B$15*INDEX('Underlying Mechanics'!$B$31:$B$51,H$1-'Underlying Mechanics'!$B$8+1)*'Underlying Mechanics'!$B$5))*(1-$A127))-IF(H$1=0,'Underlying Mechanics'!$B$23*(1-$B127),0)-IF(H$1&gt;0,'Underlying Mechanics'!$B$22*'Underlying Mechanics'!$B$17,0)-IF(H$1&gt;0,'Underlying Mechanics'!$B$12*'Underlying Mechanics'!$B$18,0)</x:f>
        <x:v>-16500</x:v>
      </x:c>
      <x:c r="I127" t="n">
        <x:f>((IF(I$1-'Underlying Mechanics'!$B$8&lt;0,0,'Underlying Mechanics'!$B$22*'Underlying Mechanics'!$B$15*INDEX('Underlying Mechanics'!$B$31:$B$51,I$1-'Underlying Mechanics'!$B$8+1)*'Underlying Mechanics'!$B$5))*(1-$A127))-IF(I$1=0,'Underlying Mechanics'!$B$23*(1-$B127),0)-IF(I$1&gt;0,'Underlying Mechanics'!$B$22*'Underlying Mechanics'!$B$17,0)-IF(I$1&gt;0,'Underlying Mechanics'!$B$12*'Underlying Mechanics'!$B$18,0)</x:f>
        <x:v>-11700</x:v>
      </x:c>
      <x:c r="J127" t="n">
        <x:f>((IF(J$1-'Underlying Mechanics'!$B$8&lt;0,0,'Underlying Mechanics'!$B$22*'Underlying Mechanics'!$B$15*INDEX('Underlying Mechanics'!$B$31:$B$51,J$1-'Underlying Mechanics'!$B$8+1)*'Underlying Mechanics'!$B$5))*(1-$A127))-IF(J$1=0,'Underlying Mechanics'!$B$23*(1-$B127),0)-IF(J$1&gt;0,'Underlying Mechanics'!$B$22*'Underlying Mechanics'!$B$17,0)-IF(J$1&gt;0,'Underlying Mechanics'!$B$12*'Underlying Mechanics'!$B$18,0)</x:f>
        <x:v>-5699.999999999996</x:v>
      </x:c>
      <x:c r="K127" t="n">
        <x:f>((IF(K$1-'Underlying Mechanics'!$B$8&lt;0,0,'Underlying Mechanics'!$B$22*'Underlying Mechanics'!$B$15*INDEX('Underlying Mechanics'!$B$31:$B$51,K$1-'Underlying Mechanics'!$B$8+1)*'Underlying Mechanics'!$B$5))*(1-$A127))-IF(K$1=0,'Underlying Mechanics'!$B$23*(1-$B127),0)-IF(K$1&gt;0,'Underlying Mechanics'!$B$22*'Underlying Mechanics'!$B$17,0)-IF(K$1&gt;0,'Underlying Mechanics'!$B$12*'Underlying Mechanics'!$B$18,0)</x:f>
        <x:v>1500</x:v>
      </x:c>
      <x:c r="L127" t="n">
        <x:f>((IF(L$1-'Underlying Mechanics'!$B$8&lt;0,0,'Underlying Mechanics'!$B$22*'Underlying Mechanics'!$B$15*INDEX('Underlying Mechanics'!$B$31:$B$51,L$1-'Underlying Mechanics'!$B$8+1)*'Underlying Mechanics'!$B$5))*(1-$A127))-IF(L$1=0,'Underlying Mechanics'!$B$23*(1-$B127),0)-IF(L$1&gt;0,'Underlying Mechanics'!$B$22*'Underlying Mechanics'!$B$17,0)-IF(L$1&gt;0,'Underlying Mechanics'!$B$12*'Underlying Mechanics'!$B$18,0)</x:f>
        <x:v>9900</x:v>
      </x:c>
      <x:c r="M127" t="n">
        <x:f>((IF(M$1-'Underlying Mechanics'!$B$8&lt;0,0,'Underlying Mechanics'!$B$22*'Underlying Mechanics'!$B$15*INDEX('Underlying Mechanics'!$B$31:$B$51,M$1-'Underlying Mechanics'!$B$8+1)*'Underlying Mechanics'!$B$5))*(1-$A127))-IF(M$1=0,'Underlying Mechanics'!$B$23*(1-$B127),0)-IF(M$1&gt;0,'Underlying Mechanics'!$B$22*'Underlying Mechanics'!$B$17,0)-IF(M$1&gt;0,'Underlying Mechanics'!$B$12*'Underlying Mechanics'!$B$18,0)</x:f>
        <x:v>18300.000000000007</x:v>
      </x:c>
      <x:c r="N127" t="n">
        <x:f>((IF(N$1-'Underlying Mechanics'!$B$8&lt;0,0,'Underlying Mechanics'!$B$22*'Underlying Mechanics'!$B$15*INDEX('Underlying Mechanics'!$B$31:$B$51,N$1-'Underlying Mechanics'!$B$8+1)*'Underlying Mechanics'!$B$5))*(1-$A127))-IF(N$1=0,'Underlying Mechanics'!$B$23*(1-$B127),0)-IF(N$1&gt;0,'Underlying Mechanics'!$B$22*'Underlying Mechanics'!$B$17,0)-IF(N$1&gt;0,'Underlying Mechanics'!$B$12*'Underlying Mechanics'!$B$18,0)</x:f>
        <x:v>25500</x:v>
      </x:c>
      <x:c r="O127" t="n">
        <x:f>((IF(O$1-'Underlying Mechanics'!$B$8&lt;0,0,'Underlying Mechanics'!$B$22*'Underlying Mechanics'!$B$15*INDEX('Underlying Mechanics'!$B$31:$B$51,O$1-'Underlying Mechanics'!$B$8+1)*'Underlying Mechanics'!$B$5))*(1-$A127))-IF(O$1=0,'Underlying Mechanics'!$B$23*(1-$B127),0)-IF(O$1&gt;0,'Underlying Mechanics'!$B$22*'Underlying Mechanics'!$B$17,0)-IF(O$1&gt;0,'Underlying Mechanics'!$B$12*'Underlying Mechanics'!$B$18,0)</x:f>
        <x:v>31500</x:v>
      </x:c>
      <x:c r="P127" t="n">
        <x:f>((IF(P$1-'Underlying Mechanics'!$B$8&lt;0,0,'Underlying Mechanics'!$B$22*'Underlying Mechanics'!$B$15*INDEX('Underlying Mechanics'!$B$31:$B$51,P$1-'Underlying Mechanics'!$B$8+1)*'Underlying Mechanics'!$B$5))*(1-$A127))-IF(P$1=0,'Underlying Mechanics'!$B$23*(1-$B127),0)-IF(P$1&gt;0,'Underlying Mechanics'!$B$22*'Underlying Mechanics'!$B$17,0)-IF(P$1&gt;0,'Underlying Mechanics'!$B$12*'Underlying Mechanics'!$B$18,0)</x:f>
        <x:v>37500</x:v>
      </x:c>
      <x:c r="Q127" t="n">
        <x:f>((IF(Q$1-'Underlying Mechanics'!$B$8&lt;0,0,'Underlying Mechanics'!$B$22*'Underlying Mechanics'!$B$15*INDEX('Underlying Mechanics'!$B$31:$B$51,Q$1-'Underlying Mechanics'!$B$8+1)*'Underlying Mechanics'!$B$5))*(1-$A127))-IF(Q$1=0,'Underlying Mechanics'!$B$23*(1-$B127),0)-IF(Q$1&gt;0,'Underlying Mechanics'!$B$22*'Underlying Mechanics'!$B$17,0)-IF(Q$1&gt;0,'Underlying Mechanics'!$B$12*'Underlying Mechanics'!$B$18,0)</x:f>
        <x:v>37500</x:v>
      </x:c>
      <x:c r="R127" t="n">
        <x:f>((IF(R$1-'Underlying Mechanics'!$B$8&lt;0,0,'Underlying Mechanics'!$B$22*'Underlying Mechanics'!$B$15*INDEX('Underlying Mechanics'!$B$31:$B$51,R$1-'Underlying Mechanics'!$B$8+1)*'Underlying Mechanics'!$B$5))*(1-$A127))-IF(R$1=0,'Underlying Mechanics'!$B$23*(1-$B127),0)-IF(R$1&gt;0,'Underlying Mechanics'!$B$22*'Underlying Mechanics'!$B$17,0)-IF(R$1&gt;0,'Underlying Mechanics'!$B$12*'Underlying Mechanics'!$B$18,0)</x:f>
        <x:v>37500</x:v>
      </x:c>
      <x:c r="S127" t="n">
        <x:f>((IF(S$1-'Underlying Mechanics'!$B$8&lt;0,0,'Underlying Mechanics'!$B$22*'Underlying Mechanics'!$B$15*INDEX('Underlying Mechanics'!$B$31:$B$51,S$1-'Underlying Mechanics'!$B$8+1)*'Underlying Mechanics'!$B$5))*(1-$A127))-IF(S$1=0,'Underlying Mechanics'!$B$23*(1-$B127),0)-IF(S$1&gt;0,'Underlying Mechanics'!$B$22*'Underlying Mechanics'!$B$17,0)-IF(S$1&gt;0,'Underlying Mechanics'!$B$12*'Underlying Mechanics'!$B$18,0)</x:f>
        <x:v>37500</x:v>
      </x:c>
      <x:c r="T127" t="n">
        <x:f>((IF(T$1-'Underlying Mechanics'!$B$8&lt;0,0,'Underlying Mechanics'!$B$22*'Underlying Mechanics'!$B$15*INDEX('Underlying Mechanics'!$B$31:$B$51,T$1-'Underlying Mechanics'!$B$8+1)*'Underlying Mechanics'!$B$5))*(1-$A127))-IF(T$1=0,'Underlying Mechanics'!$B$23*(1-$B127),0)-IF(T$1&gt;0,'Underlying Mechanics'!$B$22*'Underlying Mechanics'!$B$17,0)-IF(T$1&gt;0,'Underlying Mechanics'!$B$12*'Underlying Mechanics'!$B$18,0)</x:f>
        <x:v>37500</x:v>
      </x:c>
      <x:c r="U127" t="n">
        <x:f>((IF(U$1-'Underlying Mechanics'!$B$8&lt;0,0,'Underlying Mechanics'!$B$22*'Underlying Mechanics'!$B$15*INDEX('Underlying Mechanics'!$B$31:$B$51,U$1-'Underlying Mechanics'!$B$8+1)*'Underlying Mechanics'!$B$5))*(1-$A127))-IF(U$1=0,'Underlying Mechanics'!$B$23*(1-$B127),0)-IF(U$1&gt;0,'Underlying Mechanics'!$B$22*'Underlying Mechanics'!$B$17,0)-IF(U$1&gt;0,'Underlying Mechanics'!$B$12*'Underlying Mechanics'!$B$18,0)</x:f>
        <x:v>37500</x:v>
      </x:c>
      <x:c r="V127" t="n">
        <x:f>((IF(V$1-'Underlying Mechanics'!$B$8&lt;0,0,'Underlying Mechanics'!$B$22*'Underlying Mechanics'!$B$15*INDEX('Underlying Mechanics'!$B$31:$B$51,V$1-'Underlying Mechanics'!$B$8+1)*'Underlying Mechanics'!$B$5))*(1-$A127))-IF(V$1=0,'Underlying Mechanics'!$B$23*(1-$B127),0)-IF(V$1&gt;0,'Underlying Mechanics'!$B$22*'Underlying Mechanics'!$B$17,0)-IF(V$1&gt;0,'Underlying Mechanics'!$B$12*'Underlying Mechanics'!$B$18,0)</x:f>
        <x:v>37500</x:v>
      </x:c>
      <x:c r="W127" t="n">
        <x:f>((IF(W$1-'Underlying Mechanics'!$B$8&lt;0,0,'Underlying Mechanics'!$B$22*'Underlying Mechanics'!$B$15*INDEX('Underlying Mechanics'!$B$31:$B$51,W$1-'Underlying Mechanics'!$B$8+1)*'Underlying Mechanics'!$B$5))*(1-$A127))-IF(W$1=0,'Underlying Mechanics'!$B$23*(1-$B127),0)-IF(W$1&gt;0,'Underlying Mechanics'!$B$22*'Underlying Mechanics'!$B$17,0)-IF(W$1&gt;0,'Underlying Mechanics'!$B$12*'Underlying Mechanics'!$B$18,0)</x:f>
        <x:v>37500</x:v>
      </x:c>
      <x:c r="X127" t="n">
        <x:f>IFERROR(IRR(C127:W127),-1)</x:f>
        <x:v>0.10703752628820776</x:v>
      </x:c>
    </x:row>
    <x:row r="128">
      <x:c r="A128" t="n">
        <x:v>0.6</x:v>
      </x:c>
      <x:c r="B128" t="n">
        <x:v>0</x:v>
      </x:c>
      <x:c r="C128" t="n">
        <x:f>((IF(C$1-'Underlying Mechanics'!$B$8&lt;0,0,'Underlying Mechanics'!$B$22*'Underlying Mechanics'!$B$15*INDEX('Underlying Mechanics'!$B$31:$B$51,C$1-'Underlying Mechanics'!$B$8+1)*'Underlying Mechanics'!$B$5))*(1-$A128))-IF(C$1=0,'Underlying Mechanics'!$B$23*(1-$B128),0)-IF(C$1&gt;0,'Underlying Mechanics'!$B$22*'Underlying Mechanics'!$B$17,0)-IF(C$1&gt;0,'Underlying Mechanics'!$B$12*'Underlying Mechanics'!$B$18,0)</x:f>
        <x:v>-150000</x:v>
      </x:c>
      <x:c r="D128" t="n">
        <x:f>((IF(D$1-'Underlying Mechanics'!$B$8&lt;0,0,'Underlying Mechanics'!$B$22*'Underlying Mechanics'!$B$15*INDEX('Underlying Mechanics'!$B$31:$B$51,D$1-'Underlying Mechanics'!$B$8+1)*'Underlying Mechanics'!$B$5))*(1-$A128))-IF(D$1=0,'Underlying Mechanics'!$B$23*(1-$B128),0)-IF(D$1&gt;0,'Underlying Mechanics'!$B$22*'Underlying Mechanics'!$B$17,0)-IF(D$1&gt;0,'Underlying Mechanics'!$B$12*'Underlying Mechanics'!$B$18,0)</x:f>
        <x:v>-22500</x:v>
      </x:c>
      <x:c r="E128" t="n">
        <x:f>((IF(E$1-'Underlying Mechanics'!$B$8&lt;0,0,'Underlying Mechanics'!$B$22*'Underlying Mechanics'!$B$15*INDEX('Underlying Mechanics'!$B$31:$B$51,E$1-'Underlying Mechanics'!$B$8+1)*'Underlying Mechanics'!$B$5))*(1-$A128))-IF(E$1=0,'Underlying Mechanics'!$B$23*(1-$B128),0)-IF(E$1&gt;0,'Underlying Mechanics'!$B$22*'Underlying Mechanics'!$B$17,0)-IF(E$1&gt;0,'Underlying Mechanics'!$B$12*'Underlying Mechanics'!$B$18,0)</x:f>
        <x:v>-22500</x:v>
      </x:c>
      <x:c r="F128" t="n">
        <x:f>((IF(F$1-'Underlying Mechanics'!$B$8&lt;0,0,'Underlying Mechanics'!$B$22*'Underlying Mechanics'!$B$15*INDEX('Underlying Mechanics'!$B$31:$B$51,F$1-'Underlying Mechanics'!$B$8+1)*'Underlying Mechanics'!$B$5))*(1-$A128))-IF(F$1=0,'Underlying Mechanics'!$B$23*(1-$B128),0)-IF(F$1&gt;0,'Underlying Mechanics'!$B$22*'Underlying Mechanics'!$B$17,0)-IF(F$1&gt;0,'Underlying Mechanics'!$B$12*'Underlying Mechanics'!$B$18,0)</x:f>
        <x:v>-21540</x:v>
      </x:c>
      <x:c r="G128" t="n">
        <x:f>((IF(G$1-'Underlying Mechanics'!$B$8&lt;0,0,'Underlying Mechanics'!$B$22*'Underlying Mechanics'!$B$15*INDEX('Underlying Mechanics'!$B$31:$B$51,G$1-'Underlying Mechanics'!$B$8+1)*'Underlying Mechanics'!$B$5))*(1-$A128))-IF(G$1=0,'Underlying Mechanics'!$B$23*(1-$B128),0)-IF(G$1&gt;0,'Underlying Mechanics'!$B$22*'Underlying Mechanics'!$B$17,0)-IF(G$1&gt;0,'Underlying Mechanics'!$B$12*'Underlying Mechanics'!$B$18,0)</x:f>
        <x:v>-20100</x:v>
      </x:c>
      <x:c r="H128" t="n">
        <x:f>((IF(H$1-'Underlying Mechanics'!$B$8&lt;0,0,'Underlying Mechanics'!$B$22*'Underlying Mechanics'!$B$15*INDEX('Underlying Mechanics'!$B$31:$B$51,H$1-'Underlying Mechanics'!$B$8+1)*'Underlying Mechanics'!$B$5))*(1-$A128))-IF(H$1=0,'Underlying Mechanics'!$B$23*(1-$B128),0)-IF(H$1&gt;0,'Underlying Mechanics'!$B$22*'Underlying Mechanics'!$B$17,0)-IF(H$1&gt;0,'Underlying Mechanics'!$B$12*'Underlying Mechanics'!$B$18,0)</x:f>
        <x:v>-17700</x:v>
      </x:c>
      <x:c r="I128" t="n">
        <x:f>((IF(I$1-'Underlying Mechanics'!$B$8&lt;0,0,'Underlying Mechanics'!$B$22*'Underlying Mechanics'!$B$15*INDEX('Underlying Mechanics'!$B$31:$B$51,I$1-'Underlying Mechanics'!$B$8+1)*'Underlying Mechanics'!$B$5))*(1-$A128))-IF(I$1=0,'Underlying Mechanics'!$B$23*(1-$B128),0)-IF(I$1&gt;0,'Underlying Mechanics'!$B$22*'Underlying Mechanics'!$B$17,0)-IF(I$1&gt;0,'Underlying Mechanics'!$B$12*'Underlying Mechanics'!$B$18,0)</x:f>
        <x:v>-13860</x:v>
      </x:c>
      <x:c r="J128" t="n">
        <x:f>((IF(J$1-'Underlying Mechanics'!$B$8&lt;0,0,'Underlying Mechanics'!$B$22*'Underlying Mechanics'!$B$15*INDEX('Underlying Mechanics'!$B$31:$B$51,J$1-'Underlying Mechanics'!$B$8+1)*'Underlying Mechanics'!$B$5))*(1-$A128))-IF(J$1=0,'Underlying Mechanics'!$B$23*(1-$B128),0)-IF(J$1&gt;0,'Underlying Mechanics'!$B$22*'Underlying Mechanics'!$B$17,0)-IF(J$1&gt;0,'Underlying Mechanics'!$B$12*'Underlying Mechanics'!$B$18,0)</x:f>
        <x:v>-9059.999999999996</x:v>
      </x:c>
      <x:c r="K128" t="n">
        <x:f>((IF(K$1-'Underlying Mechanics'!$B$8&lt;0,0,'Underlying Mechanics'!$B$22*'Underlying Mechanics'!$B$15*INDEX('Underlying Mechanics'!$B$31:$B$51,K$1-'Underlying Mechanics'!$B$8+1)*'Underlying Mechanics'!$B$5))*(1-$A128))-IF(K$1=0,'Underlying Mechanics'!$B$23*(1-$B128),0)-IF(K$1&gt;0,'Underlying Mechanics'!$B$22*'Underlying Mechanics'!$B$17,0)-IF(K$1&gt;0,'Underlying Mechanics'!$B$12*'Underlying Mechanics'!$B$18,0)</x:f>
        <x:v>-3300</x:v>
      </x:c>
      <x:c r="L128" t="n">
        <x:f>((IF(L$1-'Underlying Mechanics'!$B$8&lt;0,0,'Underlying Mechanics'!$B$22*'Underlying Mechanics'!$B$15*INDEX('Underlying Mechanics'!$B$31:$B$51,L$1-'Underlying Mechanics'!$B$8+1)*'Underlying Mechanics'!$B$5))*(1-$A128))-IF(L$1=0,'Underlying Mechanics'!$B$23*(1-$B128),0)-IF(L$1&gt;0,'Underlying Mechanics'!$B$22*'Underlying Mechanics'!$B$17,0)-IF(L$1&gt;0,'Underlying Mechanics'!$B$12*'Underlying Mechanics'!$B$18,0)</x:f>
        <x:v>3420</x:v>
      </x:c>
      <x:c r="M128" t="n">
        <x:f>((IF(M$1-'Underlying Mechanics'!$B$8&lt;0,0,'Underlying Mechanics'!$B$22*'Underlying Mechanics'!$B$15*INDEX('Underlying Mechanics'!$B$31:$B$51,M$1-'Underlying Mechanics'!$B$8+1)*'Underlying Mechanics'!$B$5))*(1-$A128))-IF(M$1=0,'Underlying Mechanics'!$B$23*(1-$B128),0)-IF(M$1&gt;0,'Underlying Mechanics'!$B$22*'Underlying Mechanics'!$B$17,0)-IF(M$1&gt;0,'Underlying Mechanics'!$B$12*'Underlying Mechanics'!$B$18,0)</x:f>
        <x:v>10140.000000000007</x:v>
      </x:c>
      <x:c r="N128" t="n">
        <x:f>((IF(N$1-'Underlying Mechanics'!$B$8&lt;0,0,'Underlying Mechanics'!$B$22*'Underlying Mechanics'!$B$15*INDEX('Underlying Mechanics'!$B$31:$B$51,N$1-'Underlying Mechanics'!$B$8+1)*'Underlying Mechanics'!$B$5))*(1-$A128))-IF(N$1=0,'Underlying Mechanics'!$B$23*(1-$B128),0)-IF(N$1&gt;0,'Underlying Mechanics'!$B$22*'Underlying Mechanics'!$B$17,0)-IF(N$1&gt;0,'Underlying Mechanics'!$B$12*'Underlying Mechanics'!$B$18,0)</x:f>
        <x:v>15900</x:v>
      </x:c>
      <x:c r="O128" t="n">
        <x:f>((IF(O$1-'Underlying Mechanics'!$B$8&lt;0,0,'Underlying Mechanics'!$B$22*'Underlying Mechanics'!$B$15*INDEX('Underlying Mechanics'!$B$31:$B$51,O$1-'Underlying Mechanics'!$B$8+1)*'Underlying Mechanics'!$B$5))*(1-$A128))-IF(O$1=0,'Underlying Mechanics'!$B$23*(1-$B128),0)-IF(O$1&gt;0,'Underlying Mechanics'!$B$22*'Underlying Mechanics'!$B$17,0)-IF(O$1&gt;0,'Underlying Mechanics'!$B$12*'Underlying Mechanics'!$B$18,0)</x:f>
        <x:v>20700</x:v>
      </x:c>
      <x:c r="P128" t="n">
        <x:f>((IF(P$1-'Underlying Mechanics'!$B$8&lt;0,0,'Underlying Mechanics'!$B$22*'Underlying Mechanics'!$B$15*INDEX('Underlying Mechanics'!$B$31:$B$51,P$1-'Underlying Mechanics'!$B$8+1)*'Underlying Mechanics'!$B$5))*(1-$A128))-IF(P$1=0,'Underlying Mechanics'!$B$23*(1-$B128),0)-IF(P$1&gt;0,'Underlying Mechanics'!$B$22*'Underlying Mechanics'!$B$17,0)-IF(P$1&gt;0,'Underlying Mechanics'!$B$12*'Underlying Mechanics'!$B$18,0)</x:f>
        <x:v>25500</x:v>
      </x:c>
      <x:c r="Q128" t="n">
        <x:f>((IF(Q$1-'Underlying Mechanics'!$B$8&lt;0,0,'Underlying Mechanics'!$B$22*'Underlying Mechanics'!$B$15*INDEX('Underlying Mechanics'!$B$31:$B$51,Q$1-'Underlying Mechanics'!$B$8+1)*'Underlying Mechanics'!$B$5))*(1-$A128))-IF(Q$1=0,'Underlying Mechanics'!$B$23*(1-$B128),0)-IF(Q$1&gt;0,'Underlying Mechanics'!$B$22*'Underlying Mechanics'!$B$17,0)-IF(Q$1&gt;0,'Underlying Mechanics'!$B$12*'Underlying Mechanics'!$B$18,0)</x:f>
        <x:v>25500</x:v>
      </x:c>
      <x:c r="R128" t="n">
        <x:f>((IF(R$1-'Underlying Mechanics'!$B$8&lt;0,0,'Underlying Mechanics'!$B$22*'Underlying Mechanics'!$B$15*INDEX('Underlying Mechanics'!$B$31:$B$51,R$1-'Underlying Mechanics'!$B$8+1)*'Underlying Mechanics'!$B$5))*(1-$A128))-IF(R$1=0,'Underlying Mechanics'!$B$23*(1-$B128),0)-IF(R$1&gt;0,'Underlying Mechanics'!$B$22*'Underlying Mechanics'!$B$17,0)-IF(R$1&gt;0,'Underlying Mechanics'!$B$12*'Underlying Mechanics'!$B$18,0)</x:f>
        <x:v>25500</x:v>
      </x:c>
      <x:c r="S128" t="n">
        <x:f>((IF(S$1-'Underlying Mechanics'!$B$8&lt;0,0,'Underlying Mechanics'!$B$22*'Underlying Mechanics'!$B$15*INDEX('Underlying Mechanics'!$B$31:$B$51,S$1-'Underlying Mechanics'!$B$8+1)*'Underlying Mechanics'!$B$5))*(1-$A128))-IF(S$1=0,'Underlying Mechanics'!$B$23*(1-$B128),0)-IF(S$1&gt;0,'Underlying Mechanics'!$B$22*'Underlying Mechanics'!$B$17,0)-IF(S$1&gt;0,'Underlying Mechanics'!$B$12*'Underlying Mechanics'!$B$18,0)</x:f>
        <x:v>25500</x:v>
      </x:c>
      <x:c r="T128" t="n">
        <x:f>((IF(T$1-'Underlying Mechanics'!$B$8&lt;0,0,'Underlying Mechanics'!$B$22*'Underlying Mechanics'!$B$15*INDEX('Underlying Mechanics'!$B$31:$B$51,T$1-'Underlying Mechanics'!$B$8+1)*'Underlying Mechanics'!$B$5))*(1-$A128))-IF(T$1=0,'Underlying Mechanics'!$B$23*(1-$B128),0)-IF(T$1&gt;0,'Underlying Mechanics'!$B$22*'Underlying Mechanics'!$B$17,0)-IF(T$1&gt;0,'Underlying Mechanics'!$B$12*'Underlying Mechanics'!$B$18,0)</x:f>
        <x:v>25500</x:v>
      </x:c>
      <x:c r="U128" t="n">
        <x:f>((IF(U$1-'Underlying Mechanics'!$B$8&lt;0,0,'Underlying Mechanics'!$B$22*'Underlying Mechanics'!$B$15*INDEX('Underlying Mechanics'!$B$31:$B$51,U$1-'Underlying Mechanics'!$B$8+1)*'Underlying Mechanics'!$B$5))*(1-$A128))-IF(U$1=0,'Underlying Mechanics'!$B$23*(1-$B128),0)-IF(U$1&gt;0,'Underlying Mechanics'!$B$22*'Underlying Mechanics'!$B$17,0)-IF(U$1&gt;0,'Underlying Mechanics'!$B$12*'Underlying Mechanics'!$B$18,0)</x:f>
        <x:v>25500</x:v>
      </x:c>
      <x:c r="V128" t="n">
        <x:f>((IF(V$1-'Underlying Mechanics'!$B$8&lt;0,0,'Underlying Mechanics'!$B$22*'Underlying Mechanics'!$B$15*INDEX('Underlying Mechanics'!$B$31:$B$51,V$1-'Underlying Mechanics'!$B$8+1)*'Underlying Mechanics'!$B$5))*(1-$A128))-IF(V$1=0,'Underlying Mechanics'!$B$23*(1-$B128),0)-IF(V$1&gt;0,'Underlying Mechanics'!$B$22*'Underlying Mechanics'!$B$17,0)-IF(V$1&gt;0,'Underlying Mechanics'!$B$12*'Underlying Mechanics'!$B$18,0)</x:f>
        <x:v>25500</x:v>
      </x:c>
      <x:c r="W128" t="n">
        <x:f>((IF(W$1-'Underlying Mechanics'!$B$8&lt;0,0,'Underlying Mechanics'!$B$22*'Underlying Mechanics'!$B$15*INDEX('Underlying Mechanics'!$B$31:$B$51,W$1-'Underlying Mechanics'!$B$8+1)*'Underlying Mechanics'!$B$5))*(1-$A128))-IF(W$1=0,'Underlying Mechanics'!$B$23*(1-$B128),0)-IF(W$1&gt;0,'Underlying Mechanics'!$B$22*'Underlying Mechanics'!$B$17,0)-IF(W$1&gt;0,'Underlying Mechanics'!$B$12*'Underlying Mechanics'!$B$18,0)</x:f>
        <x:v>25500</x:v>
      </x:c>
      <x:c r="X128" t="n">
        <x:f>IFERROR(IRR(C128:W128),-1)</x:f>
        <x:v>-0.007159412530088638</x:v>
      </x:c>
    </x:row>
    <x:row r="129">
      <x:c r="A129" t="n">
        <x:v>0.6</x:v>
      </x:c>
      <x:c r="B129" t="n">
        <x:v>0.05</x:v>
      </x:c>
      <x:c r="C129" t="n">
        <x:f>((IF(C$1-'Underlying Mechanics'!$B$8&lt;0,0,'Underlying Mechanics'!$B$22*'Underlying Mechanics'!$B$15*INDEX('Underlying Mechanics'!$B$31:$B$51,C$1-'Underlying Mechanics'!$B$8+1)*'Underlying Mechanics'!$B$5))*(1-$A129))-IF(C$1=0,'Underlying Mechanics'!$B$23*(1-$B129),0)-IF(C$1&gt;0,'Underlying Mechanics'!$B$22*'Underlying Mechanics'!$B$17,0)-IF(C$1&gt;0,'Underlying Mechanics'!$B$12*'Underlying Mechanics'!$B$18,0)</x:f>
        <x:v>-142500</x:v>
      </x:c>
      <x:c r="D129" t="n">
        <x:f>((IF(D$1-'Underlying Mechanics'!$B$8&lt;0,0,'Underlying Mechanics'!$B$22*'Underlying Mechanics'!$B$15*INDEX('Underlying Mechanics'!$B$31:$B$51,D$1-'Underlying Mechanics'!$B$8+1)*'Underlying Mechanics'!$B$5))*(1-$A129))-IF(D$1=0,'Underlying Mechanics'!$B$23*(1-$B129),0)-IF(D$1&gt;0,'Underlying Mechanics'!$B$22*'Underlying Mechanics'!$B$17,0)-IF(D$1&gt;0,'Underlying Mechanics'!$B$12*'Underlying Mechanics'!$B$18,0)</x:f>
        <x:v>-22500</x:v>
      </x:c>
      <x:c r="E129" t="n">
        <x:f>((IF(E$1-'Underlying Mechanics'!$B$8&lt;0,0,'Underlying Mechanics'!$B$22*'Underlying Mechanics'!$B$15*INDEX('Underlying Mechanics'!$B$31:$B$51,E$1-'Underlying Mechanics'!$B$8+1)*'Underlying Mechanics'!$B$5))*(1-$A129))-IF(E$1=0,'Underlying Mechanics'!$B$23*(1-$B129),0)-IF(E$1&gt;0,'Underlying Mechanics'!$B$22*'Underlying Mechanics'!$B$17,0)-IF(E$1&gt;0,'Underlying Mechanics'!$B$12*'Underlying Mechanics'!$B$18,0)</x:f>
        <x:v>-22500</x:v>
      </x:c>
      <x:c r="F129" t="n">
        <x:f>((IF(F$1-'Underlying Mechanics'!$B$8&lt;0,0,'Underlying Mechanics'!$B$22*'Underlying Mechanics'!$B$15*INDEX('Underlying Mechanics'!$B$31:$B$51,F$1-'Underlying Mechanics'!$B$8+1)*'Underlying Mechanics'!$B$5))*(1-$A129))-IF(F$1=0,'Underlying Mechanics'!$B$23*(1-$B129),0)-IF(F$1&gt;0,'Underlying Mechanics'!$B$22*'Underlying Mechanics'!$B$17,0)-IF(F$1&gt;0,'Underlying Mechanics'!$B$12*'Underlying Mechanics'!$B$18,0)</x:f>
        <x:v>-21540</x:v>
      </x:c>
      <x:c r="G129" t="n">
        <x:f>((IF(G$1-'Underlying Mechanics'!$B$8&lt;0,0,'Underlying Mechanics'!$B$22*'Underlying Mechanics'!$B$15*INDEX('Underlying Mechanics'!$B$31:$B$51,G$1-'Underlying Mechanics'!$B$8+1)*'Underlying Mechanics'!$B$5))*(1-$A129))-IF(G$1=0,'Underlying Mechanics'!$B$23*(1-$B129),0)-IF(G$1&gt;0,'Underlying Mechanics'!$B$22*'Underlying Mechanics'!$B$17,0)-IF(G$1&gt;0,'Underlying Mechanics'!$B$12*'Underlying Mechanics'!$B$18,0)</x:f>
        <x:v>-20100</x:v>
      </x:c>
      <x:c r="H129" t="n">
        <x:f>((IF(H$1-'Underlying Mechanics'!$B$8&lt;0,0,'Underlying Mechanics'!$B$22*'Underlying Mechanics'!$B$15*INDEX('Underlying Mechanics'!$B$31:$B$51,H$1-'Underlying Mechanics'!$B$8+1)*'Underlying Mechanics'!$B$5))*(1-$A129))-IF(H$1=0,'Underlying Mechanics'!$B$23*(1-$B129),0)-IF(H$1&gt;0,'Underlying Mechanics'!$B$22*'Underlying Mechanics'!$B$17,0)-IF(H$1&gt;0,'Underlying Mechanics'!$B$12*'Underlying Mechanics'!$B$18,0)</x:f>
        <x:v>-17700</x:v>
      </x:c>
      <x:c r="I129" t="n">
        <x:f>((IF(I$1-'Underlying Mechanics'!$B$8&lt;0,0,'Underlying Mechanics'!$B$22*'Underlying Mechanics'!$B$15*INDEX('Underlying Mechanics'!$B$31:$B$51,I$1-'Underlying Mechanics'!$B$8+1)*'Underlying Mechanics'!$B$5))*(1-$A129))-IF(I$1=0,'Underlying Mechanics'!$B$23*(1-$B129),0)-IF(I$1&gt;0,'Underlying Mechanics'!$B$22*'Underlying Mechanics'!$B$17,0)-IF(I$1&gt;0,'Underlying Mechanics'!$B$12*'Underlying Mechanics'!$B$18,0)</x:f>
        <x:v>-13860</x:v>
      </x:c>
      <x:c r="J129" t="n">
        <x:f>((IF(J$1-'Underlying Mechanics'!$B$8&lt;0,0,'Underlying Mechanics'!$B$22*'Underlying Mechanics'!$B$15*INDEX('Underlying Mechanics'!$B$31:$B$51,J$1-'Underlying Mechanics'!$B$8+1)*'Underlying Mechanics'!$B$5))*(1-$A129))-IF(J$1=0,'Underlying Mechanics'!$B$23*(1-$B129),0)-IF(J$1&gt;0,'Underlying Mechanics'!$B$22*'Underlying Mechanics'!$B$17,0)-IF(J$1&gt;0,'Underlying Mechanics'!$B$12*'Underlying Mechanics'!$B$18,0)</x:f>
        <x:v>-9059.999999999996</x:v>
      </x:c>
      <x:c r="K129" t="n">
        <x:f>((IF(K$1-'Underlying Mechanics'!$B$8&lt;0,0,'Underlying Mechanics'!$B$22*'Underlying Mechanics'!$B$15*INDEX('Underlying Mechanics'!$B$31:$B$51,K$1-'Underlying Mechanics'!$B$8+1)*'Underlying Mechanics'!$B$5))*(1-$A129))-IF(K$1=0,'Underlying Mechanics'!$B$23*(1-$B129),0)-IF(K$1&gt;0,'Underlying Mechanics'!$B$22*'Underlying Mechanics'!$B$17,0)-IF(K$1&gt;0,'Underlying Mechanics'!$B$12*'Underlying Mechanics'!$B$18,0)</x:f>
        <x:v>-3300</x:v>
      </x:c>
      <x:c r="L129" t="n">
        <x:f>((IF(L$1-'Underlying Mechanics'!$B$8&lt;0,0,'Underlying Mechanics'!$B$22*'Underlying Mechanics'!$B$15*INDEX('Underlying Mechanics'!$B$31:$B$51,L$1-'Underlying Mechanics'!$B$8+1)*'Underlying Mechanics'!$B$5))*(1-$A129))-IF(L$1=0,'Underlying Mechanics'!$B$23*(1-$B129),0)-IF(L$1&gt;0,'Underlying Mechanics'!$B$22*'Underlying Mechanics'!$B$17,0)-IF(L$1&gt;0,'Underlying Mechanics'!$B$12*'Underlying Mechanics'!$B$18,0)</x:f>
        <x:v>3420</x:v>
      </x:c>
      <x:c r="M129" t="n">
        <x:f>((IF(M$1-'Underlying Mechanics'!$B$8&lt;0,0,'Underlying Mechanics'!$B$22*'Underlying Mechanics'!$B$15*INDEX('Underlying Mechanics'!$B$31:$B$51,M$1-'Underlying Mechanics'!$B$8+1)*'Underlying Mechanics'!$B$5))*(1-$A129))-IF(M$1=0,'Underlying Mechanics'!$B$23*(1-$B129),0)-IF(M$1&gt;0,'Underlying Mechanics'!$B$22*'Underlying Mechanics'!$B$17,0)-IF(M$1&gt;0,'Underlying Mechanics'!$B$12*'Underlying Mechanics'!$B$18,0)</x:f>
        <x:v>10140.000000000007</x:v>
      </x:c>
      <x:c r="N129" t="n">
        <x:f>((IF(N$1-'Underlying Mechanics'!$B$8&lt;0,0,'Underlying Mechanics'!$B$22*'Underlying Mechanics'!$B$15*INDEX('Underlying Mechanics'!$B$31:$B$51,N$1-'Underlying Mechanics'!$B$8+1)*'Underlying Mechanics'!$B$5))*(1-$A129))-IF(N$1=0,'Underlying Mechanics'!$B$23*(1-$B129),0)-IF(N$1&gt;0,'Underlying Mechanics'!$B$22*'Underlying Mechanics'!$B$17,0)-IF(N$1&gt;0,'Underlying Mechanics'!$B$12*'Underlying Mechanics'!$B$18,0)</x:f>
        <x:v>15900</x:v>
      </x:c>
      <x:c r="O129" t="n">
        <x:f>((IF(O$1-'Underlying Mechanics'!$B$8&lt;0,0,'Underlying Mechanics'!$B$22*'Underlying Mechanics'!$B$15*INDEX('Underlying Mechanics'!$B$31:$B$51,O$1-'Underlying Mechanics'!$B$8+1)*'Underlying Mechanics'!$B$5))*(1-$A129))-IF(O$1=0,'Underlying Mechanics'!$B$23*(1-$B129),0)-IF(O$1&gt;0,'Underlying Mechanics'!$B$22*'Underlying Mechanics'!$B$17,0)-IF(O$1&gt;0,'Underlying Mechanics'!$B$12*'Underlying Mechanics'!$B$18,0)</x:f>
        <x:v>20700</x:v>
      </x:c>
      <x:c r="P129" t="n">
        <x:f>((IF(P$1-'Underlying Mechanics'!$B$8&lt;0,0,'Underlying Mechanics'!$B$22*'Underlying Mechanics'!$B$15*INDEX('Underlying Mechanics'!$B$31:$B$51,P$1-'Underlying Mechanics'!$B$8+1)*'Underlying Mechanics'!$B$5))*(1-$A129))-IF(P$1=0,'Underlying Mechanics'!$B$23*(1-$B129),0)-IF(P$1&gt;0,'Underlying Mechanics'!$B$22*'Underlying Mechanics'!$B$17,0)-IF(P$1&gt;0,'Underlying Mechanics'!$B$12*'Underlying Mechanics'!$B$18,0)</x:f>
        <x:v>25500</x:v>
      </x:c>
      <x:c r="Q129" t="n">
        <x:f>((IF(Q$1-'Underlying Mechanics'!$B$8&lt;0,0,'Underlying Mechanics'!$B$22*'Underlying Mechanics'!$B$15*INDEX('Underlying Mechanics'!$B$31:$B$51,Q$1-'Underlying Mechanics'!$B$8+1)*'Underlying Mechanics'!$B$5))*(1-$A129))-IF(Q$1=0,'Underlying Mechanics'!$B$23*(1-$B129),0)-IF(Q$1&gt;0,'Underlying Mechanics'!$B$22*'Underlying Mechanics'!$B$17,0)-IF(Q$1&gt;0,'Underlying Mechanics'!$B$12*'Underlying Mechanics'!$B$18,0)</x:f>
        <x:v>25500</x:v>
      </x:c>
      <x:c r="R129" t="n">
        <x:f>((IF(R$1-'Underlying Mechanics'!$B$8&lt;0,0,'Underlying Mechanics'!$B$22*'Underlying Mechanics'!$B$15*INDEX('Underlying Mechanics'!$B$31:$B$51,R$1-'Underlying Mechanics'!$B$8+1)*'Underlying Mechanics'!$B$5))*(1-$A129))-IF(R$1=0,'Underlying Mechanics'!$B$23*(1-$B129),0)-IF(R$1&gt;0,'Underlying Mechanics'!$B$22*'Underlying Mechanics'!$B$17,0)-IF(R$1&gt;0,'Underlying Mechanics'!$B$12*'Underlying Mechanics'!$B$18,0)</x:f>
        <x:v>25500</x:v>
      </x:c>
      <x:c r="S129" t="n">
        <x:f>((IF(S$1-'Underlying Mechanics'!$B$8&lt;0,0,'Underlying Mechanics'!$B$22*'Underlying Mechanics'!$B$15*INDEX('Underlying Mechanics'!$B$31:$B$51,S$1-'Underlying Mechanics'!$B$8+1)*'Underlying Mechanics'!$B$5))*(1-$A129))-IF(S$1=0,'Underlying Mechanics'!$B$23*(1-$B129),0)-IF(S$1&gt;0,'Underlying Mechanics'!$B$22*'Underlying Mechanics'!$B$17,0)-IF(S$1&gt;0,'Underlying Mechanics'!$B$12*'Underlying Mechanics'!$B$18,0)</x:f>
        <x:v>25500</x:v>
      </x:c>
      <x:c r="T129" t="n">
        <x:f>((IF(T$1-'Underlying Mechanics'!$B$8&lt;0,0,'Underlying Mechanics'!$B$22*'Underlying Mechanics'!$B$15*INDEX('Underlying Mechanics'!$B$31:$B$51,T$1-'Underlying Mechanics'!$B$8+1)*'Underlying Mechanics'!$B$5))*(1-$A129))-IF(T$1=0,'Underlying Mechanics'!$B$23*(1-$B129),0)-IF(T$1&gt;0,'Underlying Mechanics'!$B$22*'Underlying Mechanics'!$B$17,0)-IF(T$1&gt;0,'Underlying Mechanics'!$B$12*'Underlying Mechanics'!$B$18,0)</x:f>
        <x:v>25500</x:v>
      </x:c>
      <x:c r="U129" t="n">
        <x:f>((IF(U$1-'Underlying Mechanics'!$B$8&lt;0,0,'Underlying Mechanics'!$B$22*'Underlying Mechanics'!$B$15*INDEX('Underlying Mechanics'!$B$31:$B$51,U$1-'Underlying Mechanics'!$B$8+1)*'Underlying Mechanics'!$B$5))*(1-$A129))-IF(U$1=0,'Underlying Mechanics'!$B$23*(1-$B129),0)-IF(U$1&gt;0,'Underlying Mechanics'!$B$22*'Underlying Mechanics'!$B$17,0)-IF(U$1&gt;0,'Underlying Mechanics'!$B$12*'Underlying Mechanics'!$B$18,0)</x:f>
        <x:v>25500</x:v>
      </x:c>
      <x:c r="V129" t="n">
        <x:f>((IF(V$1-'Underlying Mechanics'!$B$8&lt;0,0,'Underlying Mechanics'!$B$22*'Underlying Mechanics'!$B$15*INDEX('Underlying Mechanics'!$B$31:$B$51,V$1-'Underlying Mechanics'!$B$8+1)*'Underlying Mechanics'!$B$5))*(1-$A129))-IF(V$1=0,'Underlying Mechanics'!$B$23*(1-$B129),0)-IF(V$1&gt;0,'Underlying Mechanics'!$B$22*'Underlying Mechanics'!$B$17,0)-IF(V$1&gt;0,'Underlying Mechanics'!$B$12*'Underlying Mechanics'!$B$18,0)</x:f>
        <x:v>25500</x:v>
      </x:c>
      <x:c r="W129" t="n">
        <x:f>((IF(W$1-'Underlying Mechanics'!$B$8&lt;0,0,'Underlying Mechanics'!$B$22*'Underlying Mechanics'!$B$15*INDEX('Underlying Mechanics'!$B$31:$B$51,W$1-'Underlying Mechanics'!$B$8+1)*'Underlying Mechanics'!$B$5))*(1-$A129))-IF(W$1=0,'Underlying Mechanics'!$B$23*(1-$B129),0)-IF(W$1&gt;0,'Underlying Mechanics'!$B$22*'Underlying Mechanics'!$B$17,0)-IF(W$1&gt;0,'Underlying Mechanics'!$B$12*'Underlying Mechanics'!$B$18,0)</x:f>
        <x:v>25500</x:v>
      </x:c>
      <x:c r="X129" t="n">
        <x:f>IFERROR(IRR(C129:W129),-1)</x:f>
        <x:v>-0.005220586029211426</x:v>
      </x:c>
    </x:row>
    <x:row r="130">
      <x:c r="A130" t="n">
        <x:v>0.6</x:v>
      </x:c>
      <x:c r="B130" t="n">
        <x:v>0.1</x:v>
      </x:c>
      <x:c r="C130" t="n">
        <x:f>((IF(C$1-'Underlying Mechanics'!$B$8&lt;0,0,'Underlying Mechanics'!$B$22*'Underlying Mechanics'!$B$15*INDEX('Underlying Mechanics'!$B$31:$B$51,C$1-'Underlying Mechanics'!$B$8+1)*'Underlying Mechanics'!$B$5))*(1-$A130))-IF(C$1=0,'Underlying Mechanics'!$B$23*(1-$B130),0)-IF(C$1&gt;0,'Underlying Mechanics'!$B$22*'Underlying Mechanics'!$B$17,0)-IF(C$1&gt;0,'Underlying Mechanics'!$B$12*'Underlying Mechanics'!$B$18,0)</x:f>
        <x:v>-135000</x:v>
      </x:c>
      <x:c r="D130" t="n">
        <x:f>((IF(D$1-'Underlying Mechanics'!$B$8&lt;0,0,'Underlying Mechanics'!$B$22*'Underlying Mechanics'!$B$15*INDEX('Underlying Mechanics'!$B$31:$B$51,D$1-'Underlying Mechanics'!$B$8+1)*'Underlying Mechanics'!$B$5))*(1-$A130))-IF(D$1=0,'Underlying Mechanics'!$B$23*(1-$B130),0)-IF(D$1&gt;0,'Underlying Mechanics'!$B$22*'Underlying Mechanics'!$B$17,0)-IF(D$1&gt;0,'Underlying Mechanics'!$B$12*'Underlying Mechanics'!$B$18,0)</x:f>
        <x:v>-22500</x:v>
      </x:c>
      <x:c r="E130" t="n">
        <x:f>((IF(E$1-'Underlying Mechanics'!$B$8&lt;0,0,'Underlying Mechanics'!$B$22*'Underlying Mechanics'!$B$15*INDEX('Underlying Mechanics'!$B$31:$B$51,E$1-'Underlying Mechanics'!$B$8+1)*'Underlying Mechanics'!$B$5))*(1-$A130))-IF(E$1=0,'Underlying Mechanics'!$B$23*(1-$B130),0)-IF(E$1&gt;0,'Underlying Mechanics'!$B$22*'Underlying Mechanics'!$B$17,0)-IF(E$1&gt;0,'Underlying Mechanics'!$B$12*'Underlying Mechanics'!$B$18,0)</x:f>
        <x:v>-22500</x:v>
      </x:c>
      <x:c r="F130" t="n">
        <x:f>((IF(F$1-'Underlying Mechanics'!$B$8&lt;0,0,'Underlying Mechanics'!$B$22*'Underlying Mechanics'!$B$15*INDEX('Underlying Mechanics'!$B$31:$B$51,F$1-'Underlying Mechanics'!$B$8+1)*'Underlying Mechanics'!$B$5))*(1-$A130))-IF(F$1=0,'Underlying Mechanics'!$B$23*(1-$B130),0)-IF(F$1&gt;0,'Underlying Mechanics'!$B$22*'Underlying Mechanics'!$B$17,0)-IF(F$1&gt;0,'Underlying Mechanics'!$B$12*'Underlying Mechanics'!$B$18,0)</x:f>
        <x:v>-21540</x:v>
      </x:c>
      <x:c r="G130" t="n">
        <x:f>((IF(G$1-'Underlying Mechanics'!$B$8&lt;0,0,'Underlying Mechanics'!$B$22*'Underlying Mechanics'!$B$15*INDEX('Underlying Mechanics'!$B$31:$B$51,G$1-'Underlying Mechanics'!$B$8+1)*'Underlying Mechanics'!$B$5))*(1-$A130))-IF(G$1=0,'Underlying Mechanics'!$B$23*(1-$B130),0)-IF(G$1&gt;0,'Underlying Mechanics'!$B$22*'Underlying Mechanics'!$B$17,0)-IF(G$1&gt;0,'Underlying Mechanics'!$B$12*'Underlying Mechanics'!$B$18,0)</x:f>
        <x:v>-20100</x:v>
      </x:c>
      <x:c r="H130" t="n">
        <x:f>((IF(H$1-'Underlying Mechanics'!$B$8&lt;0,0,'Underlying Mechanics'!$B$22*'Underlying Mechanics'!$B$15*INDEX('Underlying Mechanics'!$B$31:$B$51,H$1-'Underlying Mechanics'!$B$8+1)*'Underlying Mechanics'!$B$5))*(1-$A130))-IF(H$1=0,'Underlying Mechanics'!$B$23*(1-$B130),0)-IF(H$1&gt;0,'Underlying Mechanics'!$B$22*'Underlying Mechanics'!$B$17,0)-IF(H$1&gt;0,'Underlying Mechanics'!$B$12*'Underlying Mechanics'!$B$18,0)</x:f>
        <x:v>-17700</x:v>
      </x:c>
      <x:c r="I130" t="n">
        <x:f>((IF(I$1-'Underlying Mechanics'!$B$8&lt;0,0,'Underlying Mechanics'!$B$22*'Underlying Mechanics'!$B$15*INDEX('Underlying Mechanics'!$B$31:$B$51,I$1-'Underlying Mechanics'!$B$8+1)*'Underlying Mechanics'!$B$5))*(1-$A130))-IF(I$1=0,'Underlying Mechanics'!$B$23*(1-$B130),0)-IF(I$1&gt;0,'Underlying Mechanics'!$B$22*'Underlying Mechanics'!$B$17,0)-IF(I$1&gt;0,'Underlying Mechanics'!$B$12*'Underlying Mechanics'!$B$18,0)</x:f>
        <x:v>-13860</x:v>
      </x:c>
      <x:c r="J130" t="n">
        <x:f>((IF(J$1-'Underlying Mechanics'!$B$8&lt;0,0,'Underlying Mechanics'!$B$22*'Underlying Mechanics'!$B$15*INDEX('Underlying Mechanics'!$B$31:$B$51,J$1-'Underlying Mechanics'!$B$8+1)*'Underlying Mechanics'!$B$5))*(1-$A130))-IF(J$1=0,'Underlying Mechanics'!$B$23*(1-$B130),0)-IF(J$1&gt;0,'Underlying Mechanics'!$B$22*'Underlying Mechanics'!$B$17,0)-IF(J$1&gt;0,'Underlying Mechanics'!$B$12*'Underlying Mechanics'!$B$18,0)</x:f>
        <x:v>-9059.999999999996</x:v>
      </x:c>
      <x:c r="K130" t="n">
        <x:f>((IF(K$1-'Underlying Mechanics'!$B$8&lt;0,0,'Underlying Mechanics'!$B$22*'Underlying Mechanics'!$B$15*INDEX('Underlying Mechanics'!$B$31:$B$51,K$1-'Underlying Mechanics'!$B$8+1)*'Underlying Mechanics'!$B$5))*(1-$A130))-IF(K$1=0,'Underlying Mechanics'!$B$23*(1-$B130),0)-IF(K$1&gt;0,'Underlying Mechanics'!$B$22*'Underlying Mechanics'!$B$17,0)-IF(K$1&gt;0,'Underlying Mechanics'!$B$12*'Underlying Mechanics'!$B$18,0)</x:f>
        <x:v>-3300</x:v>
      </x:c>
      <x:c r="L130" t="n">
        <x:f>((IF(L$1-'Underlying Mechanics'!$B$8&lt;0,0,'Underlying Mechanics'!$B$22*'Underlying Mechanics'!$B$15*INDEX('Underlying Mechanics'!$B$31:$B$51,L$1-'Underlying Mechanics'!$B$8+1)*'Underlying Mechanics'!$B$5))*(1-$A130))-IF(L$1=0,'Underlying Mechanics'!$B$23*(1-$B130),0)-IF(L$1&gt;0,'Underlying Mechanics'!$B$22*'Underlying Mechanics'!$B$17,0)-IF(L$1&gt;0,'Underlying Mechanics'!$B$12*'Underlying Mechanics'!$B$18,0)</x:f>
        <x:v>3420</x:v>
      </x:c>
      <x:c r="M130" t="n">
        <x:f>((IF(M$1-'Underlying Mechanics'!$B$8&lt;0,0,'Underlying Mechanics'!$B$22*'Underlying Mechanics'!$B$15*INDEX('Underlying Mechanics'!$B$31:$B$51,M$1-'Underlying Mechanics'!$B$8+1)*'Underlying Mechanics'!$B$5))*(1-$A130))-IF(M$1=0,'Underlying Mechanics'!$B$23*(1-$B130),0)-IF(M$1&gt;0,'Underlying Mechanics'!$B$22*'Underlying Mechanics'!$B$17,0)-IF(M$1&gt;0,'Underlying Mechanics'!$B$12*'Underlying Mechanics'!$B$18,0)</x:f>
        <x:v>10140.000000000007</x:v>
      </x:c>
      <x:c r="N130" t="n">
        <x:f>((IF(N$1-'Underlying Mechanics'!$B$8&lt;0,0,'Underlying Mechanics'!$B$22*'Underlying Mechanics'!$B$15*INDEX('Underlying Mechanics'!$B$31:$B$51,N$1-'Underlying Mechanics'!$B$8+1)*'Underlying Mechanics'!$B$5))*(1-$A130))-IF(N$1=0,'Underlying Mechanics'!$B$23*(1-$B130),0)-IF(N$1&gt;0,'Underlying Mechanics'!$B$22*'Underlying Mechanics'!$B$17,0)-IF(N$1&gt;0,'Underlying Mechanics'!$B$12*'Underlying Mechanics'!$B$18,0)</x:f>
        <x:v>15900</x:v>
      </x:c>
      <x:c r="O130" t="n">
        <x:f>((IF(O$1-'Underlying Mechanics'!$B$8&lt;0,0,'Underlying Mechanics'!$B$22*'Underlying Mechanics'!$B$15*INDEX('Underlying Mechanics'!$B$31:$B$51,O$1-'Underlying Mechanics'!$B$8+1)*'Underlying Mechanics'!$B$5))*(1-$A130))-IF(O$1=0,'Underlying Mechanics'!$B$23*(1-$B130),0)-IF(O$1&gt;0,'Underlying Mechanics'!$B$22*'Underlying Mechanics'!$B$17,0)-IF(O$1&gt;0,'Underlying Mechanics'!$B$12*'Underlying Mechanics'!$B$18,0)</x:f>
        <x:v>20700</x:v>
      </x:c>
      <x:c r="P130" t="n">
        <x:f>((IF(P$1-'Underlying Mechanics'!$B$8&lt;0,0,'Underlying Mechanics'!$B$22*'Underlying Mechanics'!$B$15*INDEX('Underlying Mechanics'!$B$31:$B$51,P$1-'Underlying Mechanics'!$B$8+1)*'Underlying Mechanics'!$B$5))*(1-$A130))-IF(P$1=0,'Underlying Mechanics'!$B$23*(1-$B130),0)-IF(P$1&gt;0,'Underlying Mechanics'!$B$22*'Underlying Mechanics'!$B$17,0)-IF(P$1&gt;0,'Underlying Mechanics'!$B$12*'Underlying Mechanics'!$B$18,0)</x:f>
        <x:v>25500</x:v>
      </x:c>
      <x:c r="Q130" t="n">
        <x:f>((IF(Q$1-'Underlying Mechanics'!$B$8&lt;0,0,'Underlying Mechanics'!$B$22*'Underlying Mechanics'!$B$15*INDEX('Underlying Mechanics'!$B$31:$B$51,Q$1-'Underlying Mechanics'!$B$8+1)*'Underlying Mechanics'!$B$5))*(1-$A130))-IF(Q$1=0,'Underlying Mechanics'!$B$23*(1-$B130),0)-IF(Q$1&gt;0,'Underlying Mechanics'!$B$22*'Underlying Mechanics'!$B$17,0)-IF(Q$1&gt;0,'Underlying Mechanics'!$B$12*'Underlying Mechanics'!$B$18,0)</x:f>
        <x:v>25500</x:v>
      </x:c>
      <x:c r="R130" t="n">
        <x:f>((IF(R$1-'Underlying Mechanics'!$B$8&lt;0,0,'Underlying Mechanics'!$B$22*'Underlying Mechanics'!$B$15*INDEX('Underlying Mechanics'!$B$31:$B$51,R$1-'Underlying Mechanics'!$B$8+1)*'Underlying Mechanics'!$B$5))*(1-$A130))-IF(R$1=0,'Underlying Mechanics'!$B$23*(1-$B130),0)-IF(R$1&gt;0,'Underlying Mechanics'!$B$22*'Underlying Mechanics'!$B$17,0)-IF(R$1&gt;0,'Underlying Mechanics'!$B$12*'Underlying Mechanics'!$B$18,0)</x:f>
        <x:v>25500</x:v>
      </x:c>
      <x:c r="S130" t="n">
        <x:f>((IF(S$1-'Underlying Mechanics'!$B$8&lt;0,0,'Underlying Mechanics'!$B$22*'Underlying Mechanics'!$B$15*INDEX('Underlying Mechanics'!$B$31:$B$51,S$1-'Underlying Mechanics'!$B$8+1)*'Underlying Mechanics'!$B$5))*(1-$A130))-IF(S$1=0,'Underlying Mechanics'!$B$23*(1-$B130),0)-IF(S$1&gt;0,'Underlying Mechanics'!$B$22*'Underlying Mechanics'!$B$17,0)-IF(S$1&gt;0,'Underlying Mechanics'!$B$12*'Underlying Mechanics'!$B$18,0)</x:f>
        <x:v>25500</x:v>
      </x:c>
      <x:c r="T130" t="n">
        <x:f>((IF(T$1-'Underlying Mechanics'!$B$8&lt;0,0,'Underlying Mechanics'!$B$22*'Underlying Mechanics'!$B$15*INDEX('Underlying Mechanics'!$B$31:$B$51,T$1-'Underlying Mechanics'!$B$8+1)*'Underlying Mechanics'!$B$5))*(1-$A130))-IF(T$1=0,'Underlying Mechanics'!$B$23*(1-$B130),0)-IF(T$1&gt;0,'Underlying Mechanics'!$B$22*'Underlying Mechanics'!$B$17,0)-IF(T$1&gt;0,'Underlying Mechanics'!$B$12*'Underlying Mechanics'!$B$18,0)</x:f>
        <x:v>25500</x:v>
      </x:c>
      <x:c r="U130" t="n">
        <x:f>((IF(U$1-'Underlying Mechanics'!$B$8&lt;0,0,'Underlying Mechanics'!$B$22*'Underlying Mechanics'!$B$15*INDEX('Underlying Mechanics'!$B$31:$B$51,U$1-'Underlying Mechanics'!$B$8+1)*'Underlying Mechanics'!$B$5))*(1-$A130))-IF(U$1=0,'Underlying Mechanics'!$B$23*(1-$B130),0)-IF(U$1&gt;0,'Underlying Mechanics'!$B$22*'Underlying Mechanics'!$B$17,0)-IF(U$1&gt;0,'Underlying Mechanics'!$B$12*'Underlying Mechanics'!$B$18,0)</x:f>
        <x:v>25500</x:v>
      </x:c>
      <x:c r="V130" t="n">
        <x:f>((IF(V$1-'Underlying Mechanics'!$B$8&lt;0,0,'Underlying Mechanics'!$B$22*'Underlying Mechanics'!$B$15*INDEX('Underlying Mechanics'!$B$31:$B$51,V$1-'Underlying Mechanics'!$B$8+1)*'Underlying Mechanics'!$B$5))*(1-$A130))-IF(V$1=0,'Underlying Mechanics'!$B$23*(1-$B130),0)-IF(V$1&gt;0,'Underlying Mechanics'!$B$22*'Underlying Mechanics'!$B$17,0)-IF(V$1&gt;0,'Underlying Mechanics'!$B$12*'Underlying Mechanics'!$B$18,0)</x:f>
        <x:v>25500</x:v>
      </x:c>
      <x:c r="W130" t="n">
        <x:f>((IF(W$1-'Underlying Mechanics'!$B$8&lt;0,0,'Underlying Mechanics'!$B$22*'Underlying Mechanics'!$B$15*INDEX('Underlying Mechanics'!$B$31:$B$51,W$1-'Underlying Mechanics'!$B$8+1)*'Underlying Mechanics'!$B$5))*(1-$A130))-IF(W$1=0,'Underlying Mechanics'!$B$23*(1-$B130),0)-IF(W$1&gt;0,'Underlying Mechanics'!$B$22*'Underlying Mechanics'!$B$17,0)-IF(W$1&gt;0,'Underlying Mechanics'!$B$12*'Underlying Mechanics'!$B$18,0)</x:f>
        <x:v>25500</x:v>
      </x:c>
      <x:c r="X130" t="n">
        <x:f>IFERROR(IRR(C130:W130),-1)</x:f>
        <x:v>-0.003209152841775199</x:v>
      </x:c>
    </x:row>
    <x:row r="131">
      <x:c r="A131" t="n">
        <x:v>0.6</x:v>
      </x:c>
      <x:c r="B131" t="n">
        <x:v>0.15</x:v>
      </x:c>
      <x:c r="C131" t="n">
        <x:f>((IF(C$1-'Underlying Mechanics'!$B$8&lt;0,0,'Underlying Mechanics'!$B$22*'Underlying Mechanics'!$B$15*INDEX('Underlying Mechanics'!$B$31:$B$51,C$1-'Underlying Mechanics'!$B$8+1)*'Underlying Mechanics'!$B$5))*(1-$A131))-IF(C$1=0,'Underlying Mechanics'!$B$23*(1-$B131),0)-IF(C$1&gt;0,'Underlying Mechanics'!$B$22*'Underlying Mechanics'!$B$17,0)-IF(C$1&gt;0,'Underlying Mechanics'!$B$12*'Underlying Mechanics'!$B$18,0)</x:f>
        <x:v>-127500</x:v>
      </x:c>
      <x:c r="D131" t="n">
        <x:f>((IF(D$1-'Underlying Mechanics'!$B$8&lt;0,0,'Underlying Mechanics'!$B$22*'Underlying Mechanics'!$B$15*INDEX('Underlying Mechanics'!$B$31:$B$51,D$1-'Underlying Mechanics'!$B$8+1)*'Underlying Mechanics'!$B$5))*(1-$A131))-IF(D$1=0,'Underlying Mechanics'!$B$23*(1-$B131),0)-IF(D$1&gt;0,'Underlying Mechanics'!$B$22*'Underlying Mechanics'!$B$17,0)-IF(D$1&gt;0,'Underlying Mechanics'!$B$12*'Underlying Mechanics'!$B$18,0)</x:f>
        <x:v>-22500</x:v>
      </x:c>
      <x:c r="E131" t="n">
        <x:f>((IF(E$1-'Underlying Mechanics'!$B$8&lt;0,0,'Underlying Mechanics'!$B$22*'Underlying Mechanics'!$B$15*INDEX('Underlying Mechanics'!$B$31:$B$51,E$1-'Underlying Mechanics'!$B$8+1)*'Underlying Mechanics'!$B$5))*(1-$A131))-IF(E$1=0,'Underlying Mechanics'!$B$23*(1-$B131),0)-IF(E$1&gt;0,'Underlying Mechanics'!$B$22*'Underlying Mechanics'!$B$17,0)-IF(E$1&gt;0,'Underlying Mechanics'!$B$12*'Underlying Mechanics'!$B$18,0)</x:f>
        <x:v>-22500</x:v>
      </x:c>
      <x:c r="F131" t="n">
        <x:f>((IF(F$1-'Underlying Mechanics'!$B$8&lt;0,0,'Underlying Mechanics'!$B$22*'Underlying Mechanics'!$B$15*INDEX('Underlying Mechanics'!$B$31:$B$51,F$1-'Underlying Mechanics'!$B$8+1)*'Underlying Mechanics'!$B$5))*(1-$A131))-IF(F$1=0,'Underlying Mechanics'!$B$23*(1-$B131),0)-IF(F$1&gt;0,'Underlying Mechanics'!$B$22*'Underlying Mechanics'!$B$17,0)-IF(F$1&gt;0,'Underlying Mechanics'!$B$12*'Underlying Mechanics'!$B$18,0)</x:f>
        <x:v>-21540</x:v>
      </x:c>
      <x:c r="G131" t="n">
        <x:f>((IF(G$1-'Underlying Mechanics'!$B$8&lt;0,0,'Underlying Mechanics'!$B$22*'Underlying Mechanics'!$B$15*INDEX('Underlying Mechanics'!$B$31:$B$51,G$1-'Underlying Mechanics'!$B$8+1)*'Underlying Mechanics'!$B$5))*(1-$A131))-IF(G$1=0,'Underlying Mechanics'!$B$23*(1-$B131),0)-IF(G$1&gt;0,'Underlying Mechanics'!$B$22*'Underlying Mechanics'!$B$17,0)-IF(G$1&gt;0,'Underlying Mechanics'!$B$12*'Underlying Mechanics'!$B$18,0)</x:f>
        <x:v>-20100</x:v>
      </x:c>
      <x:c r="H131" t="n">
        <x:f>((IF(H$1-'Underlying Mechanics'!$B$8&lt;0,0,'Underlying Mechanics'!$B$22*'Underlying Mechanics'!$B$15*INDEX('Underlying Mechanics'!$B$31:$B$51,H$1-'Underlying Mechanics'!$B$8+1)*'Underlying Mechanics'!$B$5))*(1-$A131))-IF(H$1=0,'Underlying Mechanics'!$B$23*(1-$B131),0)-IF(H$1&gt;0,'Underlying Mechanics'!$B$22*'Underlying Mechanics'!$B$17,0)-IF(H$1&gt;0,'Underlying Mechanics'!$B$12*'Underlying Mechanics'!$B$18,0)</x:f>
        <x:v>-17700</x:v>
      </x:c>
      <x:c r="I131" t="n">
        <x:f>((IF(I$1-'Underlying Mechanics'!$B$8&lt;0,0,'Underlying Mechanics'!$B$22*'Underlying Mechanics'!$B$15*INDEX('Underlying Mechanics'!$B$31:$B$51,I$1-'Underlying Mechanics'!$B$8+1)*'Underlying Mechanics'!$B$5))*(1-$A131))-IF(I$1=0,'Underlying Mechanics'!$B$23*(1-$B131),0)-IF(I$1&gt;0,'Underlying Mechanics'!$B$22*'Underlying Mechanics'!$B$17,0)-IF(I$1&gt;0,'Underlying Mechanics'!$B$12*'Underlying Mechanics'!$B$18,0)</x:f>
        <x:v>-13860</x:v>
      </x:c>
      <x:c r="J131" t="n">
        <x:f>((IF(J$1-'Underlying Mechanics'!$B$8&lt;0,0,'Underlying Mechanics'!$B$22*'Underlying Mechanics'!$B$15*INDEX('Underlying Mechanics'!$B$31:$B$51,J$1-'Underlying Mechanics'!$B$8+1)*'Underlying Mechanics'!$B$5))*(1-$A131))-IF(J$1=0,'Underlying Mechanics'!$B$23*(1-$B131),0)-IF(J$1&gt;0,'Underlying Mechanics'!$B$22*'Underlying Mechanics'!$B$17,0)-IF(J$1&gt;0,'Underlying Mechanics'!$B$12*'Underlying Mechanics'!$B$18,0)</x:f>
        <x:v>-9059.999999999996</x:v>
      </x:c>
      <x:c r="K131" t="n">
        <x:f>((IF(K$1-'Underlying Mechanics'!$B$8&lt;0,0,'Underlying Mechanics'!$B$22*'Underlying Mechanics'!$B$15*INDEX('Underlying Mechanics'!$B$31:$B$51,K$1-'Underlying Mechanics'!$B$8+1)*'Underlying Mechanics'!$B$5))*(1-$A131))-IF(K$1=0,'Underlying Mechanics'!$B$23*(1-$B131),0)-IF(K$1&gt;0,'Underlying Mechanics'!$B$22*'Underlying Mechanics'!$B$17,0)-IF(K$1&gt;0,'Underlying Mechanics'!$B$12*'Underlying Mechanics'!$B$18,0)</x:f>
        <x:v>-3300</x:v>
      </x:c>
      <x:c r="L131" t="n">
        <x:f>((IF(L$1-'Underlying Mechanics'!$B$8&lt;0,0,'Underlying Mechanics'!$B$22*'Underlying Mechanics'!$B$15*INDEX('Underlying Mechanics'!$B$31:$B$51,L$1-'Underlying Mechanics'!$B$8+1)*'Underlying Mechanics'!$B$5))*(1-$A131))-IF(L$1=0,'Underlying Mechanics'!$B$23*(1-$B131),0)-IF(L$1&gt;0,'Underlying Mechanics'!$B$22*'Underlying Mechanics'!$B$17,0)-IF(L$1&gt;0,'Underlying Mechanics'!$B$12*'Underlying Mechanics'!$B$18,0)</x:f>
        <x:v>3420</x:v>
      </x:c>
      <x:c r="M131" t="n">
        <x:f>((IF(M$1-'Underlying Mechanics'!$B$8&lt;0,0,'Underlying Mechanics'!$B$22*'Underlying Mechanics'!$B$15*INDEX('Underlying Mechanics'!$B$31:$B$51,M$1-'Underlying Mechanics'!$B$8+1)*'Underlying Mechanics'!$B$5))*(1-$A131))-IF(M$1=0,'Underlying Mechanics'!$B$23*(1-$B131),0)-IF(M$1&gt;0,'Underlying Mechanics'!$B$22*'Underlying Mechanics'!$B$17,0)-IF(M$1&gt;0,'Underlying Mechanics'!$B$12*'Underlying Mechanics'!$B$18,0)</x:f>
        <x:v>10140.000000000007</x:v>
      </x:c>
      <x:c r="N131" t="n">
        <x:f>((IF(N$1-'Underlying Mechanics'!$B$8&lt;0,0,'Underlying Mechanics'!$B$22*'Underlying Mechanics'!$B$15*INDEX('Underlying Mechanics'!$B$31:$B$51,N$1-'Underlying Mechanics'!$B$8+1)*'Underlying Mechanics'!$B$5))*(1-$A131))-IF(N$1=0,'Underlying Mechanics'!$B$23*(1-$B131),0)-IF(N$1&gt;0,'Underlying Mechanics'!$B$22*'Underlying Mechanics'!$B$17,0)-IF(N$1&gt;0,'Underlying Mechanics'!$B$12*'Underlying Mechanics'!$B$18,0)</x:f>
        <x:v>15900</x:v>
      </x:c>
      <x:c r="O131" t="n">
        <x:f>((IF(O$1-'Underlying Mechanics'!$B$8&lt;0,0,'Underlying Mechanics'!$B$22*'Underlying Mechanics'!$B$15*INDEX('Underlying Mechanics'!$B$31:$B$51,O$1-'Underlying Mechanics'!$B$8+1)*'Underlying Mechanics'!$B$5))*(1-$A131))-IF(O$1=0,'Underlying Mechanics'!$B$23*(1-$B131),0)-IF(O$1&gt;0,'Underlying Mechanics'!$B$22*'Underlying Mechanics'!$B$17,0)-IF(O$1&gt;0,'Underlying Mechanics'!$B$12*'Underlying Mechanics'!$B$18,0)</x:f>
        <x:v>20700</x:v>
      </x:c>
      <x:c r="P131" t="n">
        <x:f>((IF(P$1-'Underlying Mechanics'!$B$8&lt;0,0,'Underlying Mechanics'!$B$22*'Underlying Mechanics'!$B$15*INDEX('Underlying Mechanics'!$B$31:$B$51,P$1-'Underlying Mechanics'!$B$8+1)*'Underlying Mechanics'!$B$5))*(1-$A131))-IF(P$1=0,'Underlying Mechanics'!$B$23*(1-$B131),0)-IF(P$1&gt;0,'Underlying Mechanics'!$B$22*'Underlying Mechanics'!$B$17,0)-IF(P$1&gt;0,'Underlying Mechanics'!$B$12*'Underlying Mechanics'!$B$18,0)</x:f>
        <x:v>25500</x:v>
      </x:c>
      <x:c r="Q131" t="n">
        <x:f>((IF(Q$1-'Underlying Mechanics'!$B$8&lt;0,0,'Underlying Mechanics'!$B$22*'Underlying Mechanics'!$B$15*INDEX('Underlying Mechanics'!$B$31:$B$51,Q$1-'Underlying Mechanics'!$B$8+1)*'Underlying Mechanics'!$B$5))*(1-$A131))-IF(Q$1=0,'Underlying Mechanics'!$B$23*(1-$B131),0)-IF(Q$1&gt;0,'Underlying Mechanics'!$B$22*'Underlying Mechanics'!$B$17,0)-IF(Q$1&gt;0,'Underlying Mechanics'!$B$12*'Underlying Mechanics'!$B$18,0)</x:f>
        <x:v>25500</x:v>
      </x:c>
      <x:c r="R131" t="n">
        <x:f>((IF(R$1-'Underlying Mechanics'!$B$8&lt;0,0,'Underlying Mechanics'!$B$22*'Underlying Mechanics'!$B$15*INDEX('Underlying Mechanics'!$B$31:$B$51,R$1-'Underlying Mechanics'!$B$8+1)*'Underlying Mechanics'!$B$5))*(1-$A131))-IF(R$1=0,'Underlying Mechanics'!$B$23*(1-$B131),0)-IF(R$1&gt;0,'Underlying Mechanics'!$B$22*'Underlying Mechanics'!$B$17,0)-IF(R$1&gt;0,'Underlying Mechanics'!$B$12*'Underlying Mechanics'!$B$18,0)</x:f>
        <x:v>25500</x:v>
      </x:c>
      <x:c r="S131" t="n">
        <x:f>((IF(S$1-'Underlying Mechanics'!$B$8&lt;0,0,'Underlying Mechanics'!$B$22*'Underlying Mechanics'!$B$15*INDEX('Underlying Mechanics'!$B$31:$B$51,S$1-'Underlying Mechanics'!$B$8+1)*'Underlying Mechanics'!$B$5))*(1-$A131))-IF(S$1=0,'Underlying Mechanics'!$B$23*(1-$B131),0)-IF(S$1&gt;0,'Underlying Mechanics'!$B$22*'Underlying Mechanics'!$B$17,0)-IF(S$1&gt;0,'Underlying Mechanics'!$B$12*'Underlying Mechanics'!$B$18,0)</x:f>
        <x:v>25500</x:v>
      </x:c>
      <x:c r="T131" t="n">
        <x:f>((IF(T$1-'Underlying Mechanics'!$B$8&lt;0,0,'Underlying Mechanics'!$B$22*'Underlying Mechanics'!$B$15*INDEX('Underlying Mechanics'!$B$31:$B$51,T$1-'Underlying Mechanics'!$B$8+1)*'Underlying Mechanics'!$B$5))*(1-$A131))-IF(T$1=0,'Underlying Mechanics'!$B$23*(1-$B131),0)-IF(T$1&gt;0,'Underlying Mechanics'!$B$22*'Underlying Mechanics'!$B$17,0)-IF(T$1&gt;0,'Underlying Mechanics'!$B$12*'Underlying Mechanics'!$B$18,0)</x:f>
        <x:v>25500</x:v>
      </x:c>
      <x:c r="U131" t="n">
        <x:f>((IF(U$1-'Underlying Mechanics'!$B$8&lt;0,0,'Underlying Mechanics'!$B$22*'Underlying Mechanics'!$B$15*INDEX('Underlying Mechanics'!$B$31:$B$51,U$1-'Underlying Mechanics'!$B$8+1)*'Underlying Mechanics'!$B$5))*(1-$A131))-IF(U$1=0,'Underlying Mechanics'!$B$23*(1-$B131),0)-IF(U$1&gt;0,'Underlying Mechanics'!$B$22*'Underlying Mechanics'!$B$17,0)-IF(U$1&gt;0,'Underlying Mechanics'!$B$12*'Underlying Mechanics'!$B$18,0)</x:f>
        <x:v>25500</x:v>
      </x:c>
      <x:c r="V131" t="n">
        <x:f>((IF(V$1-'Underlying Mechanics'!$B$8&lt;0,0,'Underlying Mechanics'!$B$22*'Underlying Mechanics'!$B$15*INDEX('Underlying Mechanics'!$B$31:$B$51,V$1-'Underlying Mechanics'!$B$8+1)*'Underlying Mechanics'!$B$5))*(1-$A131))-IF(V$1=0,'Underlying Mechanics'!$B$23*(1-$B131),0)-IF(V$1&gt;0,'Underlying Mechanics'!$B$22*'Underlying Mechanics'!$B$17,0)-IF(V$1&gt;0,'Underlying Mechanics'!$B$12*'Underlying Mechanics'!$B$18,0)</x:f>
        <x:v>25500</x:v>
      </x:c>
      <x:c r="W131" t="n">
        <x:f>((IF(W$1-'Underlying Mechanics'!$B$8&lt;0,0,'Underlying Mechanics'!$B$22*'Underlying Mechanics'!$B$15*INDEX('Underlying Mechanics'!$B$31:$B$51,W$1-'Underlying Mechanics'!$B$8+1)*'Underlying Mechanics'!$B$5))*(1-$A131))-IF(W$1=0,'Underlying Mechanics'!$B$23*(1-$B131),0)-IF(W$1&gt;0,'Underlying Mechanics'!$B$22*'Underlying Mechanics'!$B$17,0)-IF(W$1&gt;0,'Underlying Mechanics'!$B$12*'Underlying Mechanics'!$B$18,0)</x:f>
        <x:v>25500</x:v>
      </x:c>
      <x:c r="X131" t="n">
        <x:f>IFERROR(IRR(C131:W131),-1)</x:f>
        <x:v>-0.0011195390211777723</x:v>
      </x:c>
    </x:row>
    <x:row r="132">
      <x:c r="A132" t="n">
        <x:v>0.6</x:v>
      </x:c>
      <x:c r="B132" t="n">
        <x:v>0.2</x:v>
      </x:c>
      <x:c r="C132" t="n">
        <x:f>((IF(C$1-'Underlying Mechanics'!$B$8&lt;0,0,'Underlying Mechanics'!$B$22*'Underlying Mechanics'!$B$15*INDEX('Underlying Mechanics'!$B$31:$B$51,C$1-'Underlying Mechanics'!$B$8+1)*'Underlying Mechanics'!$B$5))*(1-$A132))-IF(C$1=0,'Underlying Mechanics'!$B$23*(1-$B132),0)-IF(C$1&gt;0,'Underlying Mechanics'!$B$22*'Underlying Mechanics'!$B$17,0)-IF(C$1&gt;0,'Underlying Mechanics'!$B$12*'Underlying Mechanics'!$B$18,0)</x:f>
        <x:v>-120000</x:v>
      </x:c>
      <x:c r="D132" t="n">
        <x:f>((IF(D$1-'Underlying Mechanics'!$B$8&lt;0,0,'Underlying Mechanics'!$B$22*'Underlying Mechanics'!$B$15*INDEX('Underlying Mechanics'!$B$31:$B$51,D$1-'Underlying Mechanics'!$B$8+1)*'Underlying Mechanics'!$B$5))*(1-$A132))-IF(D$1=0,'Underlying Mechanics'!$B$23*(1-$B132),0)-IF(D$1&gt;0,'Underlying Mechanics'!$B$22*'Underlying Mechanics'!$B$17,0)-IF(D$1&gt;0,'Underlying Mechanics'!$B$12*'Underlying Mechanics'!$B$18,0)</x:f>
        <x:v>-22500</x:v>
      </x:c>
      <x:c r="E132" t="n">
        <x:f>((IF(E$1-'Underlying Mechanics'!$B$8&lt;0,0,'Underlying Mechanics'!$B$22*'Underlying Mechanics'!$B$15*INDEX('Underlying Mechanics'!$B$31:$B$51,E$1-'Underlying Mechanics'!$B$8+1)*'Underlying Mechanics'!$B$5))*(1-$A132))-IF(E$1=0,'Underlying Mechanics'!$B$23*(1-$B132),0)-IF(E$1&gt;0,'Underlying Mechanics'!$B$22*'Underlying Mechanics'!$B$17,0)-IF(E$1&gt;0,'Underlying Mechanics'!$B$12*'Underlying Mechanics'!$B$18,0)</x:f>
        <x:v>-22500</x:v>
      </x:c>
      <x:c r="F132" t="n">
        <x:f>((IF(F$1-'Underlying Mechanics'!$B$8&lt;0,0,'Underlying Mechanics'!$B$22*'Underlying Mechanics'!$B$15*INDEX('Underlying Mechanics'!$B$31:$B$51,F$1-'Underlying Mechanics'!$B$8+1)*'Underlying Mechanics'!$B$5))*(1-$A132))-IF(F$1=0,'Underlying Mechanics'!$B$23*(1-$B132),0)-IF(F$1&gt;0,'Underlying Mechanics'!$B$22*'Underlying Mechanics'!$B$17,0)-IF(F$1&gt;0,'Underlying Mechanics'!$B$12*'Underlying Mechanics'!$B$18,0)</x:f>
        <x:v>-21540</x:v>
      </x:c>
      <x:c r="G132" t="n">
        <x:f>((IF(G$1-'Underlying Mechanics'!$B$8&lt;0,0,'Underlying Mechanics'!$B$22*'Underlying Mechanics'!$B$15*INDEX('Underlying Mechanics'!$B$31:$B$51,G$1-'Underlying Mechanics'!$B$8+1)*'Underlying Mechanics'!$B$5))*(1-$A132))-IF(G$1=0,'Underlying Mechanics'!$B$23*(1-$B132),0)-IF(G$1&gt;0,'Underlying Mechanics'!$B$22*'Underlying Mechanics'!$B$17,0)-IF(G$1&gt;0,'Underlying Mechanics'!$B$12*'Underlying Mechanics'!$B$18,0)</x:f>
        <x:v>-20100</x:v>
      </x:c>
      <x:c r="H132" t="n">
        <x:f>((IF(H$1-'Underlying Mechanics'!$B$8&lt;0,0,'Underlying Mechanics'!$B$22*'Underlying Mechanics'!$B$15*INDEX('Underlying Mechanics'!$B$31:$B$51,H$1-'Underlying Mechanics'!$B$8+1)*'Underlying Mechanics'!$B$5))*(1-$A132))-IF(H$1=0,'Underlying Mechanics'!$B$23*(1-$B132),0)-IF(H$1&gt;0,'Underlying Mechanics'!$B$22*'Underlying Mechanics'!$B$17,0)-IF(H$1&gt;0,'Underlying Mechanics'!$B$12*'Underlying Mechanics'!$B$18,0)</x:f>
        <x:v>-17700</x:v>
      </x:c>
      <x:c r="I132" t="n">
        <x:f>((IF(I$1-'Underlying Mechanics'!$B$8&lt;0,0,'Underlying Mechanics'!$B$22*'Underlying Mechanics'!$B$15*INDEX('Underlying Mechanics'!$B$31:$B$51,I$1-'Underlying Mechanics'!$B$8+1)*'Underlying Mechanics'!$B$5))*(1-$A132))-IF(I$1=0,'Underlying Mechanics'!$B$23*(1-$B132),0)-IF(I$1&gt;0,'Underlying Mechanics'!$B$22*'Underlying Mechanics'!$B$17,0)-IF(I$1&gt;0,'Underlying Mechanics'!$B$12*'Underlying Mechanics'!$B$18,0)</x:f>
        <x:v>-13860</x:v>
      </x:c>
      <x:c r="J132" t="n">
        <x:f>((IF(J$1-'Underlying Mechanics'!$B$8&lt;0,0,'Underlying Mechanics'!$B$22*'Underlying Mechanics'!$B$15*INDEX('Underlying Mechanics'!$B$31:$B$51,J$1-'Underlying Mechanics'!$B$8+1)*'Underlying Mechanics'!$B$5))*(1-$A132))-IF(J$1=0,'Underlying Mechanics'!$B$23*(1-$B132),0)-IF(J$1&gt;0,'Underlying Mechanics'!$B$22*'Underlying Mechanics'!$B$17,0)-IF(J$1&gt;0,'Underlying Mechanics'!$B$12*'Underlying Mechanics'!$B$18,0)</x:f>
        <x:v>-9059.999999999996</x:v>
      </x:c>
      <x:c r="K132" t="n">
        <x:f>((IF(K$1-'Underlying Mechanics'!$B$8&lt;0,0,'Underlying Mechanics'!$B$22*'Underlying Mechanics'!$B$15*INDEX('Underlying Mechanics'!$B$31:$B$51,K$1-'Underlying Mechanics'!$B$8+1)*'Underlying Mechanics'!$B$5))*(1-$A132))-IF(K$1=0,'Underlying Mechanics'!$B$23*(1-$B132),0)-IF(K$1&gt;0,'Underlying Mechanics'!$B$22*'Underlying Mechanics'!$B$17,0)-IF(K$1&gt;0,'Underlying Mechanics'!$B$12*'Underlying Mechanics'!$B$18,0)</x:f>
        <x:v>-3300</x:v>
      </x:c>
      <x:c r="L132" t="n">
        <x:f>((IF(L$1-'Underlying Mechanics'!$B$8&lt;0,0,'Underlying Mechanics'!$B$22*'Underlying Mechanics'!$B$15*INDEX('Underlying Mechanics'!$B$31:$B$51,L$1-'Underlying Mechanics'!$B$8+1)*'Underlying Mechanics'!$B$5))*(1-$A132))-IF(L$1=0,'Underlying Mechanics'!$B$23*(1-$B132),0)-IF(L$1&gt;0,'Underlying Mechanics'!$B$22*'Underlying Mechanics'!$B$17,0)-IF(L$1&gt;0,'Underlying Mechanics'!$B$12*'Underlying Mechanics'!$B$18,0)</x:f>
        <x:v>3420</x:v>
      </x:c>
      <x:c r="M132" t="n">
        <x:f>((IF(M$1-'Underlying Mechanics'!$B$8&lt;0,0,'Underlying Mechanics'!$B$22*'Underlying Mechanics'!$B$15*INDEX('Underlying Mechanics'!$B$31:$B$51,M$1-'Underlying Mechanics'!$B$8+1)*'Underlying Mechanics'!$B$5))*(1-$A132))-IF(M$1=0,'Underlying Mechanics'!$B$23*(1-$B132),0)-IF(M$1&gt;0,'Underlying Mechanics'!$B$22*'Underlying Mechanics'!$B$17,0)-IF(M$1&gt;0,'Underlying Mechanics'!$B$12*'Underlying Mechanics'!$B$18,0)</x:f>
        <x:v>10140.000000000007</x:v>
      </x:c>
      <x:c r="N132" t="n">
        <x:f>((IF(N$1-'Underlying Mechanics'!$B$8&lt;0,0,'Underlying Mechanics'!$B$22*'Underlying Mechanics'!$B$15*INDEX('Underlying Mechanics'!$B$31:$B$51,N$1-'Underlying Mechanics'!$B$8+1)*'Underlying Mechanics'!$B$5))*(1-$A132))-IF(N$1=0,'Underlying Mechanics'!$B$23*(1-$B132),0)-IF(N$1&gt;0,'Underlying Mechanics'!$B$22*'Underlying Mechanics'!$B$17,0)-IF(N$1&gt;0,'Underlying Mechanics'!$B$12*'Underlying Mechanics'!$B$18,0)</x:f>
        <x:v>15900</x:v>
      </x:c>
      <x:c r="O132" t="n">
        <x:f>((IF(O$1-'Underlying Mechanics'!$B$8&lt;0,0,'Underlying Mechanics'!$B$22*'Underlying Mechanics'!$B$15*INDEX('Underlying Mechanics'!$B$31:$B$51,O$1-'Underlying Mechanics'!$B$8+1)*'Underlying Mechanics'!$B$5))*(1-$A132))-IF(O$1=0,'Underlying Mechanics'!$B$23*(1-$B132),0)-IF(O$1&gt;0,'Underlying Mechanics'!$B$22*'Underlying Mechanics'!$B$17,0)-IF(O$1&gt;0,'Underlying Mechanics'!$B$12*'Underlying Mechanics'!$B$18,0)</x:f>
        <x:v>20700</x:v>
      </x:c>
      <x:c r="P132" t="n">
        <x:f>((IF(P$1-'Underlying Mechanics'!$B$8&lt;0,0,'Underlying Mechanics'!$B$22*'Underlying Mechanics'!$B$15*INDEX('Underlying Mechanics'!$B$31:$B$51,P$1-'Underlying Mechanics'!$B$8+1)*'Underlying Mechanics'!$B$5))*(1-$A132))-IF(P$1=0,'Underlying Mechanics'!$B$23*(1-$B132),0)-IF(P$1&gt;0,'Underlying Mechanics'!$B$22*'Underlying Mechanics'!$B$17,0)-IF(P$1&gt;0,'Underlying Mechanics'!$B$12*'Underlying Mechanics'!$B$18,0)</x:f>
        <x:v>25500</x:v>
      </x:c>
      <x:c r="Q132" t="n">
        <x:f>((IF(Q$1-'Underlying Mechanics'!$B$8&lt;0,0,'Underlying Mechanics'!$B$22*'Underlying Mechanics'!$B$15*INDEX('Underlying Mechanics'!$B$31:$B$51,Q$1-'Underlying Mechanics'!$B$8+1)*'Underlying Mechanics'!$B$5))*(1-$A132))-IF(Q$1=0,'Underlying Mechanics'!$B$23*(1-$B132),0)-IF(Q$1&gt;0,'Underlying Mechanics'!$B$22*'Underlying Mechanics'!$B$17,0)-IF(Q$1&gt;0,'Underlying Mechanics'!$B$12*'Underlying Mechanics'!$B$18,0)</x:f>
        <x:v>25500</x:v>
      </x:c>
      <x:c r="R132" t="n">
        <x:f>((IF(R$1-'Underlying Mechanics'!$B$8&lt;0,0,'Underlying Mechanics'!$B$22*'Underlying Mechanics'!$B$15*INDEX('Underlying Mechanics'!$B$31:$B$51,R$1-'Underlying Mechanics'!$B$8+1)*'Underlying Mechanics'!$B$5))*(1-$A132))-IF(R$1=0,'Underlying Mechanics'!$B$23*(1-$B132),0)-IF(R$1&gt;0,'Underlying Mechanics'!$B$22*'Underlying Mechanics'!$B$17,0)-IF(R$1&gt;0,'Underlying Mechanics'!$B$12*'Underlying Mechanics'!$B$18,0)</x:f>
        <x:v>25500</x:v>
      </x:c>
      <x:c r="S132" t="n">
        <x:f>((IF(S$1-'Underlying Mechanics'!$B$8&lt;0,0,'Underlying Mechanics'!$B$22*'Underlying Mechanics'!$B$15*INDEX('Underlying Mechanics'!$B$31:$B$51,S$1-'Underlying Mechanics'!$B$8+1)*'Underlying Mechanics'!$B$5))*(1-$A132))-IF(S$1=0,'Underlying Mechanics'!$B$23*(1-$B132),0)-IF(S$1&gt;0,'Underlying Mechanics'!$B$22*'Underlying Mechanics'!$B$17,0)-IF(S$1&gt;0,'Underlying Mechanics'!$B$12*'Underlying Mechanics'!$B$18,0)</x:f>
        <x:v>25500</x:v>
      </x:c>
      <x:c r="T132" t="n">
        <x:f>((IF(T$1-'Underlying Mechanics'!$B$8&lt;0,0,'Underlying Mechanics'!$B$22*'Underlying Mechanics'!$B$15*INDEX('Underlying Mechanics'!$B$31:$B$51,T$1-'Underlying Mechanics'!$B$8+1)*'Underlying Mechanics'!$B$5))*(1-$A132))-IF(T$1=0,'Underlying Mechanics'!$B$23*(1-$B132),0)-IF(T$1&gt;0,'Underlying Mechanics'!$B$22*'Underlying Mechanics'!$B$17,0)-IF(T$1&gt;0,'Underlying Mechanics'!$B$12*'Underlying Mechanics'!$B$18,0)</x:f>
        <x:v>25500</x:v>
      </x:c>
      <x:c r="U132" t="n">
        <x:f>((IF(U$1-'Underlying Mechanics'!$B$8&lt;0,0,'Underlying Mechanics'!$B$22*'Underlying Mechanics'!$B$15*INDEX('Underlying Mechanics'!$B$31:$B$51,U$1-'Underlying Mechanics'!$B$8+1)*'Underlying Mechanics'!$B$5))*(1-$A132))-IF(U$1=0,'Underlying Mechanics'!$B$23*(1-$B132),0)-IF(U$1&gt;0,'Underlying Mechanics'!$B$22*'Underlying Mechanics'!$B$17,0)-IF(U$1&gt;0,'Underlying Mechanics'!$B$12*'Underlying Mechanics'!$B$18,0)</x:f>
        <x:v>25500</x:v>
      </x:c>
      <x:c r="V132" t="n">
        <x:f>((IF(V$1-'Underlying Mechanics'!$B$8&lt;0,0,'Underlying Mechanics'!$B$22*'Underlying Mechanics'!$B$15*INDEX('Underlying Mechanics'!$B$31:$B$51,V$1-'Underlying Mechanics'!$B$8+1)*'Underlying Mechanics'!$B$5))*(1-$A132))-IF(V$1=0,'Underlying Mechanics'!$B$23*(1-$B132),0)-IF(V$1&gt;0,'Underlying Mechanics'!$B$22*'Underlying Mechanics'!$B$17,0)-IF(V$1&gt;0,'Underlying Mechanics'!$B$12*'Underlying Mechanics'!$B$18,0)</x:f>
        <x:v>25500</x:v>
      </x:c>
      <x:c r="W132" t="n">
        <x:f>((IF(W$1-'Underlying Mechanics'!$B$8&lt;0,0,'Underlying Mechanics'!$B$22*'Underlying Mechanics'!$B$15*INDEX('Underlying Mechanics'!$B$31:$B$51,W$1-'Underlying Mechanics'!$B$8+1)*'Underlying Mechanics'!$B$5))*(1-$A132))-IF(W$1=0,'Underlying Mechanics'!$B$23*(1-$B132),0)-IF(W$1&gt;0,'Underlying Mechanics'!$B$22*'Underlying Mechanics'!$B$17,0)-IF(W$1&gt;0,'Underlying Mechanics'!$B$12*'Underlying Mechanics'!$B$18,0)</x:f>
        <x:v>25500</x:v>
      </x:c>
      <x:c r="X132" t="n">
        <x:f>IFERROR(IRR(C132:W132),-1)</x:f>
        <x:v>0.0010544985475966784</x:v>
      </x:c>
    </x:row>
    <x:row r="133">
      <x:c r="A133" t="n">
        <x:v>0.6</x:v>
      </x:c>
      <x:c r="B133" t="n">
        <x:v>0.25</x:v>
      </x:c>
      <x:c r="C133" t="n">
        <x:f>((IF(C$1-'Underlying Mechanics'!$B$8&lt;0,0,'Underlying Mechanics'!$B$22*'Underlying Mechanics'!$B$15*INDEX('Underlying Mechanics'!$B$31:$B$51,C$1-'Underlying Mechanics'!$B$8+1)*'Underlying Mechanics'!$B$5))*(1-$A133))-IF(C$1=0,'Underlying Mechanics'!$B$23*(1-$B133),0)-IF(C$1&gt;0,'Underlying Mechanics'!$B$22*'Underlying Mechanics'!$B$17,0)-IF(C$1&gt;0,'Underlying Mechanics'!$B$12*'Underlying Mechanics'!$B$18,0)</x:f>
        <x:v>-112500</x:v>
      </x:c>
      <x:c r="D133" t="n">
        <x:f>((IF(D$1-'Underlying Mechanics'!$B$8&lt;0,0,'Underlying Mechanics'!$B$22*'Underlying Mechanics'!$B$15*INDEX('Underlying Mechanics'!$B$31:$B$51,D$1-'Underlying Mechanics'!$B$8+1)*'Underlying Mechanics'!$B$5))*(1-$A133))-IF(D$1=0,'Underlying Mechanics'!$B$23*(1-$B133),0)-IF(D$1&gt;0,'Underlying Mechanics'!$B$22*'Underlying Mechanics'!$B$17,0)-IF(D$1&gt;0,'Underlying Mechanics'!$B$12*'Underlying Mechanics'!$B$18,0)</x:f>
        <x:v>-22500</x:v>
      </x:c>
      <x:c r="E133" t="n">
        <x:f>((IF(E$1-'Underlying Mechanics'!$B$8&lt;0,0,'Underlying Mechanics'!$B$22*'Underlying Mechanics'!$B$15*INDEX('Underlying Mechanics'!$B$31:$B$51,E$1-'Underlying Mechanics'!$B$8+1)*'Underlying Mechanics'!$B$5))*(1-$A133))-IF(E$1=0,'Underlying Mechanics'!$B$23*(1-$B133),0)-IF(E$1&gt;0,'Underlying Mechanics'!$B$22*'Underlying Mechanics'!$B$17,0)-IF(E$1&gt;0,'Underlying Mechanics'!$B$12*'Underlying Mechanics'!$B$18,0)</x:f>
        <x:v>-22500</x:v>
      </x:c>
      <x:c r="F133" t="n">
        <x:f>((IF(F$1-'Underlying Mechanics'!$B$8&lt;0,0,'Underlying Mechanics'!$B$22*'Underlying Mechanics'!$B$15*INDEX('Underlying Mechanics'!$B$31:$B$51,F$1-'Underlying Mechanics'!$B$8+1)*'Underlying Mechanics'!$B$5))*(1-$A133))-IF(F$1=0,'Underlying Mechanics'!$B$23*(1-$B133),0)-IF(F$1&gt;0,'Underlying Mechanics'!$B$22*'Underlying Mechanics'!$B$17,0)-IF(F$1&gt;0,'Underlying Mechanics'!$B$12*'Underlying Mechanics'!$B$18,0)</x:f>
        <x:v>-21540</x:v>
      </x:c>
      <x:c r="G133" t="n">
        <x:f>((IF(G$1-'Underlying Mechanics'!$B$8&lt;0,0,'Underlying Mechanics'!$B$22*'Underlying Mechanics'!$B$15*INDEX('Underlying Mechanics'!$B$31:$B$51,G$1-'Underlying Mechanics'!$B$8+1)*'Underlying Mechanics'!$B$5))*(1-$A133))-IF(G$1=0,'Underlying Mechanics'!$B$23*(1-$B133),0)-IF(G$1&gt;0,'Underlying Mechanics'!$B$22*'Underlying Mechanics'!$B$17,0)-IF(G$1&gt;0,'Underlying Mechanics'!$B$12*'Underlying Mechanics'!$B$18,0)</x:f>
        <x:v>-20100</x:v>
      </x:c>
      <x:c r="H133" t="n">
        <x:f>((IF(H$1-'Underlying Mechanics'!$B$8&lt;0,0,'Underlying Mechanics'!$B$22*'Underlying Mechanics'!$B$15*INDEX('Underlying Mechanics'!$B$31:$B$51,H$1-'Underlying Mechanics'!$B$8+1)*'Underlying Mechanics'!$B$5))*(1-$A133))-IF(H$1=0,'Underlying Mechanics'!$B$23*(1-$B133),0)-IF(H$1&gt;0,'Underlying Mechanics'!$B$22*'Underlying Mechanics'!$B$17,0)-IF(H$1&gt;0,'Underlying Mechanics'!$B$12*'Underlying Mechanics'!$B$18,0)</x:f>
        <x:v>-17700</x:v>
      </x:c>
      <x:c r="I133" t="n">
        <x:f>((IF(I$1-'Underlying Mechanics'!$B$8&lt;0,0,'Underlying Mechanics'!$B$22*'Underlying Mechanics'!$B$15*INDEX('Underlying Mechanics'!$B$31:$B$51,I$1-'Underlying Mechanics'!$B$8+1)*'Underlying Mechanics'!$B$5))*(1-$A133))-IF(I$1=0,'Underlying Mechanics'!$B$23*(1-$B133),0)-IF(I$1&gt;0,'Underlying Mechanics'!$B$22*'Underlying Mechanics'!$B$17,0)-IF(I$1&gt;0,'Underlying Mechanics'!$B$12*'Underlying Mechanics'!$B$18,0)</x:f>
        <x:v>-13860</x:v>
      </x:c>
      <x:c r="J133" t="n">
        <x:f>((IF(J$1-'Underlying Mechanics'!$B$8&lt;0,0,'Underlying Mechanics'!$B$22*'Underlying Mechanics'!$B$15*INDEX('Underlying Mechanics'!$B$31:$B$51,J$1-'Underlying Mechanics'!$B$8+1)*'Underlying Mechanics'!$B$5))*(1-$A133))-IF(J$1=0,'Underlying Mechanics'!$B$23*(1-$B133),0)-IF(J$1&gt;0,'Underlying Mechanics'!$B$22*'Underlying Mechanics'!$B$17,0)-IF(J$1&gt;0,'Underlying Mechanics'!$B$12*'Underlying Mechanics'!$B$18,0)</x:f>
        <x:v>-9059.999999999996</x:v>
      </x:c>
      <x:c r="K133" t="n">
        <x:f>((IF(K$1-'Underlying Mechanics'!$B$8&lt;0,0,'Underlying Mechanics'!$B$22*'Underlying Mechanics'!$B$15*INDEX('Underlying Mechanics'!$B$31:$B$51,K$1-'Underlying Mechanics'!$B$8+1)*'Underlying Mechanics'!$B$5))*(1-$A133))-IF(K$1=0,'Underlying Mechanics'!$B$23*(1-$B133),0)-IF(K$1&gt;0,'Underlying Mechanics'!$B$22*'Underlying Mechanics'!$B$17,0)-IF(K$1&gt;0,'Underlying Mechanics'!$B$12*'Underlying Mechanics'!$B$18,0)</x:f>
        <x:v>-3300</x:v>
      </x:c>
      <x:c r="L133" t="n">
        <x:f>((IF(L$1-'Underlying Mechanics'!$B$8&lt;0,0,'Underlying Mechanics'!$B$22*'Underlying Mechanics'!$B$15*INDEX('Underlying Mechanics'!$B$31:$B$51,L$1-'Underlying Mechanics'!$B$8+1)*'Underlying Mechanics'!$B$5))*(1-$A133))-IF(L$1=0,'Underlying Mechanics'!$B$23*(1-$B133),0)-IF(L$1&gt;0,'Underlying Mechanics'!$B$22*'Underlying Mechanics'!$B$17,0)-IF(L$1&gt;0,'Underlying Mechanics'!$B$12*'Underlying Mechanics'!$B$18,0)</x:f>
        <x:v>3420</x:v>
      </x:c>
      <x:c r="M133" t="n">
        <x:f>((IF(M$1-'Underlying Mechanics'!$B$8&lt;0,0,'Underlying Mechanics'!$B$22*'Underlying Mechanics'!$B$15*INDEX('Underlying Mechanics'!$B$31:$B$51,M$1-'Underlying Mechanics'!$B$8+1)*'Underlying Mechanics'!$B$5))*(1-$A133))-IF(M$1=0,'Underlying Mechanics'!$B$23*(1-$B133),0)-IF(M$1&gt;0,'Underlying Mechanics'!$B$22*'Underlying Mechanics'!$B$17,0)-IF(M$1&gt;0,'Underlying Mechanics'!$B$12*'Underlying Mechanics'!$B$18,0)</x:f>
        <x:v>10140.000000000007</x:v>
      </x:c>
      <x:c r="N133" t="n">
        <x:f>((IF(N$1-'Underlying Mechanics'!$B$8&lt;0,0,'Underlying Mechanics'!$B$22*'Underlying Mechanics'!$B$15*INDEX('Underlying Mechanics'!$B$31:$B$51,N$1-'Underlying Mechanics'!$B$8+1)*'Underlying Mechanics'!$B$5))*(1-$A133))-IF(N$1=0,'Underlying Mechanics'!$B$23*(1-$B133),0)-IF(N$1&gt;0,'Underlying Mechanics'!$B$22*'Underlying Mechanics'!$B$17,0)-IF(N$1&gt;0,'Underlying Mechanics'!$B$12*'Underlying Mechanics'!$B$18,0)</x:f>
        <x:v>15900</x:v>
      </x:c>
      <x:c r="O133" t="n">
        <x:f>((IF(O$1-'Underlying Mechanics'!$B$8&lt;0,0,'Underlying Mechanics'!$B$22*'Underlying Mechanics'!$B$15*INDEX('Underlying Mechanics'!$B$31:$B$51,O$1-'Underlying Mechanics'!$B$8+1)*'Underlying Mechanics'!$B$5))*(1-$A133))-IF(O$1=0,'Underlying Mechanics'!$B$23*(1-$B133),0)-IF(O$1&gt;0,'Underlying Mechanics'!$B$22*'Underlying Mechanics'!$B$17,0)-IF(O$1&gt;0,'Underlying Mechanics'!$B$12*'Underlying Mechanics'!$B$18,0)</x:f>
        <x:v>20700</x:v>
      </x:c>
      <x:c r="P133" t="n">
        <x:f>((IF(P$1-'Underlying Mechanics'!$B$8&lt;0,0,'Underlying Mechanics'!$B$22*'Underlying Mechanics'!$B$15*INDEX('Underlying Mechanics'!$B$31:$B$51,P$1-'Underlying Mechanics'!$B$8+1)*'Underlying Mechanics'!$B$5))*(1-$A133))-IF(P$1=0,'Underlying Mechanics'!$B$23*(1-$B133),0)-IF(P$1&gt;0,'Underlying Mechanics'!$B$22*'Underlying Mechanics'!$B$17,0)-IF(P$1&gt;0,'Underlying Mechanics'!$B$12*'Underlying Mechanics'!$B$18,0)</x:f>
        <x:v>25500</x:v>
      </x:c>
      <x:c r="Q133" t="n">
        <x:f>((IF(Q$1-'Underlying Mechanics'!$B$8&lt;0,0,'Underlying Mechanics'!$B$22*'Underlying Mechanics'!$B$15*INDEX('Underlying Mechanics'!$B$31:$B$51,Q$1-'Underlying Mechanics'!$B$8+1)*'Underlying Mechanics'!$B$5))*(1-$A133))-IF(Q$1=0,'Underlying Mechanics'!$B$23*(1-$B133),0)-IF(Q$1&gt;0,'Underlying Mechanics'!$B$22*'Underlying Mechanics'!$B$17,0)-IF(Q$1&gt;0,'Underlying Mechanics'!$B$12*'Underlying Mechanics'!$B$18,0)</x:f>
        <x:v>25500</x:v>
      </x:c>
      <x:c r="R133" t="n">
        <x:f>((IF(R$1-'Underlying Mechanics'!$B$8&lt;0,0,'Underlying Mechanics'!$B$22*'Underlying Mechanics'!$B$15*INDEX('Underlying Mechanics'!$B$31:$B$51,R$1-'Underlying Mechanics'!$B$8+1)*'Underlying Mechanics'!$B$5))*(1-$A133))-IF(R$1=0,'Underlying Mechanics'!$B$23*(1-$B133),0)-IF(R$1&gt;0,'Underlying Mechanics'!$B$22*'Underlying Mechanics'!$B$17,0)-IF(R$1&gt;0,'Underlying Mechanics'!$B$12*'Underlying Mechanics'!$B$18,0)</x:f>
        <x:v>25500</x:v>
      </x:c>
      <x:c r="S133" t="n">
        <x:f>((IF(S$1-'Underlying Mechanics'!$B$8&lt;0,0,'Underlying Mechanics'!$B$22*'Underlying Mechanics'!$B$15*INDEX('Underlying Mechanics'!$B$31:$B$51,S$1-'Underlying Mechanics'!$B$8+1)*'Underlying Mechanics'!$B$5))*(1-$A133))-IF(S$1=0,'Underlying Mechanics'!$B$23*(1-$B133),0)-IF(S$1&gt;0,'Underlying Mechanics'!$B$22*'Underlying Mechanics'!$B$17,0)-IF(S$1&gt;0,'Underlying Mechanics'!$B$12*'Underlying Mechanics'!$B$18,0)</x:f>
        <x:v>25500</x:v>
      </x:c>
      <x:c r="T133" t="n">
        <x:f>((IF(T$1-'Underlying Mechanics'!$B$8&lt;0,0,'Underlying Mechanics'!$B$22*'Underlying Mechanics'!$B$15*INDEX('Underlying Mechanics'!$B$31:$B$51,T$1-'Underlying Mechanics'!$B$8+1)*'Underlying Mechanics'!$B$5))*(1-$A133))-IF(T$1=0,'Underlying Mechanics'!$B$23*(1-$B133),0)-IF(T$1&gt;0,'Underlying Mechanics'!$B$22*'Underlying Mechanics'!$B$17,0)-IF(T$1&gt;0,'Underlying Mechanics'!$B$12*'Underlying Mechanics'!$B$18,0)</x:f>
        <x:v>25500</x:v>
      </x:c>
      <x:c r="U133" t="n">
        <x:f>((IF(U$1-'Underlying Mechanics'!$B$8&lt;0,0,'Underlying Mechanics'!$B$22*'Underlying Mechanics'!$B$15*INDEX('Underlying Mechanics'!$B$31:$B$51,U$1-'Underlying Mechanics'!$B$8+1)*'Underlying Mechanics'!$B$5))*(1-$A133))-IF(U$1=0,'Underlying Mechanics'!$B$23*(1-$B133),0)-IF(U$1&gt;0,'Underlying Mechanics'!$B$22*'Underlying Mechanics'!$B$17,0)-IF(U$1&gt;0,'Underlying Mechanics'!$B$12*'Underlying Mechanics'!$B$18,0)</x:f>
        <x:v>25500</x:v>
      </x:c>
      <x:c r="V133" t="n">
        <x:f>((IF(V$1-'Underlying Mechanics'!$B$8&lt;0,0,'Underlying Mechanics'!$B$22*'Underlying Mechanics'!$B$15*INDEX('Underlying Mechanics'!$B$31:$B$51,V$1-'Underlying Mechanics'!$B$8+1)*'Underlying Mechanics'!$B$5))*(1-$A133))-IF(V$1=0,'Underlying Mechanics'!$B$23*(1-$B133),0)-IF(V$1&gt;0,'Underlying Mechanics'!$B$22*'Underlying Mechanics'!$B$17,0)-IF(V$1&gt;0,'Underlying Mechanics'!$B$12*'Underlying Mechanics'!$B$18,0)</x:f>
        <x:v>25500</x:v>
      </x:c>
      <x:c r="W133" t="n">
        <x:f>((IF(W$1-'Underlying Mechanics'!$B$8&lt;0,0,'Underlying Mechanics'!$B$22*'Underlying Mechanics'!$B$15*INDEX('Underlying Mechanics'!$B$31:$B$51,W$1-'Underlying Mechanics'!$B$8+1)*'Underlying Mechanics'!$B$5))*(1-$A133))-IF(W$1=0,'Underlying Mechanics'!$B$23*(1-$B133),0)-IF(W$1&gt;0,'Underlying Mechanics'!$B$22*'Underlying Mechanics'!$B$17,0)-IF(W$1&gt;0,'Underlying Mechanics'!$B$12*'Underlying Mechanics'!$B$18,0)</x:f>
        <x:v>25500</x:v>
      </x:c>
      <x:c r="X133" t="n">
        <x:f>IFERROR(IRR(C133:W133),-1)</x:f>
        <x:v>0.00331998434994957</x:v>
      </x:c>
    </x:row>
    <x:row r="134">
      <x:c r="A134" t="n">
        <x:v>0.6</x:v>
      </x:c>
      <x:c r="B134" t="n">
        <x:v>0.3</x:v>
      </x:c>
      <x:c r="C134" t="n">
        <x:f>((IF(C$1-'Underlying Mechanics'!$B$8&lt;0,0,'Underlying Mechanics'!$B$22*'Underlying Mechanics'!$B$15*INDEX('Underlying Mechanics'!$B$31:$B$51,C$1-'Underlying Mechanics'!$B$8+1)*'Underlying Mechanics'!$B$5))*(1-$A134))-IF(C$1=0,'Underlying Mechanics'!$B$23*(1-$B134),0)-IF(C$1&gt;0,'Underlying Mechanics'!$B$22*'Underlying Mechanics'!$B$17,0)-IF(C$1&gt;0,'Underlying Mechanics'!$B$12*'Underlying Mechanics'!$B$18,0)</x:f>
        <x:v>-105000</x:v>
      </x:c>
      <x:c r="D134" t="n">
        <x:f>((IF(D$1-'Underlying Mechanics'!$B$8&lt;0,0,'Underlying Mechanics'!$B$22*'Underlying Mechanics'!$B$15*INDEX('Underlying Mechanics'!$B$31:$B$51,D$1-'Underlying Mechanics'!$B$8+1)*'Underlying Mechanics'!$B$5))*(1-$A134))-IF(D$1=0,'Underlying Mechanics'!$B$23*(1-$B134),0)-IF(D$1&gt;0,'Underlying Mechanics'!$B$22*'Underlying Mechanics'!$B$17,0)-IF(D$1&gt;0,'Underlying Mechanics'!$B$12*'Underlying Mechanics'!$B$18,0)</x:f>
        <x:v>-22500</x:v>
      </x:c>
      <x:c r="E134" t="n">
        <x:f>((IF(E$1-'Underlying Mechanics'!$B$8&lt;0,0,'Underlying Mechanics'!$B$22*'Underlying Mechanics'!$B$15*INDEX('Underlying Mechanics'!$B$31:$B$51,E$1-'Underlying Mechanics'!$B$8+1)*'Underlying Mechanics'!$B$5))*(1-$A134))-IF(E$1=0,'Underlying Mechanics'!$B$23*(1-$B134),0)-IF(E$1&gt;0,'Underlying Mechanics'!$B$22*'Underlying Mechanics'!$B$17,0)-IF(E$1&gt;0,'Underlying Mechanics'!$B$12*'Underlying Mechanics'!$B$18,0)</x:f>
        <x:v>-22500</x:v>
      </x:c>
      <x:c r="F134" t="n">
        <x:f>((IF(F$1-'Underlying Mechanics'!$B$8&lt;0,0,'Underlying Mechanics'!$B$22*'Underlying Mechanics'!$B$15*INDEX('Underlying Mechanics'!$B$31:$B$51,F$1-'Underlying Mechanics'!$B$8+1)*'Underlying Mechanics'!$B$5))*(1-$A134))-IF(F$1=0,'Underlying Mechanics'!$B$23*(1-$B134),0)-IF(F$1&gt;0,'Underlying Mechanics'!$B$22*'Underlying Mechanics'!$B$17,0)-IF(F$1&gt;0,'Underlying Mechanics'!$B$12*'Underlying Mechanics'!$B$18,0)</x:f>
        <x:v>-21540</x:v>
      </x:c>
      <x:c r="G134" t="n">
        <x:f>((IF(G$1-'Underlying Mechanics'!$B$8&lt;0,0,'Underlying Mechanics'!$B$22*'Underlying Mechanics'!$B$15*INDEX('Underlying Mechanics'!$B$31:$B$51,G$1-'Underlying Mechanics'!$B$8+1)*'Underlying Mechanics'!$B$5))*(1-$A134))-IF(G$1=0,'Underlying Mechanics'!$B$23*(1-$B134),0)-IF(G$1&gt;0,'Underlying Mechanics'!$B$22*'Underlying Mechanics'!$B$17,0)-IF(G$1&gt;0,'Underlying Mechanics'!$B$12*'Underlying Mechanics'!$B$18,0)</x:f>
        <x:v>-20100</x:v>
      </x:c>
      <x:c r="H134" t="n">
        <x:f>((IF(H$1-'Underlying Mechanics'!$B$8&lt;0,0,'Underlying Mechanics'!$B$22*'Underlying Mechanics'!$B$15*INDEX('Underlying Mechanics'!$B$31:$B$51,H$1-'Underlying Mechanics'!$B$8+1)*'Underlying Mechanics'!$B$5))*(1-$A134))-IF(H$1=0,'Underlying Mechanics'!$B$23*(1-$B134),0)-IF(H$1&gt;0,'Underlying Mechanics'!$B$22*'Underlying Mechanics'!$B$17,0)-IF(H$1&gt;0,'Underlying Mechanics'!$B$12*'Underlying Mechanics'!$B$18,0)</x:f>
        <x:v>-17700</x:v>
      </x:c>
      <x:c r="I134" t="n">
        <x:f>((IF(I$1-'Underlying Mechanics'!$B$8&lt;0,0,'Underlying Mechanics'!$B$22*'Underlying Mechanics'!$B$15*INDEX('Underlying Mechanics'!$B$31:$B$51,I$1-'Underlying Mechanics'!$B$8+1)*'Underlying Mechanics'!$B$5))*(1-$A134))-IF(I$1=0,'Underlying Mechanics'!$B$23*(1-$B134),0)-IF(I$1&gt;0,'Underlying Mechanics'!$B$22*'Underlying Mechanics'!$B$17,0)-IF(I$1&gt;0,'Underlying Mechanics'!$B$12*'Underlying Mechanics'!$B$18,0)</x:f>
        <x:v>-13860</x:v>
      </x:c>
      <x:c r="J134" t="n">
        <x:f>((IF(J$1-'Underlying Mechanics'!$B$8&lt;0,0,'Underlying Mechanics'!$B$22*'Underlying Mechanics'!$B$15*INDEX('Underlying Mechanics'!$B$31:$B$51,J$1-'Underlying Mechanics'!$B$8+1)*'Underlying Mechanics'!$B$5))*(1-$A134))-IF(J$1=0,'Underlying Mechanics'!$B$23*(1-$B134),0)-IF(J$1&gt;0,'Underlying Mechanics'!$B$22*'Underlying Mechanics'!$B$17,0)-IF(J$1&gt;0,'Underlying Mechanics'!$B$12*'Underlying Mechanics'!$B$18,0)</x:f>
        <x:v>-9059.999999999996</x:v>
      </x:c>
      <x:c r="K134" t="n">
        <x:f>((IF(K$1-'Underlying Mechanics'!$B$8&lt;0,0,'Underlying Mechanics'!$B$22*'Underlying Mechanics'!$B$15*INDEX('Underlying Mechanics'!$B$31:$B$51,K$1-'Underlying Mechanics'!$B$8+1)*'Underlying Mechanics'!$B$5))*(1-$A134))-IF(K$1=0,'Underlying Mechanics'!$B$23*(1-$B134),0)-IF(K$1&gt;0,'Underlying Mechanics'!$B$22*'Underlying Mechanics'!$B$17,0)-IF(K$1&gt;0,'Underlying Mechanics'!$B$12*'Underlying Mechanics'!$B$18,0)</x:f>
        <x:v>-3300</x:v>
      </x:c>
      <x:c r="L134" t="n">
        <x:f>((IF(L$1-'Underlying Mechanics'!$B$8&lt;0,0,'Underlying Mechanics'!$B$22*'Underlying Mechanics'!$B$15*INDEX('Underlying Mechanics'!$B$31:$B$51,L$1-'Underlying Mechanics'!$B$8+1)*'Underlying Mechanics'!$B$5))*(1-$A134))-IF(L$1=0,'Underlying Mechanics'!$B$23*(1-$B134),0)-IF(L$1&gt;0,'Underlying Mechanics'!$B$22*'Underlying Mechanics'!$B$17,0)-IF(L$1&gt;0,'Underlying Mechanics'!$B$12*'Underlying Mechanics'!$B$18,0)</x:f>
        <x:v>3420</x:v>
      </x:c>
      <x:c r="M134" t="n">
        <x:f>((IF(M$1-'Underlying Mechanics'!$B$8&lt;0,0,'Underlying Mechanics'!$B$22*'Underlying Mechanics'!$B$15*INDEX('Underlying Mechanics'!$B$31:$B$51,M$1-'Underlying Mechanics'!$B$8+1)*'Underlying Mechanics'!$B$5))*(1-$A134))-IF(M$1=0,'Underlying Mechanics'!$B$23*(1-$B134),0)-IF(M$1&gt;0,'Underlying Mechanics'!$B$22*'Underlying Mechanics'!$B$17,0)-IF(M$1&gt;0,'Underlying Mechanics'!$B$12*'Underlying Mechanics'!$B$18,0)</x:f>
        <x:v>10140.000000000007</x:v>
      </x:c>
      <x:c r="N134" t="n">
        <x:f>((IF(N$1-'Underlying Mechanics'!$B$8&lt;0,0,'Underlying Mechanics'!$B$22*'Underlying Mechanics'!$B$15*INDEX('Underlying Mechanics'!$B$31:$B$51,N$1-'Underlying Mechanics'!$B$8+1)*'Underlying Mechanics'!$B$5))*(1-$A134))-IF(N$1=0,'Underlying Mechanics'!$B$23*(1-$B134),0)-IF(N$1&gt;0,'Underlying Mechanics'!$B$22*'Underlying Mechanics'!$B$17,0)-IF(N$1&gt;0,'Underlying Mechanics'!$B$12*'Underlying Mechanics'!$B$18,0)</x:f>
        <x:v>15900</x:v>
      </x:c>
      <x:c r="O134" t="n">
        <x:f>((IF(O$1-'Underlying Mechanics'!$B$8&lt;0,0,'Underlying Mechanics'!$B$22*'Underlying Mechanics'!$B$15*INDEX('Underlying Mechanics'!$B$31:$B$51,O$1-'Underlying Mechanics'!$B$8+1)*'Underlying Mechanics'!$B$5))*(1-$A134))-IF(O$1=0,'Underlying Mechanics'!$B$23*(1-$B134),0)-IF(O$1&gt;0,'Underlying Mechanics'!$B$22*'Underlying Mechanics'!$B$17,0)-IF(O$1&gt;0,'Underlying Mechanics'!$B$12*'Underlying Mechanics'!$B$18,0)</x:f>
        <x:v>20700</x:v>
      </x:c>
      <x:c r="P134" t="n">
        <x:f>((IF(P$1-'Underlying Mechanics'!$B$8&lt;0,0,'Underlying Mechanics'!$B$22*'Underlying Mechanics'!$B$15*INDEX('Underlying Mechanics'!$B$31:$B$51,P$1-'Underlying Mechanics'!$B$8+1)*'Underlying Mechanics'!$B$5))*(1-$A134))-IF(P$1=0,'Underlying Mechanics'!$B$23*(1-$B134),0)-IF(P$1&gt;0,'Underlying Mechanics'!$B$22*'Underlying Mechanics'!$B$17,0)-IF(P$1&gt;0,'Underlying Mechanics'!$B$12*'Underlying Mechanics'!$B$18,0)</x:f>
        <x:v>25500</x:v>
      </x:c>
      <x:c r="Q134" t="n">
        <x:f>((IF(Q$1-'Underlying Mechanics'!$B$8&lt;0,0,'Underlying Mechanics'!$B$22*'Underlying Mechanics'!$B$15*INDEX('Underlying Mechanics'!$B$31:$B$51,Q$1-'Underlying Mechanics'!$B$8+1)*'Underlying Mechanics'!$B$5))*(1-$A134))-IF(Q$1=0,'Underlying Mechanics'!$B$23*(1-$B134),0)-IF(Q$1&gt;0,'Underlying Mechanics'!$B$22*'Underlying Mechanics'!$B$17,0)-IF(Q$1&gt;0,'Underlying Mechanics'!$B$12*'Underlying Mechanics'!$B$18,0)</x:f>
        <x:v>25500</x:v>
      </x:c>
      <x:c r="R134" t="n">
        <x:f>((IF(R$1-'Underlying Mechanics'!$B$8&lt;0,0,'Underlying Mechanics'!$B$22*'Underlying Mechanics'!$B$15*INDEX('Underlying Mechanics'!$B$31:$B$51,R$1-'Underlying Mechanics'!$B$8+1)*'Underlying Mechanics'!$B$5))*(1-$A134))-IF(R$1=0,'Underlying Mechanics'!$B$23*(1-$B134),0)-IF(R$1&gt;0,'Underlying Mechanics'!$B$22*'Underlying Mechanics'!$B$17,0)-IF(R$1&gt;0,'Underlying Mechanics'!$B$12*'Underlying Mechanics'!$B$18,0)</x:f>
        <x:v>25500</x:v>
      </x:c>
      <x:c r="S134" t="n">
        <x:f>((IF(S$1-'Underlying Mechanics'!$B$8&lt;0,0,'Underlying Mechanics'!$B$22*'Underlying Mechanics'!$B$15*INDEX('Underlying Mechanics'!$B$31:$B$51,S$1-'Underlying Mechanics'!$B$8+1)*'Underlying Mechanics'!$B$5))*(1-$A134))-IF(S$1=0,'Underlying Mechanics'!$B$23*(1-$B134),0)-IF(S$1&gt;0,'Underlying Mechanics'!$B$22*'Underlying Mechanics'!$B$17,0)-IF(S$1&gt;0,'Underlying Mechanics'!$B$12*'Underlying Mechanics'!$B$18,0)</x:f>
        <x:v>25500</x:v>
      </x:c>
      <x:c r="T134" t="n">
        <x:f>((IF(T$1-'Underlying Mechanics'!$B$8&lt;0,0,'Underlying Mechanics'!$B$22*'Underlying Mechanics'!$B$15*INDEX('Underlying Mechanics'!$B$31:$B$51,T$1-'Underlying Mechanics'!$B$8+1)*'Underlying Mechanics'!$B$5))*(1-$A134))-IF(T$1=0,'Underlying Mechanics'!$B$23*(1-$B134),0)-IF(T$1&gt;0,'Underlying Mechanics'!$B$22*'Underlying Mechanics'!$B$17,0)-IF(T$1&gt;0,'Underlying Mechanics'!$B$12*'Underlying Mechanics'!$B$18,0)</x:f>
        <x:v>25500</x:v>
      </x:c>
      <x:c r="U134" t="n">
        <x:f>((IF(U$1-'Underlying Mechanics'!$B$8&lt;0,0,'Underlying Mechanics'!$B$22*'Underlying Mechanics'!$B$15*INDEX('Underlying Mechanics'!$B$31:$B$51,U$1-'Underlying Mechanics'!$B$8+1)*'Underlying Mechanics'!$B$5))*(1-$A134))-IF(U$1=0,'Underlying Mechanics'!$B$23*(1-$B134),0)-IF(U$1&gt;0,'Underlying Mechanics'!$B$22*'Underlying Mechanics'!$B$17,0)-IF(U$1&gt;0,'Underlying Mechanics'!$B$12*'Underlying Mechanics'!$B$18,0)</x:f>
        <x:v>25500</x:v>
      </x:c>
      <x:c r="V134" t="n">
        <x:f>((IF(V$1-'Underlying Mechanics'!$B$8&lt;0,0,'Underlying Mechanics'!$B$22*'Underlying Mechanics'!$B$15*INDEX('Underlying Mechanics'!$B$31:$B$51,V$1-'Underlying Mechanics'!$B$8+1)*'Underlying Mechanics'!$B$5))*(1-$A134))-IF(V$1=0,'Underlying Mechanics'!$B$23*(1-$B134),0)-IF(V$1&gt;0,'Underlying Mechanics'!$B$22*'Underlying Mechanics'!$B$17,0)-IF(V$1&gt;0,'Underlying Mechanics'!$B$12*'Underlying Mechanics'!$B$18,0)</x:f>
        <x:v>25500</x:v>
      </x:c>
      <x:c r="W134" t="n">
        <x:f>((IF(W$1-'Underlying Mechanics'!$B$8&lt;0,0,'Underlying Mechanics'!$B$22*'Underlying Mechanics'!$B$15*INDEX('Underlying Mechanics'!$B$31:$B$51,W$1-'Underlying Mechanics'!$B$8+1)*'Underlying Mechanics'!$B$5))*(1-$A134))-IF(W$1=0,'Underlying Mechanics'!$B$23*(1-$B134),0)-IF(W$1&gt;0,'Underlying Mechanics'!$B$22*'Underlying Mechanics'!$B$17,0)-IF(W$1&gt;0,'Underlying Mechanics'!$B$12*'Underlying Mechanics'!$B$18,0)</x:f>
        <x:v>25500</x:v>
      </x:c>
      <x:c r="X134" t="n">
        <x:f>IFERROR(IRR(C134:W134),-1)</x:f>
        <x:v>0.005684861348682376</x:v>
      </x:c>
    </x:row>
    <x:row r="135">
      <x:c r="A135" t="n">
        <x:v>0.6</x:v>
      </x:c>
      <x:c r="B135" t="n">
        <x:v>0.35</x:v>
      </x:c>
      <x:c r="C135" t="n">
        <x:f>((IF(C$1-'Underlying Mechanics'!$B$8&lt;0,0,'Underlying Mechanics'!$B$22*'Underlying Mechanics'!$B$15*INDEX('Underlying Mechanics'!$B$31:$B$51,C$1-'Underlying Mechanics'!$B$8+1)*'Underlying Mechanics'!$B$5))*(1-$A135))-IF(C$1=0,'Underlying Mechanics'!$B$23*(1-$B135),0)-IF(C$1&gt;0,'Underlying Mechanics'!$B$22*'Underlying Mechanics'!$B$17,0)-IF(C$1&gt;0,'Underlying Mechanics'!$B$12*'Underlying Mechanics'!$B$18,0)</x:f>
        <x:v>-97500</x:v>
      </x:c>
      <x:c r="D135" t="n">
        <x:f>((IF(D$1-'Underlying Mechanics'!$B$8&lt;0,0,'Underlying Mechanics'!$B$22*'Underlying Mechanics'!$B$15*INDEX('Underlying Mechanics'!$B$31:$B$51,D$1-'Underlying Mechanics'!$B$8+1)*'Underlying Mechanics'!$B$5))*(1-$A135))-IF(D$1=0,'Underlying Mechanics'!$B$23*(1-$B135),0)-IF(D$1&gt;0,'Underlying Mechanics'!$B$22*'Underlying Mechanics'!$B$17,0)-IF(D$1&gt;0,'Underlying Mechanics'!$B$12*'Underlying Mechanics'!$B$18,0)</x:f>
        <x:v>-22500</x:v>
      </x:c>
      <x:c r="E135" t="n">
        <x:f>((IF(E$1-'Underlying Mechanics'!$B$8&lt;0,0,'Underlying Mechanics'!$B$22*'Underlying Mechanics'!$B$15*INDEX('Underlying Mechanics'!$B$31:$B$51,E$1-'Underlying Mechanics'!$B$8+1)*'Underlying Mechanics'!$B$5))*(1-$A135))-IF(E$1=0,'Underlying Mechanics'!$B$23*(1-$B135),0)-IF(E$1&gt;0,'Underlying Mechanics'!$B$22*'Underlying Mechanics'!$B$17,0)-IF(E$1&gt;0,'Underlying Mechanics'!$B$12*'Underlying Mechanics'!$B$18,0)</x:f>
        <x:v>-22500</x:v>
      </x:c>
      <x:c r="F135" t="n">
        <x:f>((IF(F$1-'Underlying Mechanics'!$B$8&lt;0,0,'Underlying Mechanics'!$B$22*'Underlying Mechanics'!$B$15*INDEX('Underlying Mechanics'!$B$31:$B$51,F$1-'Underlying Mechanics'!$B$8+1)*'Underlying Mechanics'!$B$5))*(1-$A135))-IF(F$1=0,'Underlying Mechanics'!$B$23*(1-$B135),0)-IF(F$1&gt;0,'Underlying Mechanics'!$B$22*'Underlying Mechanics'!$B$17,0)-IF(F$1&gt;0,'Underlying Mechanics'!$B$12*'Underlying Mechanics'!$B$18,0)</x:f>
        <x:v>-21540</x:v>
      </x:c>
      <x:c r="G135" t="n">
        <x:f>((IF(G$1-'Underlying Mechanics'!$B$8&lt;0,0,'Underlying Mechanics'!$B$22*'Underlying Mechanics'!$B$15*INDEX('Underlying Mechanics'!$B$31:$B$51,G$1-'Underlying Mechanics'!$B$8+1)*'Underlying Mechanics'!$B$5))*(1-$A135))-IF(G$1=0,'Underlying Mechanics'!$B$23*(1-$B135),0)-IF(G$1&gt;0,'Underlying Mechanics'!$B$22*'Underlying Mechanics'!$B$17,0)-IF(G$1&gt;0,'Underlying Mechanics'!$B$12*'Underlying Mechanics'!$B$18,0)</x:f>
        <x:v>-20100</x:v>
      </x:c>
      <x:c r="H135" t="n">
        <x:f>((IF(H$1-'Underlying Mechanics'!$B$8&lt;0,0,'Underlying Mechanics'!$B$22*'Underlying Mechanics'!$B$15*INDEX('Underlying Mechanics'!$B$31:$B$51,H$1-'Underlying Mechanics'!$B$8+1)*'Underlying Mechanics'!$B$5))*(1-$A135))-IF(H$1=0,'Underlying Mechanics'!$B$23*(1-$B135),0)-IF(H$1&gt;0,'Underlying Mechanics'!$B$22*'Underlying Mechanics'!$B$17,0)-IF(H$1&gt;0,'Underlying Mechanics'!$B$12*'Underlying Mechanics'!$B$18,0)</x:f>
        <x:v>-17700</x:v>
      </x:c>
      <x:c r="I135" t="n">
        <x:f>((IF(I$1-'Underlying Mechanics'!$B$8&lt;0,0,'Underlying Mechanics'!$B$22*'Underlying Mechanics'!$B$15*INDEX('Underlying Mechanics'!$B$31:$B$51,I$1-'Underlying Mechanics'!$B$8+1)*'Underlying Mechanics'!$B$5))*(1-$A135))-IF(I$1=0,'Underlying Mechanics'!$B$23*(1-$B135),0)-IF(I$1&gt;0,'Underlying Mechanics'!$B$22*'Underlying Mechanics'!$B$17,0)-IF(I$1&gt;0,'Underlying Mechanics'!$B$12*'Underlying Mechanics'!$B$18,0)</x:f>
        <x:v>-13860</x:v>
      </x:c>
      <x:c r="J135" t="n">
        <x:f>((IF(J$1-'Underlying Mechanics'!$B$8&lt;0,0,'Underlying Mechanics'!$B$22*'Underlying Mechanics'!$B$15*INDEX('Underlying Mechanics'!$B$31:$B$51,J$1-'Underlying Mechanics'!$B$8+1)*'Underlying Mechanics'!$B$5))*(1-$A135))-IF(J$1=0,'Underlying Mechanics'!$B$23*(1-$B135),0)-IF(J$1&gt;0,'Underlying Mechanics'!$B$22*'Underlying Mechanics'!$B$17,0)-IF(J$1&gt;0,'Underlying Mechanics'!$B$12*'Underlying Mechanics'!$B$18,0)</x:f>
        <x:v>-9059.999999999996</x:v>
      </x:c>
      <x:c r="K135" t="n">
        <x:f>((IF(K$1-'Underlying Mechanics'!$B$8&lt;0,0,'Underlying Mechanics'!$B$22*'Underlying Mechanics'!$B$15*INDEX('Underlying Mechanics'!$B$31:$B$51,K$1-'Underlying Mechanics'!$B$8+1)*'Underlying Mechanics'!$B$5))*(1-$A135))-IF(K$1=0,'Underlying Mechanics'!$B$23*(1-$B135),0)-IF(K$1&gt;0,'Underlying Mechanics'!$B$22*'Underlying Mechanics'!$B$17,0)-IF(K$1&gt;0,'Underlying Mechanics'!$B$12*'Underlying Mechanics'!$B$18,0)</x:f>
        <x:v>-3300</x:v>
      </x:c>
      <x:c r="L135" t="n">
        <x:f>((IF(L$1-'Underlying Mechanics'!$B$8&lt;0,0,'Underlying Mechanics'!$B$22*'Underlying Mechanics'!$B$15*INDEX('Underlying Mechanics'!$B$31:$B$51,L$1-'Underlying Mechanics'!$B$8+1)*'Underlying Mechanics'!$B$5))*(1-$A135))-IF(L$1=0,'Underlying Mechanics'!$B$23*(1-$B135),0)-IF(L$1&gt;0,'Underlying Mechanics'!$B$22*'Underlying Mechanics'!$B$17,0)-IF(L$1&gt;0,'Underlying Mechanics'!$B$12*'Underlying Mechanics'!$B$18,0)</x:f>
        <x:v>3420</x:v>
      </x:c>
      <x:c r="M135" t="n">
        <x:f>((IF(M$1-'Underlying Mechanics'!$B$8&lt;0,0,'Underlying Mechanics'!$B$22*'Underlying Mechanics'!$B$15*INDEX('Underlying Mechanics'!$B$31:$B$51,M$1-'Underlying Mechanics'!$B$8+1)*'Underlying Mechanics'!$B$5))*(1-$A135))-IF(M$1=0,'Underlying Mechanics'!$B$23*(1-$B135),0)-IF(M$1&gt;0,'Underlying Mechanics'!$B$22*'Underlying Mechanics'!$B$17,0)-IF(M$1&gt;0,'Underlying Mechanics'!$B$12*'Underlying Mechanics'!$B$18,0)</x:f>
        <x:v>10140.000000000007</x:v>
      </x:c>
      <x:c r="N135" t="n">
        <x:f>((IF(N$1-'Underlying Mechanics'!$B$8&lt;0,0,'Underlying Mechanics'!$B$22*'Underlying Mechanics'!$B$15*INDEX('Underlying Mechanics'!$B$31:$B$51,N$1-'Underlying Mechanics'!$B$8+1)*'Underlying Mechanics'!$B$5))*(1-$A135))-IF(N$1=0,'Underlying Mechanics'!$B$23*(1-$B135),0)-IF(N$1&gt;0,'Underlying Mechanics'!$B$22*'Underlying Mechanics'!$B$17,0)-IF(N$1&gt;0,'Underlying Mechanics'!$B$12*'Underlying Mechanics'!$B$18,0)</x:f>
        <x:v>15900</x:v>
      </x:c>
      <x:c r="O135" t="n">
        <x:f>((IF(O$1-'Underlying Mechanics'!$B$8&lt;0,0,'Underlying Mechanics'!$B$22*'Underlying Mechanics'!$B$15*INDEX('Underlying Mechanics'!$B$31:$B$51,O$1-'Underlying Mechanics'!$B$8+1)*'Underlying Mechanics'!$B$5))*(1-$A135))-IF(O$1=0,'Underlying Mechanics'!$B$23*(1-$B135),0)-IF(O$1&gt;0,'Underlying Mechanics'!$B$22*'Underlying Mechanics'!$B$17,0)-IF(O$1&gt;0,'Underlying Mechanics'!$B$12*'Underlying Mechanics'!$B$18,0)</x:f>
        <x:v>20700</x:v>
      </x:c>
      <x:c r="P135" t="n">
        <x:f>((IF(P$1-'Underlying Mechanics'!$B$8&lt;0,0,'Underlying Mechanics'!$B$22*'Underlying Mechanics'!$B$15*INDEX('Underlying Mechanics'!$B$31:$B$51,P$1-'Underlying Mechanics'!$B$8+1)*'Underlying Mechanics'!$B$5))*(1-$A135))-IF(P$1=0,'Underlying Mechanics'!$B$23*(1-$B135),0)-IF(P$1&gt;0,'Underlying Mechanics'!$B$22*'Underlying Mechanics'!$B$17,0)-IF(P$1&gt;0,'Underlying Mechanics'!$B$12*'Underlying Mechanics'!$B$18,0)</x:f>
        <x:v>25500</x:v>
      </x:c>
      <x:c r="Q135" t="n">
        <x:f>((IF(Q$1-'Underlying Mechanics'!$B$8&lt;0,0,'Underlying Mechanics'!$B$22*'Underlying Mechanics'!$B$15*INDEX('Underlying Mechanics'!$B$31:$B$51,Q$1-'Underlying Mechanics'!$B$8+1)*'Underlying Mechanics'!$B$5))*(1-$A135))-IF(Q$1=0,'Underlying Mechanics'!$B$23*(1-$B135),0)-IF(Q$1&gt;0,'Underlying Mechanics'!$B$22*'Underlying Mechanics'!$B$17,0)-IF(Q$1&gt;0,'Underlying Mechanics'!$B$12*'Underlying Mechanics'!$B$18,0)</x:f>
        <x:v>25500</x:v>
      </x:c>
      <x:c r="R135" t="n">
        <x:f>((IF(R$1-'Underlying Mechanics'!$B$8&lt;0,0,'Underlying Mechanics'!$B$22*'Underlying Mechanics'!$B$15*INDEX('Underlying Mechanics'!$B$31:$B$51,R$1-'Underlying Mechanics'!$B$8+1)*'Underlying Mechanics'!$B$5))*(1-$A135))-IF(R$1=0,'Underlying Mechanics'!$B$23*(1-$B135),0)-IF(R$1&gt;0,'Underlying Mechanics'!$B$22*'Underlying Mechanics'!$B$17,0)-IF(R$1&gt;0,'Underlying Mechanics'!$B$12*'Underlying Mechanics'!$B$18,0)</x:f>
        <x:v>25500</x:v>
      </x:c>
      <x:c r="S135" t="n">
        <x:f>((IF(S$1-'Underlying Mechanics'!$B$8&lt;0,0,'Underlying Mechanics'!$B$22*'Underlying Mechanics'!$B$15*INDEX('Underlying Mechanics'!$B$31:$B$51,S$1-'Underlying Mechanics'!$B$8+1)*'Underlying Mechanics'!$B$5))*(1-$A135))-IF(S$1=0,'Underlying Mechanics'!$B$23*(1-$B135),0)-IF(S$1&gt;0,'Underlying Mechanics'!$B$22*'Underlying Mechanics'!$B$17,0)-IF(S$1&gt;0,'Underlying Mechanics'!$B$12*'Underlying Mechanics'!$B$18,0)</x:f>
        <x:v>25500</x:v>
      </x:c>
      <x:c r="T135" t="n">
        <x:f>((IF(T$1-'Underlying Mechanics'!$B$8&lt;0,0,'Underlying Mechanics'!$B$22*'Underlying Mechanics'!$B$15*INDEX('Underlying Mechanics'!$B$31:$B$51,T$1-'Underlying Mechanics'!$B$8+1)*'Underlying Mechanics'!$B$5))*(1-$A135))-IF(T$1=0,'Underlying Mechanics'!$B$23*(1-$B135),0)-IF(T$1&gt;0,'Underlying Mechanics'!$B$22*'Underlying Mechanics'!$B$17,0)-IF(T$1&gt;0,'Underlying Mechanics'!$B$12*'Underlying Mechanics'!$B$18,0)</x:f>
        <x:v>25500</x:v>
      </x:c>
      <x:c r="U135" t="n">
        <x:f>((IF(U$1-'Underlying Mechanics'!$B$8&lt;0,0,'Underlying Mechanics'!$B$22*'Underlying Mechanics'!$B$15*INDEX('Underlying Mechanics'!$B$31:$B$51,U$1-'Underlying Mechanics'!$B$8+1)*'Underlying Mechanics'!$B$5))*(1-$A135))-IF(U$1=0,'Underlying Mechanics'!$B$23*(1-$B135),0)-IF(U$1&gt;0,'Underlying Mechanics'!$B$22*'Underlying Mechanics'!$B$17,0)-IF(U$1&gt;0,'Underlying Mechanics'!$B$12*'Underlying Mechanics'!$B$18,0)</x:f>
        <x:v>25500</x:v>
      </x:c>
      <x:c r="V135" t="n">
        <x:f>((IF(V$1-'Underlying Mechanics'!$B$8&lt;0,0,'Underlying Mechanics'!$B$22*'Underlying Mechanics'!$B$15*INDEX('Underlying Mechanics'!$B$31:$B$51,V$1-'Underlying Mechanics'!$B$8+1)*'Underlying Mechanics'!$B$5))*(1-$A135))-IF(V$1=0,'Underlying Mechanics'!$B$23*(1-$B135),0)-IF(V$1&gt;0,'Underlying Mechanics'!$B$22*'Underlying Mechanics'!$B$17,0)-IF(V$1&gt;0,'Underlying Mechanics'!$B$12*'Underlying Mechanics'!$B$18,0)</x:f>
        <x:v>25500</x:v>
      </x:c>
      <x:c r="W135" t="n">
        <x:f>((IF(W$1-'Underlying Mechanics'!$B$8&lt;0,0,'Underlying Mechanics'!$B$22*'Underlying Mechanics'!$B$15*INDEX('Underlying Mechanics'!$B$31:$B$51,W$1-'Underlying Mechanics'!$B$8+1)*'Underlying Mechanics'!$B$5))*(1-$A135))-IF(W$1=0,'Underlying Mechanics'!$B$23*(1-$B135),0)-IF(W$1&gt;0,'Underlying Mechanics'!$B$22*'Underlying Mechanics'!$B$17,0)-IF(W$1&gt;0,'Underlying Mechanics'!$B$12*'Underlying Mechanics'!$B$18,0)</x:f>
        <x:v>25500</x:v>
      </x:c>
      <x:c r="X135" t="n">
        <x:f>IFERROR(IRR(C135:W135),-1)</x:f>
        <x:v>0.008158158848969036</x:v>
      </x:c>
    </x:row>
    <x:row r="136">
      <x:c r="A136" t="n">
        <x:v>0.6</x:v>
      </x:c>
      <x:c r="B136" t="n">
        <x:v>0.4</x:v>
      </x:c>
      <x:c r="C136" t="n">
        <x:f>((IF(C$1-'Underlying Mechanics'!$B$8&lt;0,0,'Underlying Mechanics'!$B$22*'Underlying Mechanics'!$B$15*INDEX('Underlying Mechanics'!$B$31:$B$51,C$1-'Underlying Mechanics'!$B$8+1)*'Underlying Mechanics'!$B$5))*(1-$A136))-IF(C$1=0,'Underlying Mechanics'!$B$23*(1-$B136),0)-IF(C$1&gt;0,'Underlying Mechanics'!$B$22*'Underlying Mechanics'!$B$17,0)-IF(C$1&gt;0,'Underlying Mechanics'!$B$12*'Underlying Mechanics'!$B$18,0)</x:f>
        <x:v>-90000</x:v>
      </x:c>
      <x:c r="D136" t="n">
        <x:f>((IF(D$1-'Underlying Mechanics'!$B$8&lt;0,0,'Underlying Mechanics'!$B$22*'Underlying Mechanics'!$B$15*INDEX('Underlying Mechanics'!$B$31:$B$51,D$1-'Underlying Mechanics'!$B$8+1)*'Underlying Mechanics'!$B$5))*(1-$A136))-IF(D$1=0,'Underlying Mechanics'!$B$23*(1-$B136),0)-IF(D$1&gt;0,'Underlying Mechanics'!$B$22*'Underlying Mechanics'!$B$17,0)-IF(D$1&gt;0,'Underlying Mechanics'!$B$12*'Underlying Mechanics'!$B$18,0)</x:f>
        <x:v>-22500</x:v>
      </x:c>
      <x:c r="E136" t="n">
        <x:f>((IF(E$1-'Underlying Mechanics'!$B$8&lt;0,0,'Underlying Mechanics'!$B$22*'Underlying Mechanics'!$B$15*INDEX('Underlying Mechanics'!$B$31:$B$51,E$1-'Underlying Mechanics'!$B$8+1)*'Underlying Mechanics'!$B$5))*(1-$A136))-IF(E$1=0,'Underlying Mechanics'!$B$23*(1-$B136),0)-IF(E$1&gt;0,'Underlying Mechanics'!$B$22*'Underlying Mechanics'!$B$17,0)-IF(E$1&gt;0,'Underlying Mechanics'!$B$12*'Underlying Mechanics'!$B$18,0)</x:f>
        <x:v>-22500</x:v>
      </x:c>
      <x:c r="F136" t="n">
        <x:f>((IF(F$1-'Underlying Mechanics'!$B$8&lt;0,0,'Underlying Mechanics'!$B$22*'Underlying Mechanics'!$B$15*INDEX('Underlying Mechanics'!$B$31:$B$51,F$1-'Underlying Mechanics'!$B$8+1)*'Underlying Mechanics'!$B$5))*(1-$A136))-IF(F$1=0,'Underlying Mechanics'!$B$23*(1-$B136),0)-IF(F$1&gt;0,'Underlying Mechanics'!$B$22*'Underlying Mechanics'!$B$17,0)-IF(F$1&gt;0,'Underlying Mechanics'!$B$12*'Underlying Mechanics'!$B$18,0)</x:f>
        <x:v>-21540</x:v>
      </x:c>
      <x:c r="G136" t="n">
        <x:f>((IF(G$1-'Underlying Mechanics'!$B$8&lt;0,0,'Underlying Mechanics'!$B$22*'Underlying Mechanics'!$B$15*INDEX('Underlying Mechanics'!$B$31:$B$51,G$1-'Underlying Mechanics'!$B$8+1)*'Underlying Mechanics'!$B$5))*(1-$A136))-IF(G$1=0,'Underlying Mechanics'!$B$23*(1-$B136),0)-IF(G$1&gt;0,'Underlying Mechanics'!$B$22*'Underlying Mechanics'!$B$17,0)-IF(G$1&gt;0,'Underlying Mechanics'!$B$12*'Underlying Mechanics'!$B$18,0)</x:f>
        <x:v>-20100</x:v>
      </x:c>
      <x:c r="H136" t="n">
        <x:f>((IF(H$1-'Underlying Mechanics'!$B$8&lt;0,0,'Underlying Mechanics'!$B$22*'Underlying Mechanics'!$B$15*INDEX('Underlying Mechanics'!$B$31:$B$51,H$1-'Underlying Mechanics'!$B$8+1)*'Underlying Mechanics'!$B$5))*(1-$A136))-IF(H$1=0,'Underlying Mechanics'!$B$23*(1-$B136),0)-IF(H$1&gt;0,'Underlying Mechanics'!$B$22*'Underlying Mechanics'!$B$17,0)-IF(H$1&gt;0,'Underlying Mechanics'!$B$12*'Underlying Mechanics'!$B$18,0)</x:f>
        <x:v>-17700</x:v>
      </x:c>
      <x:c r="I136" t="n">
        <x:f>((IF(I$1-'Underlying Mechanics'!$B$8&lt;0,0,'Underlying Mechanics'!$B$22*'Underlying Mechanics'!$B$15*INDEX('Underlying Mechanics'!$B$31:$B$51,I$1-'Underlying Mechanics'!$B$8+1)*'Underlying Mechanics'!$B$5))*(1-$A136))-IF(I$1=0,'Underlying Mechanics'!$B$23*(1-$B136),0)-IF(I$1&gt;0,'Underlying Mechanics'!$B$22*'Underlying Mechanics'!$B$17,0)-IF(I$1&gt;0,'Underlying Mechanics'!$B$12*'Underlying Mechanics'!$B$18,0)</x:f>
        <x:v>-13860</x:v>
      </x:c>
      <x:c r="J136" t="n">
        <x:f>((IF(J$1-'Underlying Mechanics'!$B$8&lt;0,0,'Underlying Mechanics'!$B$22*'Underlying Mechanics'!$B$15*INDEX('Underlying Mechanics'!$B$31:$B$51,J$1-'Underlying Mechanics'!$B$8+1)*'Underlying Mechanics'!$B$5))*(1-$A136))-IF(J$1=0,'Underlying Mechanics'!$B$23*(1-$B136),0)-IF(J$1&gt;0,'Underlying Mechanics'!$B$22*'Underlying Mechanics'!$B$17,0)-IF(J$1&gt;0,'Underlying Mechanics'!$B$12*'Underlying Mechanics'!$B$18,0)</x:f>
        <x:v>-9059.999999999996</x:v>
      </x:c>
      <x:c r="K136" t="n">
        <x:f>((IF(K$1-'Underlying Mechanics'!$B$8&lt;0,0,'Underlying Mechanics'!$B$22*'Underlying Mechanics'!$B$15*INDEX('Underlying Mechanics'!$B$31:$B$51,K$1-'Underlying Mechanics'!$B$8+1)*'Underlying Mechanics'!$B$5))*(1-$A136))-IF(K$1=0,'Underlying Mechanics'!$B$23*(1-$B136),0)-IF(K$1&gt;0,'Underlying Mechanics'!$B$22*'Underlying Mechanics'!$B$17,0)-IF(K$1&gt;0,'Underlying Mechanics'!$B$12*'Underlying Mechanics'!$B$18,0)</x:f>
        <x:v>-3300</x:v>
      </x:c>
      <x:c r="L136" t="n">
        <x:f>((IF(L$1-'Underlying Mechanics'!$B$8&lt;0,0,'Underlying Mechanics'!$B$22*'Underlying Mechanics'!$B$15*INDEX('Underlying Mechanics'!$B$31:$B$51,L$1-'Underlying Mechanics'!$B$8+1)*'Underlying Mechanics'!$B$5))*(1-$A136))-IF(L$1=0,'Underlying Mechanics'!$B$23*(1-$B136),0)-IF(L$1&gt;0,'Underlying Mechanics'!$B$22*'Underlying Mechanics'!$B$17,0)-IF(L$1&gt;0,'Underlying Mechanics'!$B$12*'Underlying Mechanics'!$B$18,0)</x:f>
        <x:v>3420</x:v>
      </x:c>
      <x:c r="M136" t="n">
        <x:f>((IF(M$1-'Underlying Mechanics'!$B$8&lt;0,0,'Underlying Mechanics'!$B$22*'Underlying Mechanics'!$B$15*INDEX('Underlying Mechanics'!$B$31:$B$51,M$1-'Underlying Mechanics'!$B$8+1)*'Underlying Mechanics'!$B$5))*(1-$A136))-IF(M$1=0,'Underlying Mechanics'!$B$23*(1-$B136),0)-IF(M$1&gt;0,'Underlying Mechanics'!$B$22*'Underlying Mechanics'!$B$17,0)-IF(M$1&gt;0,'Underlying Mechanics'!$B$12*'Underlying Mechanics'!$B$18,0)</x:f>
        <x:v>10140.000000000007</x:v>
      </x:c>
      <x:c r="N136" t="n">
        <x:f>((IF(N$1-'Underlying Mechanics'!$B$8&lt;0,0,'Underlying Mechanics'!$B$22*'Underlying Mechanics'!$B$15*INDEX('Underlying Mechanics'!$B$31:$B$51,N$1-'Underlying Mechanics'!$B$8+1)*'Underlying Mechanics'!$B$5))*(1-$A136))-IF(N$1=0,'Underlying Mechanics'!$B$23*(1-$B136),0)-IF(N$1&gt;0,'Underlying Mechanics'!$B$22*'Underlying Mechanics'!$B$17,0)-IF(N$1&gt;0,'Underlying Mechanics'!$B$12*'Underlying Mechanics'!$B$18,0)</x:f>
        <x:v>15900</x:v>
      </x:c>
      <x:c r="O136" t="n">
        <x:f>((IF(O$1-'Underlying Mechanics'!$B$8&lt;0,0,'Underlying Mechanics'!$B$22*'Underlying Mechanics'!$B$15*INDEX('Underlying Mechanics'!$B$31:$B$51,O$1-'Underlying Mechanics'!$B$8+1)*'Underlying Mechanics'!$B$5))*(1-$A136))-IF(O$1=0,'Underlying Mechanics'!$B$23*(1-$B136),0)-IF(O$1&gt;0,'Underlying Mechanics'!$B$22*'Underlying Mechanics'!$B$17,0)-IF(O$1&gt;0,'Underlying Mechanics'!$B$12*'Underlying Mechanics'!$B$18,0)</x:f>
        <x:v>20700</x:v>
      </x:c>
      <x:c r="P136" t="n">
        <x:f>((IF(P$1-'Underlying Mechanics'!$B$8&lt;0,0,'Underlying Mechanics'!$B$22*'Underlying Mechanics'!$B$15*INDEX('Underlying Mechanics'!$B$31:$B$51,P$1-'Underlying Mechanics'!$B$8+1)*'Underlying Mechanics'!$B$5))*(1-$A136))-IF(P$1=0,'Underlying Mechanics'!$B$23*(1-$B136),0)-IF(P$1&gt;0,'Underlying Mechanics'!$B$22*'Underlying Mechanics'!$B$17,0)-IF(P$1&gt;0,'Underlying Mechanics'!$B$12*'Underlying Mechanics'!$B$18,0)</x:f>
        <x:v>25500</x:v>
      </x:c>
      <x:c r="Q136" t="n">
        <x:f>((IF(Q$1-'Underlying Mechanics'!$B$8&lt;0,0,'Underlying Mechanics'!$B$22*'Underlying Mechanics'!$B$15*INDEX('Underlying Mechanics'!$B$31:$B$51,Q$1-'Underlying Mechanics'!$B$8+1)*'Underlying Mechanics'!$B$5))*(1-$A136))-IF(Q$1=0,'Underlying Mechanics'!$B$23*(1-$B136),0)-IF(Q$1&gt;0,'Underlying Mechanics'!$B$22*'Underlying Mechanics'!$B$17,0)-IF(Q$1&gt;0,'Underlying Mechanics'!$B$12*'Underlying Mechanics'!$B$18,0)</x:f>
        <x:v>25500</x:v>
      </x:c>
      <x:c r="R136" t="n">
        <x:f>((IF(R$1-'Underlying Mechanics'!$B$8&lt;0,0,'Underlying Mechanics'!$B$22*'Underlying Mechanics'!$B$15*INDEX('Underlying Mechanics'!$B$31:$B$51,R$1-'Underlying Mechanics'!$B$8+1)*'Underlying Mechanics'!$B$5))*(1-$A136))-IF(R$1=0,'Underlying Mechanics'!$B$23*(1-$B136),0)-IF(R$1&gt;0,'Underlying Mechanics'!$B$22*'Underlying Mechanics'!$B$17,0)-IF(R$1&gt;0,'Underlying Mechanics'!$B$12*'Underlying Mechanics'!$B$18,0)</x:f>
        <x:v>25500</x:v>
      </x:c>
      <x:c r="S136" t="n">
        <x:f>((IF(S$1-'Underlying Mechanics'!$B$8&lt;0,0,'Underlying Mechanics'!$B$22*'Underlying Mechanics'!$B$15*INDEX('Underlying Mechanics'!$B$31:$B$51,S$1-'Underlying Mechanics'!$B$8+1)*'Underlying Mechanics'!$B$5))*(1-$A136))-IF(S$1=0,'Underlying Mechanics'!$B$23*(1-$B136),0)-IF(S$1&gt;0,'Underlying Mechanics'!$B$22*'Underlying Mechanics'!$B$17,0)-IF(S$1&gt;0,'Underlying Mechanics'!$B$12*'Underlying Mechanics'!$B$18,0)</x:f>
        <x:v>25500</x:v>
      </x:c>
      <x:c r="T136" t="n">
        <x:f>((IF(T$1-'Underlying Mechanics'!$B$8&lt;0,0,'Underlying Mechanics'!$B$22*'Underlying Mechanics'!$B$15*INDEX('Underlying Mechanics'!$B$31:$B$51,T$1-'Underlying Mechanics'!$B$8+1)*'Underlying Mechanics'!$B$5))*(1-$A136))-IF(T$1=0,'Underlying Mechanics'!$B$23*(1-$B136),0)-IF(T$1&gt;0,'Underlying Mechanics'!$B$22*'Underlying Mechanics'!$B$17,0)-IF(T$1&gt;0,'Underlying Mechanics'!$B$12*'Underlying Mechanics'!$B$18,0)</x:f>
        <x:v>25500</x:v>
      </x:c>
      <x:c r="U136" t="n">
        <x:f>((IF(U$1-'Underlying Mechanics'!$B$8&lt;0,0,'Underlying Mechanics'!$B$22*'Underlying Mechanics'!$B$15*INDEX('Underlying Mechanics'!$B$31:$B$51,U$1-'Underlying Mechanics'!$B$8+1)*'Underlying Mechanics'!$B$5))*(1-$A136))-IF(U$1=0,'Underlying Mechanics'!$B$23*(1-$B136),0)-IF(U$1&gt;0,'Underlying Mechanics'!$B$22*'Underlying Mechanics'!$B$17,0)-IF(U$1&gt;0,'Underlying Mechanics'!$B$12*'Underlying Mechanics'!$B$18,0)</x:f>
        <x:v>25500</x:v>
      </x:c>
      <x:c r="V136" t="n">
        <x:f>((IF(V$1-'Underlying Mechanics'!$B$8&lt;0,0,'Underlying Mechanics'!$B$22*'Underlying Mechanics'!$B$15*INDEX('Underlying Mechanics'!$B$31:$B$51,V$1-'Underlying Mechanics'!$B$8+1)*'Underlying Mechanics'!$B$5))*(1-$A136))-IF(V$1=0,'Underlying Mechanics'!$B$23*(1-$B136),0)-IF(V$1&gt;0,'Underlying Mechanics'!$B$22*'Underlying Mechanics'!$B$17,0)-IF(V$1&gt;0,'Underlying Mechanics'!$B$12*'Underlying Mechanics'!$B$18,0)</x:f>
        <x:v>25500</x:v>
      </x:c>
      <x:c r="W136" t="n">
        <x:f>((IF(W$1-'Underlying Mechanics'!$B$8&lt;0,0,'Underlying Mechanics'!$B$22*'Underlying Mechanics'!$B$15*INDEX('Underlying Mechanics'!$B$31:$B$51,W$1-'Underlying Mechanics'!$B$8+1)*'Underlying Mechanics'!$B$5))*(1-$A136))-IF(W$1=0,'Underlying Mechanics'!$B$23*(1-$B136),0)-IF(W$1&gt;0,'Underlying Mechanics'!$B$22*'Underlying Mechanics'!$B$17,0)-IF(W$1&gt;0,'Underlying Mechanics'!$B$12*'Underlying Mechanics'!$B$18,0)</x:f>
        <x:v>25500</x:v>
      </x:c>
      <x:c r="X136" t="n">
        <x:f>IFERROR(IRR(C136:W136),-1)</x:f>
        <x:v>0.01075020157918576</x:v>
      </x:c>
    </x:row>
    <x:row r="137">
      <x:c r="A137" t="n">
        <x:v>0.6</x:v>
      </x:c>
      <x:c r="B137" t="n">
        <x:v>0.45</x:v>
      </x:c>
      <x:c r="C137" t="n">
        <x:f>((IF(C$1-'Underlying Mechanics'!$B$8&lt;0,0,'Underlying Mechanics'!$B$22*'Underlying Mechanics'!$B$15*INDEX('Underlying Mechanics'!$B$31:$B$51,C$1-'Underlying Mechanics'!$B$8+1)*'Underlying Mechanics'!$B$5))*(1-$A137))-IF(C$1=0,'Underlying Mechanics'!$B$23*(1-$B137),0)-IF(C$1&gt;0,'Underlying Mechanics'!$B$22*'Underlying Mechanics'!$B$17,0)-IF(C$1&gt;0,'Underlying Mechanics'!$B$12*'Underlying Mechanics'!$B$18,0)</x:f>
        <x:v>-82500</x:v>
      </x:c>
      <x:c r="D137" t="n">
        <x:f>((IF(D$1-'Underlying Mechanics'!$B$8&lt;0,0,'Underlying Mechanics'!$B$22*'Underlying Mechanics'!$B$15*INDEX('Underlying Mechanics'!$B$31:$B$51,D$1-'Underlying Mechanics'!$B$8+1)*'Underlying Mechanics'!$B$5))*(1-$A137))-IF(D$1=0,'Underlying Mechanics'!$B$23*(1-$B137),0)-IF(D$1&gt;0,'Underlying Mechanics'!$B$22*'Underlying Mechanics'!$B$17,0)-IF(D$1&gt;0,'Underlying Mechanics'!$B$12*'Underlying Mechanics'!$B$18,0)</x:f>
        <x:v>-22500</x:v>
      </x:c>
      <x:c r="E137" t="n">
        <x:f>((IF(E$1-'Underlying Mechanics'!$B$8&lt;0,0,'Underlying Mechanics'!$B$22*'Underlying Mechanics'!$B$15*INDEX('Underlying Mechanics'!$B$31:$B$51,E$1-'Underlying Mechanics'!$B$8+1)*'Underlying Mechanics'!$B$5))*(1-$A137))-IF(E$1=0,'Underlying Mechanics'!$B$23*(1-$B137),0)-IF(E$1&gt;0,'Underlying Mechanics'!$B$22*'Underlying Mechanics'!$B$17,0)-IF(E$1&gt;0,'Underlying Mechanics'!$B$12*'Underlying Mechanics'!$B$18,0)</x:f>
        <x:v>-22500</x:v>
      </x:c>
      <x:c r="F137" t="n">
        <x:f>((IF(F$1-'Underlying Mechanics'!$B$8&lt;0,0,'Underlying Mechanics'!$B$22*'Underlying Mechanics'!$B$15*INDEX('Underlying Mechanics'!$B$31:$B$51,F$1-'Underlying Mechanics'!$B$8+1)*'Underlying Mechanics'!$B$5))*(1-$A137))-IF(F$1=0,'Underlying Mechanics'!$B$23*(1-$B137),0)-IF(F$1&gt;0,'Underlying Mechanics'!$B$22*'Underlying Mechanics'!$B$17,0)-IF(F$1&gt;0,'Underlying Mechanics'!$B$12*'Underlying Mechanics'!$B$18,0)</x:f>
        <x:v>-21540</x:v>
      </x:c>
      <x:c r="G137" t="n">
        <x:f>((IF(G$1-'Underlying Mechanics'!$B$8&lt;0,0,'Underlying Mechanics'!$B$22*'Underlying Mechanics'!$B$15*INDEX('Underlying Mechanics'!$B$31:$B$51,G$1-'Underlying Mechanics'!$B$8+1)*'Underlying Mechanics'!$B$5))*(1-$A137))-IF(G$1=0,'Underlying Mechanics'!$B$23*(1-$B137),0)-IF(G$1&gt;0,'Underlying Mechanics'!$B$22*'Underlying Mechanics'!$B$17,0)-IF(G$1&gt;0,'Underlying Mechanics'!$B$12*'Underlying Mechanics'!$B$18,0)</x:f>
        <x:v>-20100</x:v>
      </x:c>
      <x:c r="H137" t="n">
        <x:f>((IF(H$1-'Underlying Mechanics'!$B$8&lt;0,0,'Underlying Mechanics'!$B$22*'Underlying Mechanics'!$B$15*INDEX('Underlying Mechanics'!$B$31:$B$51,H$1-'Underlying Mechanics'!$B$8+1)*'Underlying Mechanics'!$B$5))*(1-$A137))-IF(H$1=0,'Underlying Mechanics'!$B$23*(1-$B137),0)-IF(H$1&gt;0,'Underlying Mechanics'!$B$22*'Underlying Mechanics'!$B$17,0)-IF(H$1&gt;0,'Underlying Mechanics'!$B$12*'Underlying Mechanics'!$B$18,0)</x:f>
        <x:v>-17700</x:v>
      </x:c>
      <x:c r="I137" t="n">
        <x:f>((IF(I$1-'Underlying Mechanics'!$B$8&lt;0,0,'Underlying Mechanics'!$B$22*'Underlying Mechanics'!$B$15*INDEX('Underlying Mechanics'!$B$31:$B$51,I$1-'Underlying Mechanics'!$B$8+1)*'Underlying Mechanics'!$B$5))*(1-$A137))-IF(I$1=0,'Underlying Mechanics'!$B$23*(1-$B137),0)-IF(I$1&gt;0,'Underlying Mechanics'!$B$22*'Underlying Mechanics'!$B$17,0)-IF(I$1&gt;0,'Underlying Mechanics'!$B$12*'Underlying Mechanics'!$B$18,0)</x:f>
        <x:v>-13860</x:v>
      </x:c>
      <x:c r="J137" t="n">
        <x:f>((IF(J$1-'Underlying Mechanics'!$B$8&lt;0,0,'Underlying Mechanics'!$B$22*'Underlying Mechanics'!$B$15*INDEX('Underlying Mechanics'!$B$31:$B$51,J$1-'Underlying Mechanics'!$B$8+1)*'Underlying Mechanics'!$B$5))*(1-$A137))-IF(J$1=0,'Underlying Mechanics'!$B$23*(1-$B137),0)-IF(J$1&gt;0,'Underlying Mechanics'!$B$22*'Underlying Mechanics'!$B$17,0)-IF(J$1&gt;0,'Underlying Mechanics'!$B$12*'Underlying Mechanics'!$B$18,0)</x:f>
        <x:v>-9059.999999999996</x:v>
      </x:c>
      <x:c r="K137" t="n">
        <x:f>((IF(K$1-'Underlying Mechanics'!$B$8&lt;0,0,'Underlying Mechanics'!$B$22*'Underlying Mechanics'!$B$15*INDEX('Underlying Mechanics'!$B$31:$B$51,K$1-'Underlying Mechanics'!$B$8+1)*'Underlying Mechanics'!$B$5))*(1-$A137))-IF(K$1=0,'Underlying Mechanics'!$B$23*(1-$B137),0)-IF(K$1&gt;0,'Underlying Mechanics'!$B$22*'Underlying Mechanics'!$B$17,0)-IF(K$1&gt;0,'Underlying Mechanics'!$B$12*'Underlying Mechanics'!$B$18,0)</x:f>
        <x:v>-3300</x:v>
      </x:c>
      <x:c r="L137" t="n">
        <x:f>((IF(L$1-'Underlying Mechanics'!$B$8&lt;0,0,'Underlying Mechanics'!$B$22*'Underlying Mechanics'!$B$15*INDEX('Underlying Mechanics'!$B$31:$B$51,L$1-'Underlying Mechanics'!$B$8+1)*'Underlying Mechanics'!$B$5))*(1-$A137))-IF(L$1=0,'Underlying Mechanics'!$B$23*(1-$B137),0)-IF(L$1&gt;0,'Underlying Mechanics'!$B$22*'Underlying Mechanics'!$B$17,0)-IF(L$1&gt;0,'Underlying Mechanics'!$B$12*'Underlying Mechanics'!$B$18,0)</x:f>
        <x:v>3420</x:v>
      </x:c>
      <x:c r="M137" t="n">
        <x:f>((IF(M$1-'Underlying Mechanics'!$B$8&lt;0,0,'Underlying Mechanics'!$B$22*'Underlying Mechanics'!$B$15*INDEX('Underlying Mechanics'!$B$31:$B$51,M$1-'Underlying Mechanics'!$B$8+1)*'Underlying Mechanics'!$B$5))*(1-$A137))-IF(M$1=0,'Underlying Mechanics'!$B$23*(1-$B137),0)-IF(M$1&gt;0,'Underlying Mechanics'!$B$22*'Underlying Mechanics'!$B$17,0)-IF(M$1&gt;0,'Underlying Mechanics'!$B$12*'Underlying Mechanics'!$B$18,0)</x:f>
        <x:v>10140.000000000007</x:v>
      </x:c>
      <x:c r="N137" t="n">
        <x:f>((IF(N$1-'Underlying Mechanics'!$B$8&lt;0,0,'Underlying Mechanics'!$B$22*'Underlying Mechanics'!$B$15*INDEX('Underlying Mechanics'!$B$31:$B$51,N$1-'Underlying Mechanics'!$B$8+1)*'Underlying Mechanics'!$B$5))*(1-$A137))-IF(N$1=0,'Underlying Mechanics'!$B$23*(1-$B137),0)-IF(N$1&gt;0,'Underlying Mechanics'!$B$22*'Underlying Mechanics'!$B$17,0)-IF(N$1&gt;0,'Underlying Mechanics'!$B$12*'Underlying Mechanics'!$B$18,0)</x:f>
        <x:v>15900</x:v>
      </x:c>
      <x:c r="O137" t="n">
        <x:f>((IF(O$1-'Underlying Mechanics'!$B$8&lt;0,0,'Underlying Mechanics'!$B$22*'Underlying Mechanics'!$B$15*INDEX('Underlying Mechanics'!$B$31:$B$51,O$1-'Underlying Mechanics'!$B$8+1)*'Underlying Mechanics'!$B$5))*(1-$A137))-IF(O$1=0,'Underlying Mechanics'!$B$23*(1-$B137),0)-IF(O$1&gt;0,'Underlying Mechanics'!$B$22*'Underlying Mechanics'!$B$17,0)-IF(O$1&gt;0,'Underlying Mechanics'!$B$12*'Underlying Mechanics'!$B$18,0)</x:f>
        <x:v>20700</x:v>
      </x:c>
      <x:c r="P137" t="n">
        <x:f>((IF(P$1-'Underlying Mechanics'!$B$8&lt;0,0,'Underlying Mechanics'!$B$22*'Underlying Mechanics'!$B$15*INDEX('Underlying Mechanics'!$B$31:$B$51,P$1-'Underlying Mechanics'!$B$8+1)*'Underlying Mechanics'!$B$5))*(1-$A137))-IF(P$1=0,'Underlying Mechanics'!$B$23*(1-$B137),0)-IF(P$1&gt;0,'Underlying Mechanics'!$B$22*'Underlying Mechanics'!$B$17,0)-IF(P$1&gt;0,'Underlying Mechanics'!$B$12*'Underlying Mechanics'!$B$18,0)</x:f>
        <x:v>25500</x:v>
      </x:c>
      <x:c r="Q137" t="n">
        <x:f>((IF(Q$1-'Underlying Mechanics'!$B$8&lt;0,0,'Underlying Mechanics'!$B$22*'Underlying Mechanics'!$B$15*INDEX('Underlying Mechanics'!$B$31:$B$51,Q$1-'Underlying Mechanics'!$B$8+1)*'Underlying Mechanics'!$B$5))*(1-$A137))-IF(Q$1=0,'Underlying Mechanics'!$B$23*(1-$B137),0)-IF(Q$1&gt;0,'Underlying Mechanics'!$B$22*'Underlying Mechanics'!$B$17,0)-IF(Q$1&gt;0,'Underlying Mechanics'!$B$12*'Underlying Mechanics'!$B$18,0)</x:f>
        <x:v>25500</x:v>
      </x:c>
      <x:c r="R137" t="n">
        <x:f>((IF(R$1-'Underlying Mechanics'!$B$8&lt;0,0,'Underlying Mechanics'!$B$22*'Underlying Mechanics'!$B$15*INDEX('Underlying Mechanics'!$B$31:$B$51,R$1-'Underlying Mechanics'!$B$8+1)*'Underlying Mechanics'!$B$5))*(1-$A137))-IF(R$1=0,'Underlying Mechanics'!$B$23*(1-$B137),0)-IF(R$1&gt;0,'Underlying Mechanics'!$B$22*'Underlying Mechanics'!$B$17,0)-IF(R$1&gt;0,'Underlying Mechanics'!$B$12*'Underlying Mechanics'!$B$18,0)</x:f>
        <x:v>25500</x:v>
      </x:c>
      <x:c r="S137" t="n">
        <x:f>((IF(S$1-'Underlying Mechanics'!$B$8&lt;0,0,'Underlying Mechanics'!$B$22*'Underlying Mechanics'!$B$15*INDEX('Underlying Mechanics'!$B$31:$B$51,S$1-'Underlying Mechanics'!$B$8+1)*'Underlying Mechanics'!$B$5))*(1-$A137))-IF(S$1=0,'Underlying Mechanics'!$B$23*(1-$B137),0)-IF(S$1&gt;0,'Underlying Mechanics'!$B$22*'Underlying Mechanics'!$B$17,0)-IF(S$1&gt;0,'Underlying Mechanics'!$B$12*'Underlying Mechanics'!$B$18,0)</x:f>
        <x:v>25500</x:v>
      </x:c>
      <x:c r="T137" t="n">
        <x:f>((IF(T$1-'Underlying Mechanics'!$B$8&lt;0,0,'Underlying Mechanics'!$B$22*'Underlying Mechanics'!$B$15*INDEX('Underlying Mechanics'!$B$31:$B$51,T$1-'Underlying Mechanics'!$B$8+1)*'Underlying Mechanics'!$B$5))*(1-$A137))-IF(T$1=0,'Underlying Mechanics'!$B$23*(1-$B137),0)-IF(T$1&gt;0,'Underlying Mechanics'!$B$22*'Underlying Mechanics'!$B$17,0)-IF(T$1&gt;0,'Underlying Mechanics'!$B$12*'Underlying Mechanics'!$B$18,0)</x:f>
        <x:v>25500</x:v>
      </x:c>
      <x:c r="U137" t="n">
        <x:f>((IF(U$1-'Underlying Mechanics'!$B$8&lt;0,0,'Underlying Mechanics'!$B$22*'Underlying Mechanics'!$B$15*INDEX('Underlying Mechanics'!$B$31:$B$51,U$1-'Underlying Mechanics'!$B$8+1)*'Underlying Mechanics'!$B$5))*(1-$A137))-IF(U$1=0,'Underlying Mechanics'!$B$23*(1-$B137),0)-IF(U$1&gt;0,'Underlying Mechanics'!$B$22*'Underlying Mechanics'!$B$17,0)-IF(U$1&gt;0,'Underlying Mechanics'!$B$12*'Underlying Mechanics'!$B$18,0)</x:f>
        <x:v>25500</x:v>
      </x:c>
      <x:c r="V137" t="n">
        <x:f>((IF(V$1-'Underlying Mechanics'!$B$8&lt;0,0,'Underlying Mechanics'!$B$22*'Underlying Mechanics'!$B$15*INDEX('Underlying Mechanics'!$B$31:$B$51,V$1-'Underlying Mechanics'!$B$8+1)*'Underlying Mechanics'!$B$5))*(1-$A137))-IF(V$1=0,'Underlying Mechanics'!$B$23*(1-$B137),0)-IF(V$1&gt;0,'Underlying Mechanics'!$B$22*'Underlying Mechanics'!$B$17,0)-IF(V$1&gt;0,'Underlying Mechanics'!$B$12*'Underlying Mechanics'!$B$18,0)</x:f>
        <x:v>25500</x:v>
      </x:c>
      <x:c r="W137" t="n">
        <x:f>((IF(W$1-'Underlying Mechanics'!$B$8&lt;0,0,'Underlying Mechanics'!$B$22*'Underlying Mechanics'!$B$15*INDEX('Underlying Mechanics'!$B$31:$B$51,W$1-'Underlying Mechanics'!$B$8+1)*'Underlying Mechanics'!$B$5))*(1-$A137))-IF(W$1=0,'Underlying Mechanics'!$B$23*(1-$B137),0)-IF(W$1&gt;0,'Underlying Mechanics'!$B$22*'Underlying Mechanics'!$B$17,0)-IF(W$1&gt;0,'Underlying Mechanics'!$B$12*'Underlying Mechanics'!$B$18,0)</x:f>
        <x:v>25500</x:v>
      </x:c>
      <x:c r="X137" t="n">
        <x:f>IFERROR(IRR(C137:W137),-1)</x:f>
        <x:v>0.013472871762707513</x:v>
      </x:c>
    </x:row>
    <x:row r="138">
      <x:c r="A138" t="n">
        <x:v>0.6</x:v>
      </x:c>
      <x:c r="B138" t="n">
        <x:v>0.5</x:v>
      </x:c>
      <x:c r="C138" t="n">
        <x:f>((IF(C$1-'Underlying Mechanics'!$B$8&lt;0,0,'Underlying Mechanics'!$B$22*'Underlying Mechanics'!$B$15*INDEX('Underlying Mechanics'!$B$31:$B$51,C$1-'Underlying Mechanics'!$B$8+1)*'Underlying Mechanics'!$B$5))*(1-$A138))-IF(C$1=0,'Underlying Mechanics'!$B$23*(1-$B138),0)-IF(C$1&gt;0,'Underlying Mechanics'!$B$22*'Underlying Mechanics'!$B$17,0)-IF(C$1&gt;0,'Underlying Mechanics'!$B$12*'Underlying Mechanics'!$B$18,0)</x:f>
        <x:v>-75000</x:v>
      </x:c>
      <x:c r="D138" t="n">
        <x:f>((IF(D$1-'Underlying Mechanics'!$B$8&lt;0,0,'Underlying Mechanics'!$B$22*'Underlying Mechanics'!$B$15*INDEX('Underlying Mechanics'!$B$31:$B$51,D$1-'Underlying Mechanics'!$B$8+1)*'Underlying Mechanics'!$B$5))*(1-$A138))-IF(D$1=0,'Underlying Mechanics'!$B$23*(1-$B138),0)-IF(D$1&gt;0,'Underlying Mechanics'!$B$22*'Underlying Mechanics'!$B$17,0)-IF(D$1&gt;0,'Underlying Mechanics'!$B$12*'Underlying Mechanics'!$B$18,0)</x:f>
        <x:v>-22500</x:v>
      </x:c>
      <x:c r="E138" t="n">
        <x:f>((IF(E$1-'Underlying Mechanics'!$B$8&lt;0,0,'Underlying Mechanics'!$B$22*'Underlying Mechanics'!$B$15*INDEX('Underlying Mechanics'!$B$31:$B$51,E$1-'Underlying Mechanics'!$B$8+1)*'Underlying Mechanics'!$B$5))*(1-$A138))-IF(E$1=0,'Underlying Mechanics'!$B$23*(1-$B138),0)-IF(E$1&gt;0,'Underlying Mechanics'!$B$22*'Underlying Mechanics'!$B$17,0)-IF(E$1&gt;0,'Underlying Mechanics'!$B$12*'Underlying Mechanics'!$B$18,0)</x:f>
        <x:v>-22500</x:v>
      </x:c>
      <x:c r="F138" t="n">
        <x:f>((IF(F$1-'Underlying Mechanics'!$B$8&lt;0,0,'Underlying Mechanics'!$B$22*'Underlying Mechanics'!$B$15*INDEX('Underlying Mechanics'!$B$31:$B$51,F$1-'Underlying Mechanics'!$B$8+1)*'Underlying Mechanics'!$B$5))*(1-$A138))-IF(F$1=0,'Underlying Mechanics'!$B$23*(1-$B138),0)-IF(F$1&gt;0,'Underlying Mechanics'!$B$22*'Underlying Mechanics'!$B$17,0)-IF(F$1&gt;0,'Underlying Mechanics'!$B$12*'Underlying Mechanics'!$B$18,0)</x:f>
        <x:v>-21540</x:v>
      </x:c>
      <x:c r="G138" t="n">
        <x:f>((IF(G$1-'Underlying Mechanics'!$B$8&lt;0,0,'Underlying Mechanics'!$B$22*'Underlying Mechanics'!$B$15*INDEX('Underlying Mechanics'!$B$31:$B$51,G$1-'Underlying Mechanics'!$B$8+1)*'Underlying Mechanics'!$B$5))*(1-$A138))-IF(G$1=0,'Underlying Mechanics'!$B$23*(1-$B138),0)-IF(G$1&gt;0,'Underlying Mechanics'!$B$22*'Underlying Mechanics'!$B$17,0)-IF(G$1&gt;0,'Underlying Mechanics'!$B$12*'Underlying Mechanics'!$B$18,0)</x:f>
        <x:v>-20100</x:v>
      </x:c>
      <x:c r="H138" t="n">
        <x:f>((IF(H$1-'Underlying Mechanics'!$B$8&lt;0,0,'Underlying Mechanics'!$B$22*'Underlying Mechanics'!$B$15*INDEX('Underlying Mechanics'!$B$31:$B$51,H$1-'Underlying Mechanics'!$B$8+1)*'Underlying Mechanics'!$B$5))*(1-$A138))-IF(H$1=0,'Underlying Mechanics'!$B$23*(1-$B138),0)-IF(H$1&gt;0,'Underlying Mechanics'!$B$22*'Underlying Mechanics'!$B$17,0)-IF(H$1&gt;0,'Underlying Mechanics'!$B$12*'Underlying Mechanics'!$B$18,0)</x:f>
        <x:v>-17700</x:v>
      </x:c>
      <x:c r="I138" t="n">
        <x:f>((IF(I$1-'Underlying Mechanics'!$B$8&lt;0,0,'Underlying Mechanics'!$B$22*'Underlying Mechanics'!$B$15*INDEX('Underlying Mechanics'!$B$31:$B$51,I$1-'Underlying Mechanics'!$B$8+1)*'Underlying Mechanics'!$B$5))*(1-$A138))-IF(I$1=0,'Underlying Mechanics'!$B$23*(1-$B138),0)-IF(I$1&gt;0,'Underlying Mechanics'!$B$22*'Underlying Mechanics'!$B$17,0)-IF(I$1&gt;0,'Underlying Mechanics'!$B$12*'Underlying Mechanics'!$B$18,0)</x:f>
        <x:v>-13860</x:v>
      </x:c>
      <x:c r="J138" t="n">
        <x:f>((IF(J$1-'Underlying Mechanics'!$B$8&lt;0,0,'Underlying Mechanics'!$B$22*'Underlying Mechanics'!$B$15*INDEX('Underlying Mechanics'!$B$31:$B$51,J$1-'Underlying Mechanics'!$B$8+1)*'Underlying Mechanics'!$B$5))*(1-$A138))-IF(J$1=0,'Underlying Mechanics'!$B$23*(1-$B138),0)-IF(J$1&gt;0,'Underlying Mechanics'!$B$22*'Underlying Mechanics'!$B$17,0)-IF(J$1&gt;0,'Underlying Mechanics'!$B$12*'Underlying Mechanics'!$B$18,0)</x:f>
        <x:v>-9059.999999999996</x:v>
      </x:c>
      <x:c r="K138" t="n">
        <x:f>((IF(K$1-'Underlying Mechanics'!$B$8&lt;0,0,'Underlying Mechanics'!$B$22*'Underlying Mechanics'!$B$15*INDEX('Underlying Mechanics'!$B$31:$B$51,K$1-'Underlying Mechanics'!$B$8+1)*'Underlying Mechanics'!$B$5))*(1-$A138))-IF(K$1=0,'Underlying Mechanics'!$B$23*(1-$B138),0)-IF(K$1&gt;0,'Underlying Mechanics'!$B$22*'Underlying Mechanics'!$B$17,0)-IF(K$1&gt;0,'Underlying Mechanics'!$B$12*'Underlying Mechanics'!$B$18,0)</x:f>
        <x:v>-3300</x:v>
      </x:c>
      <x:c r="L138" t="n">
        <x:f>((IF(L$1-'Underlying Mechanics'!$B$8&lt;0,0,'Underlying Mechanics'!$B$22*'Underlying Mechanics'!$B$15*INDEX('Underlying Mechanics'!$B$31:$B$51,L$1-'Underlying Mechanics'!$B$8+1)*'Underlying Mechanics'!$B$5))*(1-$A138))-IF(L$1=0,'Underlying Mechanics'!$B$23*(1-$B138),0)-IF(L$1&gt;0,'Underlying Mechanics'!$B$22*'Underlying Mechanics'!$B$17,0)-IF(L$1&gt;0,'Underlying Mechanics'!$B$12*'Underlying Mechanics'!$B$18,0)</x:f>
        <x:v>3420</x:v>
      </x:c>
      <x:c r="M138" t="n">
        <x:f>((IF(M$1-'Underlying Mechanics'!$B$8&lt;0,0,'Underlying Mechanics'!$B$22*'Underlying Mechanics'!$B$15*INDEX('Underlying Mechanics'!$B$31:$B$51,M$1-'Underlying Mechanics'!$B$8+1)*'Underlying Mechanics'!$B$5))*(1-$A138))-IF(M$1=0,'Underlying Mechanics'!$B$23*(1-$B138),0)-IF(M$1&gt;0,'Underlying Mechanics'!$B$22*'Underlying Mechanics'!$B$17,0)-IF(M$1&gt;0,'Underlying Mechanics'!$B$12*'Underlying Mechanics'!$B$18,0)</x:f>
        <x:v>10140.000000000007</x:v>
      </x:c>
      <x:c r="N138" t="n">
        <x:f>((IF(N$1-'Underlying Mechanics'!$B$8&lt;0,0,'Underlying Mechanics'!$B$22*'Underlying Mechanics'!$B$15*INDEX('Underlying Mechanics'!$B$31:$B$51,N$1-'Underlying Mechanics'!$B$8+1)*'Underlying Mechanics'!$B$5))*(1-$A138))-IF(N$1=0,'Underlying Mechanics'!$B$23*(1-$B138),0)-IF(N$1&gt;0,'Underlying Mechanics'!$B$22*'Underlying Mechanics'!$B$17,0)-IF(N$1&gt;0,'Underlying Mechanics'!$B$12*'Underlying Mechanics'!$B$18,0)</x:f>
        <x:v>15900</x:v>
      </x:c>
      <x:c r="O138" t="n">
        <x:f>((IF(O$1-'Underlying Mechanics'!$B$8&lt;0,0,'Underlying Mechanics'!$B$22*'Underlying Mechanics'!$B$15*INDEX('Underlying Mechanics'!$B$31:$B$51,O$1-'Underlying Mechanics'!$B$8+1)*'Underlying Mechanics'!$B$5))*(1-$A138))-IF(O$1=0,'Underlying Mechanics'!$B$23*(1-$B138),0)-IF(O$1&gt;0,'Underlying Mechanics'!$B$22*'Underlying Mechanics'!$B$17,0)-IF(O$1&gt;0,'Underlying Mechanics'!$B$12*'Underlying Mechanics'!$B$18,0)</x:f>
        <x:v>20700</x:v>
      </x:c>
      <x:c r="P138" t="n">
        <x:f>((IF(P$1-'Underlying Mechanics'!$B$8&lt;0,0,'Underlying Mechanics'!$B$22*'Underlying Mechanics'!$B$15*INDEX('Underlying Mechanics'!$B$31:$B$51,P$1-'Underlying Mechanics'!$B$8+1)*'Underlying Mechanics'!$B$5))*(1-$A138))-IF(P$1=0,'Underlying Mechanics'!$B$23*(1-$B138),0)-IF(P$1&gt;0,'Underlying Mechanics'!$B$22*'Underlying Mechanics'!$B$17,0)-IF(P$1&gt;0,'Underlying Mechanics'!$B$12*'Underlying Mechanics'!$B$18,0)</x:f>
        <x:v>25500</x:v>
      </x:c>
      <x:c r="Q138" t="n">
        <x:f>((IF(Q$1-'Underlying Mechanics'!$B$8&lt;0,0,'Underlying Mechanics'!$B$22*'Underlying Mechanics'!$B$15*INDEX('Underlying Mechanics'!$B$31:$B$51,Q$1-'Underlying Mechanics'!$B$8+1)*'Underlying Mechanics'!$B$5))*(1-$A138))-IF(Q$1=0,'Underlying Mechanics'!$B$23*(1-$B138),0)-IF(Q$1&gt;0,'Underlying Mechanics'!$B$22*'Underlying Mechanics'!$B$17,0)-IF(Q$1&gt;0,'Underlying Mechanics'!$B$12*'Underlying Mechanics'!$B$18,0)</x:f>
        <x:v>25500</x:v>
      </x:c>
      <x:c r="R138" t="n">
        <x:f>((IF(R$1-'Underlying Mechanics'!$B$8&lt;0,0,'Underlying Mechanics'!$B$22*'Underlying Mechanics'!$B$15*INDEX('Underlying Mechanics'!$B$31:$B$51,R$1-'Underlying Mechanics'!$B$8+1)*'Underlying Mechanics'!$B$5))*(1-$A138))-IF(R$1=0,'Underlying Mechanics'!$B$23*(1-$B138),0)-IF(R$1&gt;0,'Underlying Mechanics'!$B$22*'Underlying Mechanics'!$B$17,0)-IF(R$1&gt;0,'Underlying Mechanics'!$B$12*'Underlying Mechanics'!$B$18,0)</x:f>
        <x:v>25500</x:v>
      </x:c>
      <x:c r="S138" t="n">
        <x:f>((IF(S$1-'Underlying Mechanics'!$B$8&lt;0,0,'Underlying Mechanics'!$B$22*'Underlying Mechanics'!$B$15*INDEX('Underlying Mechanics'!$B$31:$B$51,S$1-'Underlying Mechanics'!$B$8+1)*'Underlying Mechanics'!$B$5))*(1-$A138))-IF(S$1=0,'Underlying Mechanics'!$B$23*(1-$B138),0)-IF(S$1&gt;0,'Underlying Mechanics'!$B$22*'Underlying Mechanics'!$B$17,0)-IF(S$1&gt;0,'Underlying Mechanics'!$B$12*'Underlying Mechanics'!$B$18,0)</x:f>
        <x:v>25500</x:v>
      </x:c>
      <x:c r="T138" t="n">
        <x:f>((IF(T$1-'Underlying Mechanics'!$B$8&lt;0,0,'Underlying Mechanics'!$B$22*'Underlying Mechanics'!$B$15*INDEX('Underlying Mechanics'!$B$31:$B$51,T$1-'Underlying Mechanics'!$B$8+1)*'Underlying Mechanics'!$B$5))*(1-$A138))-IF(T$1=0,'Underlying Mechanics'!$B$23*(1-$B138),0)-IF(T$1&gt;0,'Underlying Mechanics'!$B$22*'Underlying Mechanics'!$B$17,0)-IF(T$1&gt;0,'Underlying Mechanics'!$B$12*'Underlying Mechanics'!$B$18,0)</x:f>
        <x:v>25500</x:v>
      </x:c>
      <x:c r="U138" t="n">
        <x:f>((IF(U$1-'Underlying Mechanics'!$B$8&lt;0,0,'Underlying Mechanics'!$B$22*'Underlying Mechanics'!$B$15*INDEX('Underlying Mechanics'!$B$31:$B$51,U$1-'Underlying Mechanics'!$B$8+1)*'Underlying Mechanics'!$B$5))*(1-$A138))-IF(U$1=0,'Underlying Mechanics'!$B$23*(1-$B138),0)-IF(U$1&gt;0,'Underlying Mechanics'!$B$22*'Underlying Mechanics'!$B$17,0)-IF(U$1&gt;0,'Underlying Mechanics'!$B$12*'Underlying Mechanics'!$B$18,0)</x:f>
        <x:v>25500</x:v>
      </x:c>
      <x:c r="V138" t="n">
        <x:f>((IF(V$1-'Underlying Mechanics'!$B$8&lt;0,0,'Underlying Mechanics'!$B$22*'Underlying Mechanics'!$B$15*INDEX('Underlying Mechanics'!$B$31:$B$51,V$1-'Underlying Mechanics'!$B$8+1)*'Underlying Mechanics'!$B$5))*(1-$A138))-IF(V$1=0,'Underlying Mechanics'!$B$23*(1-$B138),0)-IF(V$1&gt;0,'Underlying Mechanics'!$B$22*'Underlying Mechanics'!$B$17,0)-IF(V$1&gt;0,'Underlying Mechanics'!$B$12*'Underlying Mechanics'!$B$18,0)</x:f>
        <x:v>25500</x:v>
      </x:c>
      <x:c r="W138" t="n">
        <x:f>((IF(W$1-'Underlying Mechanics'!$B$8&lt;0,0,'Underlying Mechanics'!$B$22*'Underlying Mechanics'!$B$15*INDEX('Underlying Mechanics'!$B$31:$B$51,W$1-'Underlying Mechanics'!$B$8+1)*'Underlying Mechanics'!$B$5))*(1-$A138))-IF(W$1=0,'Underlying Mechanics'!$B$23*(1-$B138),0)-IF(W$1&gt;0,'Underlying Mechanics'!$B$22*'Underlying Mechanics'!$B$17,0)-IF(W$1&gt;0,'Underlying Mechanics'!$B$12*'Underlying Mechanics'!$B$18,0)</x:f>
        <x:v>25500</x:v>
      </x:c>
      <x:c r="X138" t="n">
        <x:f>IFERROR(IRR(C138:W138),-1)</x:f>
        <x:v>0.01633994125116484</x:v>
      </x:c>
    </x:row>
    <x:row r="139">
      <x:c r="A139" t="n">
        <x:v>0.6</x:v>
      </x:c>
      <x:c r="B139" t="n">
        <x:v>0.55</x:v>
      </x:c>
      <x:c r="C139" t="n">
        <x:f>((IF(C$1-'Underlying Mechanics'!$B$8&lt;0,0,'Underlying Mechanics'!$B$22*'Underlying Mechanics'!$B$15*INDEX('Underlying Mechanics'!$B$31:$B$51,C$1-'Underlying Mechanics'!$B$8+1)*'Underlying Mechanics'!$B$5))*(1-$A139))-IF(C$1=0,'Underlying Mechanics'!$B$23*(1-$B139),0)-IF(C$1&gt;0,'Underlying Mechanics'!$B$22*'Underlying Mechanics'!$B$17,0)-IF(C$1&gt;0,'Underlying Mechanics'!$B$12*'Underlying Mechanics'!$B$18,0)</x:f>
        <x:v>-67500</x:v>
      </x:c>
      <x:c r="D139" t="n">
        <x:f>((IF(D$1-'Underlying Mechanics'!$B$8&lt;0,0,'Underlying Mechanics'!$B$22*'Underlying Mechanics'!$B$15*INDEX('Underlying Mechanics'!$B$31:$B$51,D$1-'Underlying Mechanics'!$B$8+1)*'Underlying Mechanics'!$B$5))*(1-$A139))-IF(D$1=0,'Underlying Mechanics'!$B$23*(1-$B139),0)-IF(D$1&gt;0,'Underlying Mechanics'!$B$22*'Underlying Mechanics'!$B$17,0)-IF(D$1&gt;0,'Underlying Mechanics'!$B$12*'Underlying Mechanics'!$B$18,0)</x:f>
        <x:v>-22500</x:v>
      </x:c>
      <x:c r="E139" t="n">
        <x:f>((IF(E$1-'Underlying Mechanics'!$B$8&lt;0,0,'Underlying Mechanics'!$B$22*'Underlying Mechanics'!$B$15*INDEX('Underlying Mechanics'!$B$31:$B$51,E$1-'Underlying Mechanics'!$B$8+1)*'Underlying Mechanics'!$B$5))*(1-$A139))-IF(E$1=0,'Underlying Mechanics'!$B$23*(1-$B139),0)-IF(E$1&gt;0,'Underlying Mechanics'!$B$22*'Underlying Mechanics'!$B$17,0)-IF(E$1&gt;0,'Underlying Mechanics'!$B$12*'Underlying Mechanics'!$B$18,0)</x:f>
        <x:v>-22500</x:v>
      </x:c>
      <x:c r="F139" t="n">
        <x:f>((IF(F$1-'Underlying Mechanics'!$B$8&lt;0,0,'Underlying Mechanics'!$B$22*'Underlying Mechanics'!$B$15*INDEX('Underlying Mechanics'!$B$31:$B$51,F$1-'Underlying Mechanics'!$B$8+1)*'Underlying Mechanics'!$B$5))*(1-$A139))-IF(F$1=0,'Underlying Mechanics'!$B$23*(1-$B139),0)-IF(F$1&gt;0,'Underlying Mechanics'!$B$22*'Underlying Mechanics'!$B$17,0)-IF(F$1&gt;0,'Underlying Mechanics'!$B$12*'Underlying Mechanics'!$B$18,0)</x:f>
        <x:v>-21540</x:v>
      </x:c>
      <x:c r="G139" t="n">
        <x:f>((IF(G$1-'Underlying Mechanics'!$B$8&lt;0,0,'Underlying Mechanics'!$B$22*'Underlying Mechanics'!$B$15*INDEX('Underlying Mechanics'!$B$31:$B$51,G$1-'Underlying Mechanics'!$B$8+1)*'Underlying Mechanics'!$B$5))*(1-$A139))-IF(G$1=0,'Underlying Mechanics'!$B$23*(1-$B139),0)-IF(G$1&gt;0,'Underlying Mechanics'!$B$22*'Underlying Mechanics'!$B$17,0)-IF(G$1&gt;0,'Underlying Mechanics'!$B$12*'Underlying Mechanics'!$B$18,0)</x:f>
        <x:v>-20100</x:v>
      </x:c>
      <x:c r="H139" t="n">
        <x:f>((IF(H$1-'Underlying Mechanics'!$B$8&lt;0,0,'Underlying Mechanics'!$B$22*'Underlying Mechanics'!$B$15*INDEX('Underlying Mechanics'!$B$31:$B$51,H$1-'Underlying Mechanics'!$B$8+1)*'Underlying Mechanics'!$B$5))*(1-$A139))-IF(H$1=0,'Underlying Mechanics'!$B$23*(1-$B139),0)-IF(H$1&gt;0,'Underlying Mechanics'!$B$22*'Underlying Mechanics'!$B$17,0)-IF(H$1&gt;0,'Underlying Mechanics'!$B$12*'Underlying Mechanics'!$B$18,0)</x:f>
        <x:v>-17700</x:v>
      </x:c>
      <x:c r="I139" t="n">
        <x:f>((IF(I$1-'Underlying Mechanics'!$B$8&lt;0,0,'Underlying Mechanics'!$B$22*'Underlying Mechanics'!$B$15*INDEX('Underlying Mechanics'!$B$31:$B$51,I$1-'Underlying Mechanics'!$B$8+1)*'Underlying Mechanics'!$B$5))*(1-$A139))-IF(I$1=0,'Underlying Mechanics'!$B$23*(1-$B139),0)-IF(I$1&gt;0,'Underlying Mechanics'!$B$22*'Underlying Mechanics'!$B$17,0)-IF(I$1&gt;0,'Underlying Mechanics'!$B$12*'Underlying Mechanics'!$B$18,0)</x:f>
        <x:v>-13860</x:v>
      </x:c>
      <x:c r="J139" t="n">
        <x:f>((IF(J$1-'Underlying Mechanics'!$B$8&lt;0,0,'Underlying Mechanics'!$B$22*'Underlying Mechanics'!$B$15*INDEX('Underlying Mechanics'!$B$31:$B$51,J$1-'Underlying Mechanics'!$B$8+1)*'Underlying Mechanics'!$B$5))*(1-$A139))-IF(J$1=0,'Underlying Mechanics'!$B$23*(1-$B139),0)-IF(J$1&gt;0,'Underlying Mechanics'!$B$22*'Underlying Mechanics'!$B$17,0)-IF(J$1&gt;0,'Underlying Mechanics'!$B$12*'Underlying Mechanics'!$B$18,0)</x:f>
        <x:v>-9059.999999999996</x:v>
      </x:c>
      <x:c r="K139" t="n">
        <x:f>((IF(K$1-'Underlying Mechanics'!$B$8&lt;0,0,'Underlying Mechanics'!$B$22*'Underlying Mechanics'!$B$15*INDEX('Underlying Mechanics'!$B$31:$B$51,K$1-'Underlying Mechanics'!$B$8+1)*'Underlying Mechanics'!$B$5))*(1-$A139))-IF(K$1=0,'Underlying Mechanics'!$B$23*(1-$B139),0)-IF(K$1&gt;0,'Underlying Mechanics'!$B$22*'Underlying Mechanics'!$B$17,0)-IF(K$1&gt;0,'Underlying Mechanics'!$B$12*'Underlying Mechanics'!$B$18,0)</x:f>
        <x:v>-3300</x:v>
      </x:c>
      <x:c r="L139" t="n">
        <x:f>((IF(L$1-'Underlying Mechanics'!$B$8&lt;0,0,'Underlying Mechanics'!$B$22*'Underlying Mechanics'!$B$15*INDEX('Underlying Mechanics'!$B$31:$B$51,L$1-'Underlying Mechanics'!$B$8+1)*'Underlying Mechanics'!$B$5))*(1-$A139))-IF(L$1=0,'Underlying Mechanics'!$B$23*(1-$B139),0)-IF(L$1&gt;0,'Underlying Mechanics'!$B$22*'Underlying Mechanics'!$B$17,0)-IF(L$1&gt;0,'Underlying Mechanics'!$B$12*'Underlying Mechanics'!$B$18,0)</x:f>
        <x:v>3420</x:v>
      </x:c>
      <x:c r="M139" t="n">
        <x:f>((IF(M$1-'Underlying Mechanics'!$B$8&lt;0,0,'Underlying Mechanics'!$B$22*'Underlying Mechanics'!$B$15*INDEX('Underlying Mechanics'!$B$31:$B$51,M$1-'Underlying Mechanics'!$B$8+1)*'Underlying Mechanics'!$B$5))*(1-$A139))-IF(M$1=0,'Underlying Mechanics'!$B$23*(1-$B139),0)-IF(M$1&gt;0,'Underlying Mechanics'!$B$22*'Underlying Mechanics'!$B$17,0)-IF(M$1&gt;0,'Underlying Mechanics'!$B$12*'Underlying Mechanics'!$B$18,0)</x:f>
        <x:v>10140.000000000007</x:v>
      </x:c>
      <x:c r="N139" t="n">
        <x:f>((IF(N$1-'Underlying Mechanics'!$B$8&lt;0,0,'Underlying Mechanics'!$B$22*'Underlying Mechanics'!$B$15*INDEX('Underlying Mechanics'!$B$31:$B$51,N$1-'Underlying Mechanics'!$B$8+1)*'Underlying Mechanics'!$B$5))*(1-$A139))-IF(N$1=0,'Underlying Mechanics'!$B$23*(1-$B139),0)-IF(N$1&gt;0,'Underlying Mechanics'!$B$22*'Underlying Mechanics'!$B$17,0)-IF(N$1&gt;0,'Underlying Mechanics'!$B$12*'Underlying Mechanics'!$B$18,0)</x:f>
        <x:v>15900</x:v>
      </x:c>
      <x:c r="O139" t="n">
        <x:f>((IF(O$1-'Underlying Mechanics'!$B$8&lt;0,0,'Underlying Mechanics'!$B$22*'Underlying Mechanics'!$B$15*INDEX('Underlying Mechanics'!$B$31:$B$51,O$1-'Underlying Mechanics'!$B$8+1)*'Underlying Mechanics'!$B$5))*(1-$A139))-IF(O$1=0,'Underlying Mechanics'!$B$23*(1-$B139),0)-IF(O$1&gt;0,'Underlying Mechanics'!$B$22*'Underlying Mechanics'!$B$17,0)-IF(O$1&gt;0,'Underlying Mechanics'!$B$12*'Underlying Mechanics'!$B$18,0)</x:f>
        <x:v>20700</x:v>
      </x:c>
      <x:c r="P139" t="n">
        <x:f>((IF(P$1-'Underlying Mechanics'!$B$8&lt;0,0,'Underlying Mechanics'!$B$22*'Underlying Mechanics'!$B$15*INDEX('Underlying Mechanics'!$B$31:$B$51,P$1-'Underlying Mechanics'!$B$8+1)*'Underlying Mechanics'!$B$5))*(1-$A139))-IF(P$1=0,'Underlying Mechanics'!$B$23*(1-$B139),0)-IF(P$1&gt;0,'Underlying Mechanics'!$B$22*'Underlying Mechanics'!$B$17,0)-IF(P$1&gt;0,'Underlying Mechanics'!$B$12*'Underlying Mechanics'!$B$18,0)</x:f>
        <x:v>25500</x:v>
      </x:c>
      <x:c r="Q139" t="n">
        <x:f>((IF(Q$1-'Underlying Mechanics'!$B$8&lt;0,0,'Underlying Mechanics'!$B$22*'Underlying Mechanics'!$B$15*INDEX('Underlying Mechanics'!$B$31:$B$51,Q$1-'Underlying Mechanics'!$B$8+1)*'Underlying Mechanics'!$B$5))*(1-$A139))-IF(Q$1=0,'Underlying Mechanics'!$B$23*(1-$B139),0)-IF(Q$1&gt;0,'Underlying Mechanics'!$B$22*'Underlying Mechanics'!$B$17,0)-IF(Q$1&gt;0,'Underlying Mechanics'!$B$12*'Underlying Mechanics'!$B$18,0)</x:f>
        <x:v>25500</x:v>
      </x:c>
      <x:c r="R139" t="n">
        <x:f>((IF(R$1-'Underlying Mechanics'!$B$8&lt;0,0,'Underlying Mechanics'!$B$22*'Underlying Mechanics'!$B$15*INDEX('Underlying Mechanics'!$B$31:$B$51,R$1-'Underlying Mechanics'!$B$8+1)*'Underlying Mechanics'!$B$5))*(1-$A139))-IF(R$1=0,'Underlying Mechanics'!$B$23*(1-$B139),0)-IF(R$1&gt;0,'Underlying Mechanics'!$B$22*'Underlying Mechanics'!$B$17,0)-IF(R$1&gt;0,'Underlying Mechanics'!$B$12*'Underlying Mechanics'!$B$18,0)</x:f>
        <x:v>25500</x:v>
      </x:c>
      <x:c r="S139" t="n">
        <x:f>((IF(S$1-'Underlying Mechanics'!$B$8&lt;0,0,'Underlying Mechanics'!$B$22*'Underlying Mechanics'!$B$15*INDEX('Underlying Mechanics'!$B$31:$B$51,S$1-'Underlying Mechanics'!$B$8+1)*'Underlying Mechanics'!$B$5))*(1-$A139))-IF(S$1=0,'Underlying Mechanics'!$B$23*(1-$B139),0)-IF(S$1&gt;0,'Underlying Mechanics'!$B$22*'Underlying Mechanics'!$B$17,0)-IF(S$1&gt;0,'Underlying Mechanics'!$B$12*'Underlying Mechanics'!$B$18,0)</x:f>
        <x:v>25500</x:v>
      </x:c>
      <x:c r="T139" t="n">
        <x:f>((IF(T$1-'Underlying Mechanics'!$B$8&lt;0,0,'Underlying Mechanics'!$B$22*'Underlying Mechanics'!$B$15*INDEX('Underlying Mechanics'!$B$31:$B$51,T$1-'Underlying Mechanics'!$B$8+1)*'Underlying Mechanics'!$B$5))*(1-$A139))-IF(T$1=0,'Underlying Mechanics'!$B$23*(1-$B139),0)-IF(T$1&gt;0,'Underlying Mechanics'!$B$22*'Underlying Mechanics'!$B$17,0)-IF(T$1&gt;0,'Underlying Mechanics'!$B$12*'Underlying Mechanics'!$B$18,0)</x:f>
        <x:v>25500</x:v>
      </x:c>
      <x:c r="U139" t="n">
        <x:f>((IF(U$1-'Underlying Mechanics'!$B$8&lt;0,0,'Underlying Mechanics'!$B$22*'Underlying Mechanics'!$B$15*INDEX('Underlying Mechanics'!$B$31:$B$51,U$1-'Underlying Mechanics'!$B$8+1)*'Underlying Mechanics'!$B$5))*(1-$A139))-IF(U$1=0,'Underlying Mechanics'!$B$23*(1-$B139),0)-IF(U$1&gt;0,'Underlying Mechanics'!$B$22*'Underlying Mechanics'!$B$17,0)-IF(U$1&gt;0,'Underlying Mechanics'!$B$12*'Underlying Mechanics'!$B$18,0)</x:f>
        <x:v>25500</x:v>
      </x:c>
      <x:c r="V139" t="n">
        <x:f>((IF(V$1-'Underlying Mechanics'!$B$8&lt;0,0,'Underlying Mechanics'!$B$22*'Underlying Mechanics'!$B$15*INDEX('Underlying Mechanics'!$B$31:$B$51,V$1-'Underlying Mechanics'!$B$8+1)*'Underlying Mechanics'!$B$5))*(1-$A139))-IF(V$1=0,'Underlying Mechanics'!$B$23*(1-$B139),0)-IF(V$1&gt;0,'Underlying Mechanics'!$B$22*'Underlying Mechanics'!$B$17,0)-IF(V$1&gt;0,'Underlying Mechanics'!$B$12*'Underlying Mechanics'!$B$18,0)</x:f>
        <x:v>25500</x:v>
      </x:c>
      <x:c r="W139" t="n">
        <x:f>((IF(W$1-'Underlying Mechanics'!$B$8&lt;0,0,'Underlying Mechanics'!$B$22*'Underlying Mechanics'!$B$15*INDEX('Underlying Mechanics'!$B$31:$B$51,W$1-'Underlying Mechanics'!$B$8+1)*'Underlying Mechanics'!$B$5))*(1-$A139))-IF(W$1=0,'Underlying Mechanics'!$B$23*(1-$B139),0)-IF(W$1&gt;0,'Underlying Mechanics'!$B$22*'Underlying Mechanics'!$B$17,0)-IF(W$1&gt;0,'Underlying Mechanics'!$B$12*'Underlying Mechanics'!$B$18,0)</x:f>
        <x:v>25500</x:v>
      </x:c>
      <x:c r="X139" t="n">
        <x:f>IFERROR(IRR(C139:W139),-1)</x:f>
        <x:v>0.019367498087470184</x:v>
      </x:c>
    </x:row>
    <x:row r="140">
      <x:c r="A140" t="n">
        <x:v>0.6</x:v>
      </x:c>
      <x:c r="B140" t="n">
        <x:v>0.6</x:v>
      </x:c>
      <x:c r="C140" t="n">
        <x:f>((IF(C$1-'Underlying Mechanics'!$B$8&lt;0,0,'Underlying Mechanics'!$B$22*'Underlying Mechanics'!$B$15*INDEX('Underlying Mechanics'!$B$31:$B$51,C$1-'Underlying Mechanics'!$B$8+1)*'Underlying Mechanics'!$B$5))*(1-$A140))-IF(C$1=0,'Underlying Mechanics'!$B$23*(1-$B140),0)-IF(C$1&gt;0,'Underlying Mechanics'!$B$22*'Underlying Mechanics'!$B$17,0)-IF(C$1&gt;0,'Underlying Mechanics'!$B$12*'Underlying Mechanics'!$B$18,0)</x:f>
        <x:v>-60000</x:v>
      </x:c>
      <x:c r="D140" t="n">
        <x:f>((IF(D$1-'Underlying Mechanics'!$B$8&lt;0,0,'Underlying Mechanics'!$B$22*'Underlying Mechanics'!$B$15*INDEX('Underlying Mechanics'!$B$31:$B$51,D$1-'Underlying Mechanics'!$B$8+1)*'Underlying Mechanics'!$B$5))*(1-$A140))-IF(D$1=0,'Underlying Mechanics'!$B$23*(1-$B140),0)-IF(D$1&gt;0,'Underlying Mechanics'!$B$22*'Underlying Mechanics'!$B$17,0)-IF(D$1&gt;0,'Underlying Mechanics'!$B$12*'Underlying Mechanics'!$B$18,0)</x:f>
        <x:v>-22500</x:v>
      </x:c>
      <x:c r="E140" t="n">
        <x:f>((IF(E$1-'Underlying Mechanics'!$B$8&lt;0,0,'Underlying Mechanics'!$B$22*'Underlying Mechanics'!$B$15*INDEX('Underlying Mechanics'!$B$31:$B$51,E$1-'Underlying Mechanics'!$B$8+1)*'Underlying Mechanics'!$B$5))*(1-$A140))-IF(E$1=0,'Underlying Mechanics'!$B$23*(1-$B140),0)-IF(E$1&gt;0,'Underlying Mechanics'!$B$22*'Underlying Mechanics'!$B$17,0)-IF(E$1&gt;0,'Underlying Mechanics'!$B$12*'Underlying Mechanics'!$B$18,0)</x:f>
        <x:v>-22500</x:v>
      </x:c>
      <x:c r="F140" t="n">
        <x:f>((IF(F$1-'Underlying Mechanics'!$B$8&lt;0,0,'Underlying Mechanics'!$B$22*'Underlying Mechanics'!$B$15*INDEX('Underlying Mechanics'!$B$31:$B$51,F$1-'Underlying Mechanics'!$B$8+1)*'Underlying Mechanics'!$B$5))*(1-$A140))-IF(F$1=0,'Underlying Mechanics'!$B$23*(1-$B140),0)-IF(F$1&gt;0,'Underlying Mechanics'!$B$22*'Underlying Mechanics'!$B$17,0)-IF(F$1&gt;0,'Underlying Mechanics'!$B$12*'Underlying Mechanics'!$B$18,0)</x:f>
        <x:v>-21540</x:v>
      </x:c>
      <x:c r="G140" t="n">
        <x:f>((IF(G$1-'Underlying Mechanics'!$B$8&lt;0,0,'Underlying Mechanics'!$B$22*'Underlying Mechanics'!$B$15*INDEX('Underlying Mechanics'!$B$31:$B$51,G$1-'Underlying Mechanics'!$B$8+1)*'Underlying Mechanics'!$B$5))*(1-$A140))-IF(G$1=0,'Underlying Mechanics'!$B$23*(1-$B140),0)-IF(G$1&gt;0,'Underlying Mechanics'!$B$22*'Underlying Mechanics'!$B$17,0)-IF(G$1&gt;0,'Underlying Mechanics'!$B$12*'Underlying Mechanics'!$B$18,0)</x:f>
        <x:v>-20100</x:v>
      </x:c>
      <x:c r="H140" t="n">
        <x:f>((IF(H$1-'Underlying Mechanics'!$B$8&lt;0,0,'Underlying Mechanics'!$B$22*'Underlying Mechanics'!$B$15*INDEX('Underlying Mechanics'!$B$31:$B$51,H$1-'Underlying Mechanics'!$B$8+1)*'Underlying Mechanics'!$B$5))*(1-$A140))-IF(H$1=0,'Underlying Mechanics'!$B$23*(1-$B140),0)-IF(H$1&gt;0,'Underlying Mechanics'!$B$22*'Underlying Mechanics'!$B$17,0)-IF(H$1&gt;0,'Underlying Mechanics'!$B$12*'Underlying Mechanics'!$B$18,0)</x:f>
        <x:v>-17700</x:v>
      </x:c>
      <x:c r="I140" t="n">
        <x:f>((IF(I$1-'Underlying Mechanics'!$B$8&lt;0,0,'Underlying Mechanics'!$B$22*'Underlying Mechanics'!$B$15*INDEX('Underlying Mechanics'!$B$31:$B$51,I$1-'Underlying Mechanics'!$B$8+1)*'Underlying Mechanics'!$B$5))*(1-$A140))-IF(I$1=0,'Underlying Mechanics'!$B$23*(1-$B140),0)-IF(I$1&gt;0,'Underlying Mechanics'!$B$22*'Underlying Mechanics'!$B$17,0)-IF(I$1&gt;0,'Underlying Mechanics'!$B$12*'Underlying Mechanics'!$B$18,0)</x:f>
        <x:v>-13860</x:v>
      </x:c>
      <x:c r="J140" t="n">
        <x:f>((IF(J$1-'Underlying Mechanics'!$B$8&lt;0,0,'Underlying Mechanics'!$B$22*'Underlying Mechanics'!$B$15*INDEX('Underlying Mechanics'!$B$31:$B$51,J$1-'Underlying Mechanics'!$B$8+1)*'Underlying Mechanics'!$B$5))*(1-$A140))-IF(J$1=0,'Underlying Mechanics'!$B$23*(1-$B140),0)-IF(J$1&gt;0,'Underlying Mechanics'!$B$22*'Underlying Mechanics'!$B$17,0)-IF(J$1&gt;0,'Underlying Mechanics'!$B$12*'Underlying Mechanics'!$B$18,0)</x:f>
        <x:v>-9059.999999999996</x:v>
      </x:c>
      <x:c r="K140" t="n">
        <x:f>((IF(K$1-'Underlying Mechanics'!$B$8&lt;0,0,'Underlying Mechanics'!$B$22*'Underlying Mechanics'!$B$15*INDEX('Underlying Mechanics'!$B$31:$B$51,K$1-'Underlying Mechanics'!$B$8+1)*'Underlying Mechanics'!$B$5))*(1-$A140))-IF(K$1=0,'Underlying Mechanics'!$B$23*(1-$B140),0)-IF(K$1&gt;0,'Underlying Mechanics'!$B$22*'Underlying Mechanics'!$B$17,0)-IF(K$1&gt;0,'Underlying Mechanics'!$B$12*'Underlying Mechanics'!$B$18,0)</x:f>
        <x:v>-3300</x:v>
      </x:c>
      <x:c r="L140" t="n">
        <x:f>((IF(L$1-'Underlying Mechanics'!$B$8&lt;0,0,'Underlying Mechanics'!$B$22*'Underlying Mechanics'!$B$15*INDEX('Underlying Mechanics'!$B$31:$B$51,L$1-'Underlying Mechanics'!$B$8+1)*'Underlying Mechanics'!$B$5))*(1-$A140))-IF(L$1=0,'Underlying Mechanics'!$B$23*(1-$B140),0)-IF(L$1&gt;0,'Underlying Mechanics'!$B$22*'Underlying Mechanics'!$B$17,0)-IF(L$1&gt;0,'Underlying Mechanics'!$B$12*'Underlying Mechanics'!$B$18,0)</x:f>
        <x:v>3420</x:v>
      </x:c>
      <x:c r="M140" t="n">
        <x:f>((IF(M$1-'Underlying Mechanics'!$B$8&lt;0,0,'Underlying Mechanics'!$B$22*'Underlying Mechanics'!$B$15*INDEX('Underlying Mechanics'!$B$31:$B$51,M$1-'Underlying Mechanics'!$B$8+1)*'Underlying Mechanics'!$B$5))*(1-$A140))-IF(M$1=0,'Underlying Mechanics'!$B$23*(1-$B140),0)-IF(M$1&gt;0,'Underlying Mechanics'!$B$22*'Underlying Mechanics'!$B$17,0)-IF(M$1&gt;0,'Underlying Mechanics'!$B$12*'Underlying Mechanics'!$B$18,0)</x:f>
        <x:v>10140.000000000007</x:v>
      </x:c>
      <x:c r="N140" t="n">
        <x:f>((IF(N$1-'Underlying Mechanics'!$B$8&lt;0,0,'Underlying Mechanics'!$B$22*'Underlying Mechanics'!$B$15*INDEX('Underlying Mechanics'!$B$31:$B$51,N$1-'Underlying Mechanics'!$B$8+1)*'Underlying Mechanics'!$B$5))*(1-$A140))-IF(N$1=0,'Underlying Mechanics'!$B$23*(1-$B140),0)-IF(N$1&gt;0,'Underlying Mechanics'!$B$22*'Underlying Mechanics'!$B$17,0)-IF(N$1&gt;0,'Underlying Mechanics'!$B$12*'Underlying Mechanics'!$B$18,0)</x:f>
        <x:v>15900</x:v>
      </x:c>
      <x:c r="O140" t="n">
        <x:f>((IF(O$1-'Underlying Mechanics'!$B$8&lt;0,0,'Underlying Mechanics'!$B$22*'Underlying Mechanics'!$B$15*INDEX('Underlying Mechanics'!$B$31:$B$51,O$1-'Underlying Mechanics'!$B$8+1)*'Underlying Mechanics'!$B$5))*(1-$A140))-IF(O$1=0,'Underlying Mechanics'!$B$23*(1-$B140),0)-IF(O$1&gt;0,'Underlying Mechanics'!$B$22*'Underlying Mechanics'!$B$17,0)-IF(O$1&gt;0,'Underlying Mechanics'!$B$12*'Underlying Mechanics'!$B$18,0)</x:f>
        <x:v>20700</x:v>
      </x:c>
      <x:c r="P140" t="n">
        <x:f>((IF(P$1-'Underlying Mechanics'!$B$8&lt;0,0,'Underlying Mechanics'!$B$22*'Underlying Mechanics'!$B$15*INDEX('Underlying Mechanics'!$B$31:$B$51,P$1-'Underlying Mechanics'!$B$8+1)*'Underlying Mechanics'!$B$5))*(1-$A140))-IF(P$1=0,'Underlying Mechanics'!$B$23*(1-$B140),0)-IF(P$1&gt;0,'Underlying Mechanics'!$B$22*'Underlying Mechanics'!$B$17,0)-IF(P$1&gt;0,'Underlying Mechanics'!$B$12*'Underlying Mechanics'!$B$18,0)</x:f>
        <x:v>25500</x:v>
      </x:c>
      <x:c r="Q140" t="n">
        <x:f>((IF(Q$1-'Underlying Mechanics'!$B$8&lt;0,0,'Underlying Mechanics'!$B$22*'Underlying Mechanics'!$B$15*INDEX('Underlying Mechanics'!$B$31:$B$51,Q$1-'Underlying Mechanics'!$B$8+1)*'Underlying Mechanics'!$B$5))*(1-$A140))-IF(Q$1=0,'Underlying Mechanics'!$B$23*(1-$B140),0)-IF(Q$1&gt;0,'Underlying Mechanics'!$B$22*'Underlying Mechanics'!$B$17,0)-IF(Q$1&gt;0,'Underlying Mechanics'!$B$12*'Underlying Mechanics'!$B$18,0)</x:f>
        <x:v>25500</x:v>
      </x:c>
      <x:c r="R140" t="n">
        <x:f>((IF(R$1-'Underlying Mechanics'!$B$8&lt;0,0,'Underlying Mechanics'!$B$22*'Underlying Mechanics'!$B$15*INDEX('Underlying Mechanics'!$B$31:$B$51,R$1-'Underlying Mechanics'!$B$8+1)*'Underlying Mechanics'!$B$5))*(1-$A140))-IF(R$1=0,'Underlying Mechanics'!$B$23*(1-$B140),0)-IF(R$1&gt;0,'Underlying Mechanics'!$B$22*'Underlying Mechanics'!$B$17,0)-IF(R$1&gt;0,'Underlying Mechanics'!$B$12*'Underlying Mechanics'!$B$18,0)</x:f>
        <x:v>25500</x:v>
      </x:c>
      <x:c r="S140" t="n">
        <x:f>((IF(S$1-'Underlying Mechanics'!$B$8&lt;0,0,'Underlying Mechanics'!$B$22*'Underlying Mechanics'!$B$15*INDEX('Underlying Mechanics'!$B$31:$B$51,S$1-'Underlying Mechanics'!$B$8+1)*'Underlying Mechanics'!$B$5))*(1-$A140))-IF(S$1=0,'Underlying Mechanics'!$B$23*(1-$B140),0)-IF(S$1&gt;0,'Underlying Mechanics'!$B$22*'Underlying Mechanics'!$B$17,0)-IF(S$1&gt;0,'Underlying Mechanics'!$B$12*'Underlying Mechanics'!$B$18,0)</x:f>
        <x:v>25500</x:v>
      </x:c>
      <x:c r="T140" t="n">
        <x:f>((IF(T$1-'Underlying Mechanics'!$B$8&lt;0,0,'Underlying Mechanics'!$B$22*'Underlying Mechanics'!$B$15*INDEX('Underlying Mechanics'!$B$31:$B$51,T$1-'Underlying Mechanics'!$B$8+1)*'Underlying Mechanics'!$B$5))*(1-$A140))-IF(T$1=0,'Underlying Mechanics'!$B$23*(1-$B140),0)-IF(T$1&gt;0,'Underlying Mechanics'!$B$22*'Underlying Mechanics'!$B$17,0)-IF(T$1&gt;0,'Underlying Mechanics'!$B$12*'Underlying Mechanics'!$B$18,0)</x:f>
        <x:v>25500</x:v>
      </x:c>
      <x:c r="U140" t="n">
        <x:f>((IF(U$1-'Underlying Mechanics'!$B$8&lt;0,0,'Underlying Mechanics'!$B$22*'Underlying Mechanics'!$B$15*INDEX('Underlying Mechanics'!$B$31:$B$51,U$1-'Underlying Mechanics'!$B$8+1)*'Underlying Mechanics'!$B$5))*(1-$A140))-IF(U$1=0,'Underlying Mechanics'!$B$23*(1-$B140),0)-IF(U$1&gt;0,'Underlying Mechanics'!$B$22*'Underlying Mechanics'!$B$17,0)-IF(U$1&gt;0,'Underlying Mechanics'!$B$12*'Underlying Mechanics'!$B$18,0)</x:f>
        <x:v>25500</x:v>
      </x:c>
      <x:c r="V140" t="n">
        <x:f>((IF(V$1-'Underlying Mechanics'!$B$8&lt;0,0,'Underlying Mechanics'!$B$22*'Underlying Mechanics'!$B$15*INDEX('Underlying Mechanics'!$B$31:$B$51,V$1-'Underlying Mechanics'!$B$8+1)*'Underlying Mechanics'!$B$5))*(1-$A140))-IF(V$1=0,'Underlying Mechanics'!$B$23*(1-$B140),0)-IF(V$1&gt;0,'Underlying Mechanics'!$B$22*'Underlying Mechanics'!$B$17,0)-IF(V$1&gt;0,'Underlying Mechanics'!$B$12*'Underlying Mechanics'!$B$18,0)</x:f>
        <x:v>25500</x:v>
      </x:c>
      <x:c r="W140" t="n">
        <x:f>((IF(W$1-'Underlying Mechanics'!$B$8&lt;0,0,'Underlying Mechanics'!$B$22*'Underlying Mechanics'!$B$15*INDEX('Underlying Mechanics'!$B$31:$B$51,W$1-'Underlying Mechanics'!$B$8+1)*'Underlying Mechanics'!$B$5))*(1-$A140))-IF(W$1=0,'Underlying Mechanics'!$B$23*(1-$B140),0)-IF(W$1&gt;0,'Underlying Mechanics'!$B$22*'Underlying Mechanics'!$B$17,0)-IF(W$1&gt;0,'Underlying Mechanics'!$B$12*'Underlying Mechanics'!$B$18,0)</x:f>
        <x:v>25500</x:v>
      </x:c>
      <x:c r="X140" t="n">
        <x:f>IFERROR(IRR(C140:W140),-1)</x:f>
        <x:v>0.02257450080455259</x:v>
      </x:c>
    </x:row>
    <x:row r="141">
      <x:c r="A141" t="n">
        <x:v>0.6</x:v>
      </x:c>
      <x:c r="B141" t="n">
        <x:v>0.65</x:v>
      </x:c>
      <x:c r="C141" t="n">
        <x:f>((IF(C$1-'Underlying Mechanics'!$B$8&lt;0,0,'Underlying Mechanics'!$B$22*'Underlying Mechanics'!$B$15*INDEX('Underlying Mechanics'!$B$31:$B$51,C$1-'Underlying Mechanics'!$B$8+1)*'Underlying Mechanics'!$B$5))*(1-$A141))-IF(C$1=0,'Underlying Mechanics'!$B$23*(1-$B141),0)-IF(C$1&gt;0,'Underlying Mechanics'!$B$22*'Underlying Mechanics'!$B$17,0)-IF(C$1&gt;0,'Underlying Mechanics'!$B$12*'Underlying Mechanics'!$B$18,0)</x:f>
        <x:v>-52500</x:v>
      </x:c>
      <x:c r="D141" t="n">
        <x:f>((IF(D$1-'Underlying Mechanics'!$B$8&lt;0,0,'Underlying Mechanics'!$B$22*'Underlying Mechanics'!$B$15*INDEX('Underlying Mechanics'!$B$31:$B$51,D$1-'Underlying Mechanics'!$B$8+1)*'Underlying Mechanics'!$B$5))*(1-$A141))-IF(D$1=0,'Underlying Mechanics'!$B$23*(1-$B141),0)-IF(D$1&gt;0,'Underlying Mechanics'!$B$22*'Underlying Mechanics'!$B$17,0)-IF(D$1&gt;0,'Underlying Mechanics'!$B$12*'Underlying Mechanics'!$B$18,0)</x:f>
        <x:v>-22500</x:v>
      </x:c>
      <x:c r="E141" t="n">
        <x:f>((IF(E$1-'Underlying Mechanics'!$B$8&lt;0,0,'Underlying Mechanics'!$B$22*'Underlying Mechanics'!$B$15*INDEX('Underlying Mechanics'!$B$31:$B$51,E$1-'Underlying Mechanics'!$B$8+1)*'Underlying Mechanics'!$B$5))*(1-$A141))-IF(E$1=0,'Underlying Mechanics'!$B$23*(1-$B141),0)-IF(E$1&gt;0,'Underlying Mechanics'!$B$22*'Underlying Mechanics'!$B$17,0)-IF(E$1&gt;0,'Underlying Mechanics'!$B$12*'Underlying Mechanics'!$B$18,0)</x:f>
        <x:v>-22500</x:v>
      </x:c>
      <x:c r="F141" t="n">
        <x:f>((IF(F$1-'Underlying Mechanics'!$B$8&lt;0,0,'Underlying Mechanics'!$B$22*'Underlying Mechanics'!$B$15*INDEX('Underlying Mechanics'!$B$31:$B$51,F$1-'Underlying Mechanics'!$B$8+1)*'Underlying Mechanics'!$B$5))*(1-$A141))-IF(F$1=0,'Underlying Mechanics'!$B$23*(1-$B141),0)-IF(F$1&gt;0,'Underlying Mechanics'!$B$22*'Underlying Mechanics'!$B$17,0)-IF(F$1&gt;0,'Underlying Mechanics'!$B$12*'Underlying Mechanics'!$B$18,0)</x:f>
        <x:v>-21540</x:v>
      </x:c>
      <x:c r="G141" t="n">
        <x:f>((IF(G$1-'Underlying Mechanics'!$B$8&lt;0,0,'Underlying Mechanics'!$B$22*'Underlying Mechanics'!$B$15*INDEX('Underlying Mechanics'!$B$31:$B$51,G$1-'Underlying Mechanics'!$B$8+1)*'Underlying Mechanics'!$B$5))*(1-$A141))-IF(G$1=0,'Underlying Mechanics'!$B$23*(1-$B141),0)-IF(G$1&gt;0,'Underlying Mechanics'!$B$22*'Underlying Mechanics'!$B$17,0)-IF(G$1&gt;0,'Underlying Mechanics'!$B$12*'Underlying Mechanics'!$B$18,0)</x:f>
        <x:v>-20100</x:v>
      </x:c>
      <x:c r="H141" t="n">
        <x:f>((IF(H$1-'Underlying Mechanics'!$B$8&lt;0,0,'Underlying Mechanics'!$B$22*'Underlying Mechanics'!$B$15*INDEX('Underlying Mechanics'!$B$31:$B$51,H$1-'Underlying Mechanics'!$B$8+1)*'Underlying Mechanics'!$B$5))*(1-$A141))-IF(H$1=0,'Underlying Mechanics'!$B$23*(1-$B141),0)-IF(H$1&gt;0,'Underlying Mechanics'!$B$22*'Underlying Mechanics'!$B$17,0)-IF(H$1&gt;0,'Underlying Mechanics'!$B$12*'Underlying Mechanics'!$B$18,0)</x:f>
        <x:v>-17700</x:v>
      </x:c>
      <x:c r="I141" t="n">
        <x:f>((IF(I$1-'Underlying Mechanics'!$B$8&lt;0,0,'Underlying Mechanics'!$B$22*'Underlying Mechanics'!$B$15*INDEX('Underlying Mechanics'!$B$31:$B$51,I$1-'Underlying Mechanics'!$B$8+1)*'Underlying Mechanics'!$B$5))*(1-$A141))-IF(I$1=0,'Underlying Mechanics'!$B$23*(1-$B141),0)-IF(I$1&gt;0,'Underlying Mechanics'!$B$22*'Underlying Mechanics'!$B$17,0)-IF(I$1&gt;0,'Underlying Mechanics'!$B$12*'Underlying Mechanics'!$B$18,0)</x:f>
        <x:v>-13860</x:v>
      </x:c>
      <x:c r="J141" t="n">
        <x:f>((IF(J$1-'Underlying Mechanics'!$B$8&lt;0,0,'Underlying Mechanics'!$B$22*'Underlying Mechanics'!$B$15*INDEX('Underlying Mechanics'!$B$31:$B$51,J$1-'Underlying Mechanics'!$B$8+1)*'Underlying Mechanics'!$B$5))*(1-$A141))-IF(J$1=0,'Underlying Mechanics'!$B$23*(1-$B141),0)-IF(J$1&gt;0,'Underlying Mechanics'!$B$22*'Underlying Mechanics'!$B$17,0)-IF(J$1&gt;0,'Underlying Mechanics'!$B$12*'Underlying Mechanics'!$B$18,0)</x:f>
        <x:v>-9059.999999999996</x:v>
      </x:c>
      <x:c r="K141" t="n">
        <x:f>((IF(K$1-'Underlying Mechanics'!$B$8&lt;0,0,'Underlying Mechanics'!$B$22*'Underlying Mechanics'!$B$15*INDEX('Underlying Mechanics'!$B$31:$B$51,K$1-'Underlying Mechanics'!$B$8+1)*'Underlying Mechanics'!$B$5))*(1-$A141))-IF(K$1=0,'Underlying Mechanics'!$B$23*(1-$B141),0)-IF(K$1&gt;0,'Underlying Mechanics'!$B$22*'Underlying Mechanics'!$B$17,0)-IF(K$1&gt;0,'Underlying Mechanics'!$B$12*'Underlying Mechanics'!$B$18,0)</x:f>
        <x:v>-3300</x:v>
      </x:c>
      <x:c r="L141" t="n">
        <x:f>((IF(L$1-'Underlying Mechanics'!$B$8&lt;0,0,'Underlying Mechanics'!$B$22*'Underlying Mechanics'!$B$15*INDEX('Underlying Mechanics'!$B$31:$B$51,L$1-'Underlying Mechanics'!$B$8+1)*'Underlying Mechanics'!$B$5))*(1-$A141))-IF(L$1=0,'Underlying Mechanics'!$B$23*(1-$B141),0)-IF(L$1&gt;0,'Underlying Mechanics'!$B$22*'Underlying Mechanics'!$B$17,0)-IF(L$1&gt;0,'Underlying Mechanics'!$B$12*'Underlying Mechanics'!$B$18,0)</x:f>
        <x:v>3420</x:v>
      </x:c>
      <x:c r="M141" t="n">
        <x:f>((IF(M$1-'Underlying Mechanics'!$B$8&lt;0,0,'Underlying Mechanics'!$B$22*'Underlying Mechanics'!$B$15*INDEX('Underlying Mechanics'!$B$31:$B$51,M$1-'Underlying Mechanics'!$B$8+1)*'Underlying Mechanics'!$B$5))*(1-$A141))-IF(M$1=0,'Underlying Mechanics'!$B$23*(1-$B141),0)-IF(M$1&gt;0,'Underlying Mechanics'!$B$22*'Underlying Mechanics'!$B$17,0)-IF(M$1&gt;0,'Underlying Mechanics'!$B$12*'Underlying Mechanics'!$B$18,0)</x:f>
        <x:v>10140.000000000007</x:v>
      </x:c>
      <x:c r="N141" t="n">
        <x:f>((IF(N$1-'Underlying Mechanics'!$B$8&lt;0,0,'Underlying Mechanics'!$B$22*'Underlying Mechanics'!$B$15*INDEX('Underlying Mechanics'!$B$31:$B$51,N$1-'Underlying Mechanics'!$B$8+1)*'Underlying Mechanics'!$B$5))*(1-$A141))-IF(N$1=0,'Underlying Mechanics'!$B$23*(1-$B141),0)-IF(N$1&gt;0,'Underlying Mechanics'!$B$22*'Underlying Mechanics'!$B$17,0)-IF(N$1&gt;0,'Underlying Mechanics'!$B$12*'Underlying Mechanics'!$B$18,0)</x:f>
        <x:v>15900</x:v>
      </x:c>
      <x:c r="O141" t="n">
        <x:f>((IF(O$1-'Underlying Mechanics'!$B$8&lt;0,0,'Underlying Mechanics'!$B$22*'Underlying Mechanics'!$B$15*INDEX('Underlying Mechanics'!$B$31:$B$51,O$1-'Underlying Mechanics'!$B$8+1)*'Underlying Mechanics'!$B$5))*(1-$A141))-IF(O$1=0,'Underlying Mechanics'!$B$23*(1-$B141),0)-IF(O$1&gt;0,'Underlying Mechanics'!$B$22*'Underlying Mechanics'!$B$17,0)-IF(O$1&gt;0,'Underlying Mechanics'!$B$12*'Underlying Mechanics'!$B$18,0)</x:f>
        <x:v>20700</x:v>
      </x:c>
      <x:c r="P141" t="n">
        <x:f>((IF(P$1-'Underlying Mechanics'!$B$8&lt;0,0,'Underlying Mechanics'!$B$22*'Underlying Mechanics'!$B$15*INDEX('Underlying Mechanics'!$B$31:$B$51,P$1-'Underlying Mechanics'!$B$8+1)*'Underlying Mechanics'!$B$5))*(1-$A141))-IF(P$1=0,'Underlying Mechanics'!$B$23*(1-$B141),0)-IF(P$1&gt;0,'Underlying Mechanics'!$B$22*'Underlying Mechanics'!$B$17,0)-IF(P$1&gt;0,'Underlying Mechanics'!$B$12*'Underlying Mechanics'!$B$18,0)</x:f>
        <x:v>25500</x:v>
      </x:c>
      <x:c r="Q141" t="n">
        <x:f>((IF(Q$1-'Underlying Mechanics'!$B$8&lt;0,0,'Underlying Mechanics'!$B$22*'Underlying Mechanics'!$B$15*INDEX('Underlying Mechanics'!$B$31:$B$51,Q$1-'Underlying Mechanics'!$B$8+1)*'Underlying Mechanics'!$B$5))*(1-$A141))-IF(Q$1=0,'Underlying Mechanics'!$B$23*(1-$B141),0)-IF(Q$1&gt;0,'Underlying Mechanics'!$B$22*'Underlying Mechanics'!$B$17,0)-IF(Q$1&gt;0,'Underlying Mechanics'!$B$12*'Underlying Mechanics'!$B$18,0)</x:f>
        <x:v>25500</x:v>
      </x:c>
      <x:c r="R141" t="n">
        <x:f>((IF(R$1-'Underlying Mechanics'!$B$8&lt;0,0,'Underlying Mechanics'!$B$22*'Underlying Mechanics'!$B$15*INDEX('Underlying Mechanics'!$B$31:$B$51,R$1-'Underlying Mechanics'!$B$8+1)*'Underlying Mechanics'!$B$5))*(1-$A141))-IF(R$1=0,'Underlying Mechanics'!$B$23*(1-$B141),0)-IF(R$1&gt;0,'Underlying Mechanics'!$B$22*'Underlying Mechanics'!$B$17,0)-IF(R$1&gt;0,'Underlying Mechanics'!$B$12*'Underlying Mechanics'!$B$18,0)</x:f>
        <x:v>25500</x:v>
      </x:c>
      <x:c r="S141" t="n">
        <x:f>((IF(S$1-'Underlying Mechanics'!$B$8&lt;0,0,'Underlying Mechanics'!$B$22*'Underlying Mechanics'!$B$15*INDEX('Underlying Mechanics'!$B$31:$B$51,S$1-'Underlying Mechanics'!$B$8+1)*'Underlying Mechanics'!$B$5))*(1-$A141))-IF(S$1=0,'Underlying Mechanics'!$B$23*(1-$B141),0)-IF(S$1&gt;0,'Underlying Mechanics'!$B$22*'Underlying Mechanics'!$B$17,0)-IF(S$1&gt;0,'Underlying Mechanics'!$B$12*'Underlying Mechanics'!$B$18,0)</x:f>
        <x:v>25500</x:v>
      </x:c>
      <x:c r="T141" t="n">
        <x:f>((IF(T$1-'Underlying Mechanics'!$B$8&lt;0,0,'Underlying Mechanics'!$B$22*'Underlying Mechanics'!$B$15*INDEX('Underlying Mechanics'!$B$31:$B$51,T$1-'Underlying Mechanics'!$B$8+1)*'Underlying Mechanics'!$B$5))*(1-$A141))-IF(T$1=0,'Underlying Mechanics'!$B$23*(1-$B141),0)-IF(T$1&gt;0,'Underlying Mechanics'!$B$22*'Underlying Mechanics'!$B$17,0)-IF(T$1&gt;0,'Underlying Mechanics'!$B$12*'Underlying Mechanics'!$B$18,0)</x:f>
        <x:v>25500</x:v>
      </x:c>
      <x:c r="U141" t="n">
        <x:f>((IF(U$1-'Underlying Mechanics'!$B$8&lt;0,0,'Underlying Mechanics'!$B$22*'Underlying Mechanics'!$B$15*INDEX('Underlying Mechanics'!$B$31:$B$51,U$1-'Underlying Mechanics'!$B$8+1)*'Underlying Mechanics'!$B$5))*(1-$A141))-IF(U$1=0,'Underlying Mechanics'!$B$23*(1-$B141),0)-IF(U$1&gt;0,'Underlying Mechanics'!$B$22*'Underlying Mechanics'!$B$17,0)-IF(U$1&gt;0,'Underlying Mechanics'!$B$12*'Underlying Mechanics'!$B$18,0)</x:f>
        <x:v>25500</x:v>
      </x:c>
      <x:c r="V141" t="n">
        <x:f>((IF(V$1-'Underlying Mechanics'!$B$8&lt;0,0,'Underlying Mechanics'!$B$22*'Underlying Mechanics'!$B$15*INDEX('Underlying Mechanics'!$B$31:$B$51,V$1-'Underlying Mechanics'!$B$8+1)*'Underlying Mechanics'!$B$5))*(1-$A141))-IF(V$1=0,'Underlying Mechanics'!$B$23*(1-$B141),0)-IF(V$1&gt;0,'Underlying Mechanics'!$B$22*'Underlying Mechanics'!$B$17,0)-IF(V$1&gt;0,'Underlying Mechanics'!$B$12*'Underlying Mechanics'!$B$18,0)</x:f>
        <x:v>25500</x:v>
      </x:c>
      <x:c r="W141" t="n">
        <x:f>((IF(W$1-'Underlying Mechanics'!$B$8&lt;0,0,'Underlying Mechanics'!$B$22*'Underlying Mechanics'!$B$15*INDEX('Underlying Mechanics'!$B$31:$B$51,W$1-'Underlying Mechanics'!$B$8+1)*'Underlying Mechanics'!$B$5))*(1-$A141))-IF(W$1=0,'Underlying Mechanics'!$B$23*(1-$B141),0)-IF(W$1&gt;0,'Underlying Mechanics'!$B$22*'Underlying Mechanics'!$B$17,0)-IF(W$1&gt;0,'Underlying Mechanics'!$B$12*'Underlying Mechanics'!$B$18,0)</x:f>
        <x:v>25500</x:v>
      </x:c>
      <x:c r="X141" t="n">
        <x:f>IFERROR(IRR(C141:W141),-1)</x:f>
        <x:v>0.025983512240327192</x:v>
      </x:c>
    </x:row>
    <x:row r="142">
      <x:c r="A142" t="n">
        <x:v>0.6</x:v>
      </x:c>
      <x:c r="B142" t="n">
        <x:v>0.7</x:v>
      </x:c>
      <x:c r="C142" t="n">
        <x:f>((IF(C$1-'Underlying Mechanics'!$B$8&lt;0,0,'Underlying Mechanics'!$B$22*'Underlying Mechanics'!$B$15*INDEX('Underlying Mechanics'!$B$31:$B$51,C$1-'Underlying Mechanics'!$B$8+1)*'Underlying Mechanics'!$B$5))*(1-$A142))-IF(C$1=0,'Underlying Mechanics'!$B$23*(1-$B142),0)-IF(C$1&gt;0,'Underlying Mechanics'!$B$22*'Underlying Mechanics'!$B$17,0)-IF(C$1&gt;0,'Underlying Mechanics'!$B$12*'Underlying Mechanics'!$B$18,0)</x:f>
        <x:v>-45000.00000000001</x:v>
      </x:c>
      <x:c r="D142" t="n">
        <x:f>((IF(D$1-'Underlying Mechanics'!$B$8&lt;0,0,'Underlying Mechanics'!$B$22*'Underlying Mechanics'!$B$15*INDEX('Underlying Mechanics'!$B$31:$B$51,D$1-'Underlying Mechanics'!$B$8+1)*'Underlying Mechanics'!$B$5))*(1-$A142))-IF(D$1=0,'Underlying Mechanics'!$B$23*(1-$B142),0)-IF(D$1&gt;0,'Underlying Mechanics'!$B$22*'Underlying Mechanics'!$B$17,0)-IF(D$1&gt;0,'Underlying Mechanics'!$B$12*'Underlying Mechanics'!$B$18,0)</x:f>
        <x:v>-22500</x:v>
      </x:c>
      <x:c r="E142" t="n">
        <x:f>((IF(E$1-'Underlying Mechanics'!$B$8&lt;0,0,'Underlying Mechanics'!$B$22*'Underlying Mechanics'!$B$15*INDEX('Underlying Mechanics'!$B$31:$B$51,E$1-'Underlying Mechanics'!$B$8+1)*'Underlying Mechanics'!$B$5))*(1-$A142))-IF(E$1=0,'Underlying Mechanics'!$B$23*(1-$B142),0)-IF(E$1&gt;0,'Underlying Mechanics'!$B$22*'Underlying Mechanics'!$B$17,0)-IF(E$1&gt;0,'Underlying Mechanics'!$B$12*'Underlying Mechanics'!$B$18,0)</x:f>
        <x:v>-22500</x:v>
      </x:c>
      <x:c r="F142" t="n">
        <x:f>((IF(F$1-'Underlying Mechanics'!$B$8&lt;0,0,'Underlying Mechanics'!$B$22*'Underlying Mechanics'!$B$15*INDEX('Underlying Mechanics'!$B$31:$B$51,F$1-'Underlying Mechanics'!$B$8+1)*'Underlying Mechanics'!$B$5))*(1-$A142))-IF(F$1=0,'Underlying Mechanics'!$B$23*(1-$B142),0)-IF(F$1&gt;0,'Underlying Mechanics'!$B$22*'Underlying Mechanics'!$B$17,0)-IF(F$1&gt;0,'Underlying Mechanics'!$B$12*'Underlying Mechanics'!$B$18,0)</x:f>
        <x:v>-21540</x:v>
      </x:c>
      <x:c r="G142" t="n">
        <x:f>((IF(G$1-'Underlying Mechanics'!$B$8&lt;0,0,'Underlying Mechanics'!$B$22*'Underlying Mechanics'!$B$15*INDEX('Underlying Mechanics'!$B$31:$B$51,G$1-'Underlying Mechanics'!$B$8+1)*'Underlying Mechanics'!$B$5))*(1-$A142))-IF(G$1=0,'Underlying Mechanics'!$B$23*(1-$B142),0)-IF(G$1&gt;0,'Underlying Mechanics'!$B$22*'Underlying Mechanics'!$B$17,0)-IF(G$1&gt;0,'Underlying Mechanics'!$B$12*'Underlying Mechanics'!$B$18,0)</x:f>
        <x:v>-20100</x:v>
      </x:c>
      <x:c r="H142" t="n">
        <x:f>((IF(H$1-'Underlying Mechanics'!$B$8&lt;0,0,'Underlying Mechanics'!$B$22*'Underlying Mechanics'!$B$15*INDEX('Underlying Mechanics'!$B$31:$B$51,H$1-'Underlying Mechanics'!$B$8+1)*'Underlying Mechanics'!$B$5))*(1-$A142))-IF(H$1=0,'Underlying Mechanics'!$B$23*(1-$B142),0)-IF(H$1&gt;0,'Underlying Mechanics'!$B$22*'Underlying Mechanics'!$B$17,0)-IF(H$1&gt;0,'Underlying Mechanics'!$B$12*'Underlying Mechanics'!$B$18,0)</x:f>
        <x:v>-17700</x:v>
      </x:c>
      <x:c r="I142" t="n">
        <x:f>((IF(I$1-'Underlying Mechanics'!$B$8&lt;0,0,'Underlying Mechanics'!$B$22*'Underlying Mechanics'!$B$15*INDEX('Underlying Mechanics'!$B$31:$B$51,I$1-'Underlying Mechanics'!$B$8+1)*'Underlying Mechanics'!$B$5))*(1-$A142))-IF(I$1=0,'Underlying Mechanics'!$B$23*(1-$B142),0)-IF(I$1&gt;0,'Underlying Mechanics'!$B$22*'Underlying Mechanics'!$B$17,0)-IF(I$1&gt;0,'Underlying Mechanics'!$B$12*'Underlying Mechanics'!$B$18,0)</x:f>
        <x:v>-13860</x:v>
      </x:c>
      <x:c r="J142" t="n">
        <x:f>((IF(J$1-'Underlying Mechanics'!$B$8&lt;0,0,'Underlying Mechanics'!$B$22*'Underlying Mechanics'!$B$15*INDEX('Underlying Mechanics'!$B$31:$B$51,J$1-'Underlying Mechanics'!$B$8+1)*'Underlying Mechanics'!$B$5))*(1-$A142))-IF(J$1=0,'Underlying Mechanics'!$B$23*(1-$B142),0)-IF(J$1&gt;0,'Underlying Mechanics'!$B$22*'Underlying Mechanics'!$B$17,0)-IF(J$1&gt;0,'Underlying Mechanics'!$B$12*'Underlying Mechanics'!$B$18,0)</x:f>
        <x:v>-9059.999999999996</x:v>
      </x:c>
      <x:c r="K142" t="n">
        <x:f>((IF(K$1-'Underlying Mechanics'!$B$8&lt;0,0,'Underlying Mechanics'!$B$22*'Underlying Mechanics'!$B$15*INDEX('Underlying Mechanics'!$B$31:$B$51,K$1-'Underlying Mechanics'!$B$8+1)*'Underlying Mechanics'!$B$5))*(1-$A142))-IF(K$1=0,'Underlying Mechanics'!$B$23*(1-$B142),0)-IF(K$1&gt;0,'Underlying Mechanics'!$B$22*'Underlying Mechanics'!$B$17,0)-IF(K$1&gt;0,'Underlying Mechanics'!$B$12*'Underlying Mechanics'!$B$18,0)</x:f>
        <x:v>-3300</x:v>
      </x:c>
      <x:c r="L142" t="n">
        <x:f>((IF(L$1-'Underlying Mechanics'!$B$8&lt;0,0,'Underlying Mechanics'!$B$22*'Underlying Mechanics'!$B$15*INDEX('Underlying Mechanics'!$B$31:$B$51,L$1-'Underlying Mechanics'!$B$8+1)*'Underlying Mechanics'!$B$5))*(1-$A142))-IF(L$1=0,'Underlying Mechanics'!$B$23*(1-$B142),0)-IF(L$1&gt;0,'Underlying Mechanics'!$B$22*'Underlying Mechanics'!$B$17,0)-IF(L$1&gt;0,'Underlying Mechanics'!$B$12*'Underlying Mechanics'!$B$18,0)</x:f>
        <x:v>3420</x:v>
      </x:c>
      <x:c r="M142" t="n">
        <x:f>((IF(M$1-'Underlying Mechanics'!$B$8&lt;0,0,'Underlying Mechanics'!$B$22*'Underlying Mechanics'!$B$15*INDEX('Underlying Mechanics'!$B$31:$B$51,M$1-'Underlying Mechanics'!$B$8+1)*'Underlying Mechanics'!$B$5))*(1-$A142))-IF(M$1=0,'Underlying Mechanics'!$B$23*(1-$B142),0)-IF(M$1&gt;0,'Underlying Mechanics'!$B$22*'Underlying Mechanics'!$B$17,0)-IF(M$1&gt;0,'Underlying Mechanics'!$B$12*'Underlying Mechanics'!$B$18,0)</x:f>
        <x:v>10140.000000000007</x:v>
      </x:c>
      <x:c r="N142" t="n">
        <x:f>((IF(N$1-'Underlying Mechanics'!$B$8&lt;0,0,'Underlying Mechanics'!$B$22*'Underlying Mechanics'!$B$15*INDEX('Underlying Mechanics'!$B$31:$B$51,N$1-'Underlying Mechanics'!$B$8+1)*'Underlying Mechanics'!$B$5))*(1-$A142))-IF(N$1=0,'Underlying Mechanics'!$B$23*(1-$B142),0)-IF(N$1&gt;0,'Underlying Mechanics'!$B$22*'Underlying Mechanics'!$B$17,0)-IF(N$1&gt;0,'Underlying Mechanics'!$B$12*'Underlying Mechanics'!$B$18,0)</x:f>
        <x:v>15900</x:v>
      </x:c>
      <x:c r="O142" t="n">
        <x:f>((IF(O$1-'Underlying Mechanics'!$B$8&lt;0,0,'Underlying Mechanics'!$B$22*'Underlying Mechanics'!$B$15*INDEX('Underlying Mechanics'!$B$31:$B$51,O$1-'Underlying Mechanics'!$B$8+1)*'Underlying Mechanics'!$B$5))*(1-$A142))-IF(O$1=0,'Underlying Mechanics'!$B$23*(1-$B142),0)-IF(O$1&gt;0,'Underlying Mechanics'!$B$22*'Underlying Mechanics'!$B$17,0)-IF(O$1&gt;0,'Underlying Mechanics'!$B$12*'Underlying Mechanics'!$B$18,0)</x:f>
        <x:v>20700</x:v>
      </x:c>
      <x:c r="P142" t="n">
        <x:f>((IF(P$1-'Underlying Mechanics'!$B$8&lt;0,0,'Underlying Mechanics'!$B$22*'Underlying Mechanics'!$B$15*INDEX('Underlying Mechanics'!$B$31:$B$51,P$1-'Underlying Mechanics'!$B$8+1)*'Underlying Mechanics'!$B$5))*(1-$A142))-IF(P$1=0,'Underlying Mechanics'!$B$23*(1-$B142),0)-IF(P$1&gt;0,'Underlying Mechanics'!$B$22*'Underlying Mechanics'!$B$17,0)-IF(P$1&gt;0,'Underlying Mechanics'!$B$12*'Underlying Mechanics'!$B$18,0)</x:f>
        <x:v>25500</x:v>
      </x:c>
      <x:c r="Q142" t="n">
        <x:f>((IF(Q$1-'Underlying Mechanics'!$B$8&lt;0,0,'Underlying Mechanics'!$B$22*'Underlying Mechanics'!$B$15*INDEX('Underlying Mechanics'!$B$31:$B$51,Q$1-'Underlying Mechanics'!$B$8+1)*'Underlying Mechanics'!$B$5))*(1-$A142))-IF(Q$1=0,'Underlying Mechanics'!$B$23*(1-$B142),0)-IF(Q$1&gt;0,'Underlying Mechanics'!$B$22*'Underlying Mechanics'!$B$17,0)-IF(Q$1&gt;0,'Underlying Mechanics'!$B$12*'Underlying Mechanics'!$B$18,0)</x:f>
        <x:v>25500</x:v>
      </x:c>
      <x:c r="R142" t="n">
        <x:f>((IF(R$1-'Underlying Mechanics'!$B$8&lt;0,0,'Underlying Mechanics'!$B$22*'Underlying Mechanics'!$B$15*INDEX('Underlying Mechanics'!$B$31:$B$51,R$1-'Underlying Mechanics'!$B$8+1)*'Underlying Mechanics'!$B$5))*(1-$A142))-IF(R$1=0,'Underlying Mechanics'!$B$23*(1-$B142),0)-IF(R$1&gt;0,'Underlying Mechanics'!$B$22*'Underlying Mechanics'!$B$17,0)-IF(R$1&gt;0,'Underlying Mechanics'!$B$12*'Underlying Mechanics'!$B$18,0)</x:f>
        <x:v>25500</x:v>
      </x:c>
      <x:c r="S142" t="n">
        <x:f>((IF(S$1-'Underlying Mechanics'!$B$8&lt;0,0,'Underlying Mechanics'!$B$22*'Underlying Mechanics'!$B$15*INDEX('Underlying Mechanics'!$B$31:$B$51,S$1-'Underlying Mechanics'!$B$8+1)*'Underlying Mechanics'!$B$5))*(1-$A142))-IF(S$1=0,'Underlying Mechanics'!$B$23*(1-$B142),0)-IF(S$1&gt;0,'Underlying Mechanics'!$B$22*'Underlying Mechanics'!$B$17,0)-IF(S$1&gt;0,'Underlying Mechanics'!$B$12*'Underlying Mechanics'!$B$18,0)</x:f>
        <x:v>25500</x:v>
      </x:c>
      <x:c r="T142" t="n">
        <x:f>((IF(T$1-'Underlying Mechanics'!$B$8&lt;0,0,'Underlying Mechanics'!$B$22*'Underlying Mechanics'!$B$15*INDEX('Underlying Mechanics'!$B$31:$B$51,T$1-'Underlying Mechanics'!$B$8+1)*'Underlying Mechanics'!$B$5))*(1-$A142))-IF(T$1=0,'Underlying Mechanics'!$B$23*(1-$B142),0)-IF(T$1&gt;0,'Underlying Mechanics'!$B$22*'Underlying Mechanics'!$B$17,0)-IF(T$1&gt;0,'Underlying Mechanics'!$B$12*'Underlying Mechanics'!$B$18,0)</x:f>
        <x:v>25500</x:v>
      </x:c>
      <x:c r="U142" t="n">
        <x:f>((IF(U$1-'Underlying Mechanics'!$B$8&lt;0,0,'Underlying Mechanics'!$B$22*'Underlying Mechanics'!$B$15*INDEX('Underlying Mechanics'!$B$31:$B$51,U$1-'Underlying Mechanics'!$B$8+1)*'Underlying Mechanics'!$B$5))*(1-$A142))-IF(U$1=0,'Underlying Mechanics'!$B$23*(1-$B142),0)-IF(U$1&gt;0,'Underlying Mechanics'!$B$22*'Underlying Mechanics'!$B$17,0)-IF(U$1&gt;0,'Underlying Mechanics'!$B$12*'Underlying Mechanics'!$B$18,0)</x:f>
        <x:v>25500</x:v>
      </x:c>
      <x:c r="V142" t="n">
        <x:f>((IF(V$1-'Underlying Mechanics'!$B$8&lt;0,0,'Underlying Mechanics'!$B$22*'Underlying Mechanics'!$B$15*INDEX('Underlying Mechanics'!$B$31:$B$51,V$1-'Underlying Mechanics'!$B$8+1)*'Underlying Mechanics'!$B$5))*(1-$A142))-IF(V$1=0,'Underlying Mechanics'!$B$23*(1-$B142),0)-IF(V$1&gt;0,'Underlying Mechanics'!$B$22*'Underlying Mechanics'!$B$17,0)-IF(V$1&gt;0,'Underlying Mechanics'!$B$12*'Underlying Mechanics'!$B$18,0)</x:f>
        <x:v>25500</x:v>
      </x:c>
      <x:c r="W142" t="n">
        <x:f>((IF(W$1-'Underlying Mechanics'!$B$8&lt;0,0,'Underlying Mechanics'!$B$22*'Underlying Mechanics'!$B$15*INDEX('Underlying Mechanics'!$B$31:$B$51,W$1-'Underlying Mechanics'!$B$8+1)*'Underlying Mechanics'!$B$5))*(1-$A142))-IF(W$1=0,'Underlying Mechanics'!$B$23*(1-$B142),0)-IF(W$1&gt;0,'Underlying Mechanics'!$B$22*'Underlying Mechanics'!$B$17,0)-IF(W$1&gt;0,'Underlying Mechanics'!$B$12*'Underlying Mechanics'!$B$18,0)</x:f>
        <x:v>25500</x:v>
      </x:c>
      <x:c r="X142" t="n">
        <x:f>IFERROR(IRR(C142:W142),-1)</x:f>
        <x:v>0.02962168361393529</x:v>
      </x:c>
    </x:row>
    <x:row r="143">
      <x:c r="A143" t="n">
        <x:v>0.6</x:v>
      </x:c>
      <x:c r="B143" t="n">
        <x:v>0.75</x:v>
      </x:c>
      <x:c r="C143" t="n">
        <x:f>((IF(C$1-'Underlying Mechanics'!$B$8&lt;0,0,'Underlying Mechanics'!$B$22*'Underlying Mechanics'!$B$15*INDEX('Underlying Mechanics'!$B$31:$B$51,C$1-'Underlying Mechanics'!$B$8+1)*'Underlying Mechanics'!$B$5))*(1-$A143))-IF(C$1=0,'Underlying Mechanics'!$B$23*(1-$B143),0)-IF(C$1&gt;0,'Underlying Mechanics'!$B$22*'Underlying Mechanics'!$B$17,0)-IF(C$1&gt;0,'Underlying Mechanics'!$B$12*'Underlying Mechanics'!$B$18,0)</x:f>
        <x:v>-37500</x:v>
      </x:c>
      <x:c r="D143" t="n">
        <x:f>((IF(D$1-'Underlying Mechanics'!$B$8&lt;0,0,'Underlying Mechanics'!$B$22*'Underlying Mechanics'!$B$15*INDEX('Underlying Mechanics'!$B$31:$B$51,D$1-'Underlying Mechanics'!$B$8+1)*'Underlying Mechanics'!$B$5))*(1-$A143))-IF(D$1=0,'Underlying Mechanics'!$B$23*(1-$B143),0)-IF(D$1&gt;0,'Underlying Mechanics'!$B$22*'Underlying Mechanics'!$B$17,0)-IF(D$1&gt;0,'Underlying Mechanics'!$B$12*'Underlying Mechanics'!$B$18,0)</x:f>
        <x:v>-22500</x:v>
      </x:c>
      <x:c r="E143" t="n">
        <x:f>((IF(E$1-'Underlying Mechanics'!$B$8&lt;0,0,'Underlying Mechanics'!$B$22*'Underlying Mechanics'!$B$15*INDEX('Underlying Mechanics'!$B$31:$B$51,E$1-'Underlying Mechanics'!$B$8+1)*'Underlying Mechanics'!$B$5))*(1-$A143))-IF(E$1=0,'Underlying Mechanics'!$B$23*(1-$B143),0)-IF(E$1&gt;0,'Underlying Mechanics'!$B$22*'Underlying Mechanics'!$B$17,0)-IF(E$1&gt;0,'Underlying Mechanics'!$B$12*'Underlying Mechanics'!$B$18,0)</x:f>
        <x:v>-22500</x:v>
      </x:c>
      <x:c r="F143" t="n">
        <x:f>((IF(F$1-'Underlying Mechanics'!$B$8&lt;0,0,'Underlying Mechanics'!$B$22*'Underlying Mechanics'!$B$15*INDEX('Underlying Mechanics'!$B$31:$B$51,F$1-'Underlying Mechanics'!$B$8+1)*'Underlying Mechanics'!$B$5))*(1-$A143))-IF(F$1=0,'Underlying Mechanics'!$B$23*(1-$B143),0)-IF(F$1&gt;0,'Underlying Mechanics'!$B$22*'Underlying Mechanics'!$B$17,0)-IF(F$1&gt;0,'Underlying Mechanics'!$B$12*'Underlying Mechanics'!$B$18,0)</x:f>
        <x:v>-21540</x:v>
      </x:c>
      <x:c r="G143" t="n">
        <x:f>((IF(G$1-'Underlying Mechanics'!$B$8&lt;0,0,'Underlying Mechanics'!$B$22*'Underlying Mechanics'!$B$15*INDEX('Underlying Mechanics'!$B$31:$B$51,G$1-'Underlying Mechanics'!$B$8+1)*'Underlying Mechanics'!$B$5))*(1-$A143))-IF(G$1=0,'Underlying Mechanics'!$B$23*(1-$B143),0)-IF(G$1&gt;0,'Underlying Mechanics'!$B$22*'Underlying Mechanics'!$B$17,0)-IF(G$1&gt;0,'Underlying Mechanics'!$B$12*'Underlying Mechanics'!$B$18,0)</x:f>
        <x:v>-20100</x:v>
      </x:c>
      <x:c r="H143" t="n">
        <x:f>((IF(H$1-'Underlying Mechanics'!$B$8&lt;0,0,'Underlying Mechanics'!$B$22*'Underlying Mechanics'!$B$15*INDEX('Underlying Mechanics'!$B$31:$B$51,H$1-'Underlying Mechanics'!$B$8+1)*'Underlying Mechanics'!$B$5))*(1-$A143))-IF(H$1=0,'Underlying Mechanics'!$B$23*(1-$B143),0)-IF(H$1&gt;0,'Underlying Mechanics'!$B$22*'Underlying Mechanics'!$B$17,0)-IF(H$1&gt;0,'Underlying Mechanics'!$B$12*'Underlying Mechanics'!$B$18,0)</x:f>
        <x:v>-17700</x:v>
      </x:c>
      <x:c r="I143" t="n">
        <x:f>((IF(I$1-'Underlying Mechanics'!$B$8&lt;0,0,'Underlying Mechanics'!$B$22*'Underlying Mechanics'!$B$15*INDEX('Underlying Mechanics'!$B$31:$B$51,I$1-'Underlying Mechanics'!$B$8+1)*'Underlying Mechanics'!$B$5))*(1-$A143))-IF(I$1=0,'Underlying Mechanics'!$B$23*(1-$B143),0)-IF(I$1&gt;0,'Underlying Mechanics'!$B$22*'Underlying Mechanics'!$B$17,0)-IF(I$1&gt;0,'Underlying Mechanics'!$B$12*'Underlying Mechanics'!$B$18,0)</x:f>
        <x:v>-13860</x:v>
      </x:c>
      <x:c r="J143" t="n">
        <x:f>((IF(J$1-'Underlying Mechanics'!$B$8&lt;0,0,'Underlying Mechanics'!$B$22*'Underlying Mechanics'!$B$15*INDEX('Underlying Mechanics'!$B$31:$B$51,J$1-'Underlying Mechanics'!$B$8+1)*'Underlying Mechanics'!$B$5))*(1-$A143))-IF(J$1=0,'Underlying Mechanics'!$B$23*(1-$B143),0)-IF(J$1&gt;0,'Underlying Mechanics'!$B$22*'Underlying Mechanics'!$B$17,0)-IF(J$1&gt;0,'Underlying Mechanics'!$B$12*'Underlying Mechanics'!$B$18,0)</x:f>
        <x:v>-9059.999999999996</x:v>
      </x:c>
      <x:c r="K143" t="n">
        <x:f>((IF(K$1-'Underlying Mechanics'!$B$8&lt;0,0,'Underlying Mechanics'!$B$22*'Underlying Mechanics'!$B$15*INDEX('Underlying Mechanics'!$B$31:$B$51,K$1-'Underlying Mechanics'!$B$8+1)*'Underlying Mechanics'!$B$5))*(1-$A143))-IF(K$1=0,'Underlying Mechanics'!$B$23*(1-$B143),0)-IF(K$1&gt;0,'Underlying Mechanics'!$B$22*'Underlying Mechanics'!$B$17,0)-IF(K$1&gt;0,'Underlying Mechanics'!$B$12*'Underlying Mechanics'!$B$18,0)</x:f>
        <x:v>-3300</x:v>
      </x:c>
      <x:c r="L143" t="n">
        <x:f>((IF(L$1-'Underlying Mechanics'!$B$8&lt;0,0,'Underlying Mechanics'!$B$22*'Underlying Mechanics'!$B$15*INDEX('Underlying Mechanics'!$B$31:$B$51,L$1-'Underlying Mechanics'!$B$8+1)*'Underlying Mechanics'!$B$5))*(1-$A143))-IF(L$1=0,'Underlying Mechanics'!$B$23*(1-$B143),0)-IF(L$1&gt;0,'Underlying Mechanics'!$B$22*'Underlying Mechanics'!$B$17,0)-IF(L$1&gt;0,'Underlying Mechanics'!$B$12*'Underlying Mechanics'!$B$18,0)</x:f>
        <x:v>3420</x:v>
      </x:c>
      <x:c r="M143" t="n">
        <x:f>((IF(M$1-'Underlying Mechanics'!$B$8&lt;0,0,'Underlying Mechanics'!$B$22*'Underlying Mechanics'!$B$15*INDEX('Underlying Mechanics'!$B$31:$B$51,M$1-'Underlying Mechanics'!$B$8+1)*'Underlying Mechanics'!$B$5))*(1-$A143))-IF(M$1=0,'Underlying Mechanics'!$B$23*(1-$B143),0)-IF(M$1&gt;0,'Underlying Mechanics'!$B$22*'Underlying Mechanics'!$B$17,0)-IF(M$1&gt;0,'Underlying Mechanics'!$B$12*'Underlying Mechanics'!$B$18,0)</x:f>
        <x:v>10140.000000000007</x:v>
      </x:c>
      <x:c r="N143" t="n">
        <x:f>((IF(N$1-'Underlying Mechanics'!$B$8&lt;0,0,'Underlying Mechanics'!$B$22*'Underlying Mechanics'!$B$15*INDEX('Underlying Mechanics'!$B$31:$B$51,N$1-'Underlying Mechanics'!$B$8+1)*'Underlying Mechanics'!$B$5))*(1-$A143))-IF(N$1=0,'Underlying Mechanics'!$B$23*(1-$B143),0)-IF(N$1&gt;0,'Underlying Mechanics'!$B$22*'Underlying Mechanics'!$B$17,0)-IF(N$1&gt;0,'Underlying Mechanics'!$B$12*'Underlying Mechanics'!$B$18,0)</x:f>
        <x:v>15900</x:v>
      </x:c>
      <x:c r="O143" t="n">
        <x:f>((IF(O$1-'Underlying Mechanics'!$B$8&lt;0,0,'Underlying Mechanics'!$B$22*'Underlying Mechanics'!$B$15*INDEX('Underlying Mechanics'!$B$31:$B$51,O$1-'Underlying Mechanics'!$B$8+1)*'Underlying Mechanics'!$B$5))*(1-$A143))-IF(O$1=0,'Underlying Mechanics'!$B$23*(1-$B143),0)-IF(O$1&gt;0,'Underlying Mechanics'!$B$22*'Underlying Mechanics'!$B$17,0)-IF(O$1&gt;0,'Underlying Mechanics'!$B$12*'Underlying Mechanics'!$B$18,0)</x:f>
        <x:v>20700</x:v>
      </x:c>
      <x:c r="P143" t="n">
        <x:f>((IF(P$1-'Underlying Mechanics'!$B$8&lt;0,0,'Underlying Mechanics'!$B$22*'Underlying Mechanics'!$B$15*INDEX('Underlying Mechanics'!$B$31:$B$51,P$1-'Underlying Mechanics'!$B$8+1)*'Underlying Mechanics'!$B$5))*(1-$A143))-IF(P$1=0,'Underlying Mechanics'!$B$23*(1-$B143),0)-IF(P$1&gt;0,'Underlying Mechanics'!$B$22*'Underlying Mechanics'!$B$17,0)-IF(P$1&gt;0,'Underlying Mechanics'!$B$12*'Underlying Mechanics'!$B$18,0)</x:f>
        <x:v>25500</x:v>
      </x:c>
      <x:c r="Q143" t="n">
        <x:f>((IF(Q$1-'Underlying Mechanics'!$B$8&lt;0,0,'Underlying Mechanics'!$B$22*'Underlying Mechanics'!$B$15*INDEX('Underlying Mechanics'!$B$31:$B$51,Q$1-'Underlying Mechanics'!$B$8+1)*'Underlying Mechanics'!$B$5))*(1-$A143))-IF(Q$1=0,'Underlying Mechanics'!$B$23*(1-$B143),0)-IF(Q$1&gt;0,'Underlying Mechanics'!$B$22*'Underlying Mechanics'!$B$17,0)-IF(Q$1&gt;0,'Underlying Mechanics'!$B$12*'Underlying Mechanics'!$B$18,0)</x:f>
        <x:v>25500</x:v>
      </x:c>
      <x:c r="R143" t="n">
        <x:f>((IF(R$1-'Underlying Mechanics'!$B$8&lt;0,0,'Underlying Mechanics'!$B$22*'Underlying Mechanics'!$B$15*INDEX('Underlying Mechanics'!$B$31:$B$51,R$1-'Underlying Mechanics'!$B$8+1)*'Underlying Mechanics'!$B$5))*(1-$A143))-IF(R$1=0,'Underlying Mechanics'!$B$23*(1-$B143),0)-IF(R$1&gt;0,'Underlying Mechanics'!$B$22*'Underlying Mechanics'!$B$17,0)-IF(R$1&gt;0,'Underlying Mechanics'!$B$12*'Underlying Mechanics'!$B$18,0)</x:f>
        <x:v>25500</x:v>
      </x:c>
      <x:c r="S143" t="n">
        <x:f>((IF(S$1-'Underlying Mechanics'!$B$8&lt;0,0,'Underlying Mechanics'!$B$22*'Underlying Mechanics'!$B$15*INDEX('Underlying Mechanics'!$B$31:$B$51,S$1-'Underlying Mechanics'!$B$8+1)*'Underlying Mechanics'!$B$5))*(1-$A143))-IF(S$1=0,'Underlying Mechanics'!$B$23*(1-$B143),0)-IF(S$1&gt;0,'Underlying Mechanics'!$B$22*'Underlying Mechanics'!$B$17,0)-IF(S$1&gt;0,'Underlying Mechanics'!$B$12*'Underlying Mechanics'!$B$18,0)</x:f>
        <x:v>25500</x:v>
      </x:c>
      <x:c r="T143" t="n">
        <x:f>((IF(T$1-'Underlying Mechanics'!$B$8&lt;0,0,'Underlying Mechanics'!$B$22*'Underlying Mechanics'!$B$15*INDEX('Underlying Mechanics'!$B$31:$B$51,T$1-'Underlying Mechanics'!$B$8+1)*'Underlying Mechanics'!$B$5))*(1-$A143))-IF(T$1=0,'Underlying Mechanics'!$B$23*(1-$B143),0)-IF(T$1&gt;0,'Underlying Mechanics'!$B$22*'Underlying Mechanics'!$B$17,0)-IF(T$1&gt;0,'Underlying Mechanics'!$B$12*'Underlying Mechanics'!$B$18,0)</x:f>
        <x:v>25500</x:v>
      </x:c>
      <x:c r="U143" t="n">
        <x:f>((IF(U$1-'Underlying Mechanics'!$B$8&lt;0,0,'Underlying Mechanics'!$B$22*'Underlying Mechanics'!$B$15*INDEX('Underlying Mechanics'!$B$31:$B$51,U$1-'Underlying Mechanics'!$B$8+1)*'Underlying Mechanics'!$B$5))*(1-$A143))-IF(U$1=0,'Underlying Mechanics'!$B$23*(1-$B143),0)-IF(U$1&gt;0,'Underlying Mechanics'!$B$22*'Underlying Mechanics'!$B$17,0)-IF(U$1&gt;0,'Underlying Mechanics'!$B$12*'Underlying Mechanics'!$B$18,0)</x:f>
        <x:v>25500</x:v>
      </x:c>
      <x:c r="V143" t="n">
        <x:f>((IF(V$1-'Underlying Mechanics'!$B$8&lt;0,0,'Underlying Mechanics'!$B$22*'Underlying Mechanics'!$B$15*INDEX('Underlying Mechanics'!$B$31:$B$51,V$1-'Underlying Mechanics'!$B$8+1)*'Underlying Mechanics'!$B$5))*(1-$A143))-IF(V$1=0,'Underlying Mechanics'!$B$23*(1-$B143),0)-IF(V$1&gt;0,'Underlying Mechanics'!$B$22*'Underlying Mechanics'!$B$17,0)-IF(V$1&gt;0,'Underlying Mechanics'!$B$12*'Underlying Mechanics'!$B$18,0)</x:f>
        <x:v>25500</x:v>
      </x:c>
      <x:c r="W143" t="n">
        <x:f>((IF(W$1-'Underlying Mechanics'!$B$8&lt;0,0,'Underlying Mechanics'!$B$22*'Underlying Mechanics'!$B$15*INDEX('Underlying Mechanics'!$B$31:$B$51,W$1-'Underlying Mechanics'!$B$8+1)*'Underlying Mechanics'!$B$5))*(1-$A143))-IF(W$1=0,'Underlying Mechanics'!$B$23*(1-$B143),0)-IF(W$1&gt;0,'Underlying Mechanics'!$B$22*'Underlying Mechanics'!$B$17,0)-IF(W$1&gt;0,'Underlying Mechanics'!$B$12*'Underlying Mechanics'!$B$18,0)</x:f>
        <x:v>25500</x:v>
      </x:c>
      <x:c r="X143" t="n">
        <x:f>IFERROR(IRR(C143:W143),-1)</x:f>
        <x:v>0.03352210493916684</x:v>
      </x:c>
    </x:row>
    <x:row r="144">
      <x:c r="A144" t="n">
        <x:v>0.6</x:v>
      </x:c>
      <x:c r="B144" t="n">
        <x:v>0.8</x:v>
      </x:c>
      <x:c r="C144" t="n">
        <x:f>((IF(C$1-'Underlying Mechanics'!$B$8&lt;0,0,'Underlying Mechanics'!$B$22*'Underlying Mechanics'!$B$15*INDEX('Underlying Mechanics'!$B$31:$B$51,C$1-'Underlying Mechanics'!$B$8+1)*'Underlying Mechanics'!$B$5))*(1-$A144))-IF(C$1=0,'Underlying Mechanics'!$B$23*(1-$B144),0)-IF(C$1&gt;0,'Underlying Mechanics'!$B$22*'Underlying Mechanics'!$B$17,0)-IF(C$1&gt;0,'Underlying Mechanics'!$B$12*'Underlying Mechanics'!$B$18,0)</x:f>
        <x:v>-29999.999999999993</x:v>
      </x:c>
      <x:c r="D144" t="n">
        <x:f>((IF(D$1-'Underlying Mechanics'!$B$8&lt;0,0,'Underlying Mechanics'!$B$22*'Underlying Mechanics'!$B$15*INDEX('Underlying Mechanics'!$B$31:$B$51,D$1-'Underlying Mechanics'!$B$8+1)*'Underlying Mechanics'!$B$5))*(1-$A144))-IF(D$1=0,'Underlying Mechanics'!$B$23*(1-$B144),0)-IF(D$1&gt;0,'Underlying Mechanics'!$B$22*'Underlying Mechanics'!$B$17,0)-IF(D$1&gt;0,'Underlying Mechanics'!$B$12*'Underlying Mechanics'!$B$18,0)</x:f>
        <x:v>-22500</x:v>
      </x:c>
      <x:c r="E144" t="n">
        <x:f>((IF(E$1-'Underlying Mechanics'!$B$8&lt;0,0,'Underlying Mechanics'!$B$22*'Underlying Mechanics'!$B$15*INDEX('Underlying Mechanics'!$B$31:$B$51,E$1-'Underlying Mechanics'!$B$8+1)*'Underlying Mechanics'!$B$5))*(1-$A144))-IF(E$1=0,'Underlying Mechanics'!$B$23*(1-$B144),0)-IF(E$1&gt;0,'Underlying Mechanics'!$B$22*'Underlying Mechanics'!$B$17,0)-IF(E$1&gt;0,'Underlying Mechanics'!$B$12*'Underlying Mechanics'!$B$18,0)</x:f>
        <x:v>-22500</x:v>
      </x:c>
      <x:c r="F144" t="n">
        <x:f>((IF(F$1-'Underlying Mechanics'!$B$8&lt;0,0,'Underlying Mechanics'!$B$22*'Underlying Mechanics'!$B$15*INDEX('Underlying Mechanics'!$B$31:$B$51,F$1-'Underlying Mechanics'!$B$8+1)*'Underlying Mechanics'!$B$5))*(1-$A144))-IF(F$1=0,'Underlying Mechanics'!$B$23*(1-$B144),0)-IF(F$1&gt;0,'Underlying Mechanics'!$B$22*'Underlying Mechanics'!$B$17,0)-IF(F$1&gt;0,'Underlying Mechanics'!$B$12*'Underlying Mechanics'!$B$18,0)</x:f>
        <x:v>-21540</x:v>
      </x:c>
      <x:c r="G144" t="n">
        <x:f>((IF(G$1-'Underlying Mechanics'!$B$8&lt;0,0,'Underlying Mechanics'!$B$22*'Underlying Mechanics'!$B$15*INDEX('Underlying Mechanics'!$B$31:$B$51,G$1-'Underlying Mechanics'!$B$8+1)*'Underlying Mechanics'!$B$5))*(1-$A144))-IF(G$1=0,'Underlying Mechanics'!$B$23*(1-$B144),0)-IF(G$1&gt;0,'Underlying Mechanics'!$B$22*'Underlying Mechanics'!$B$17,0)-IF(G$1&gt;0,'Underlying Mechanics'!$B$12*'Underlying Mechanics'!$B$18,0)</x:f>
        <x:v>-20100</x:v>
      </x:c>
      <x:c r="H144" t="n">
        <x:f>((IF(H$1-'Underlying Mechanics'!$B$8&lt;0,0,'Underlying Mechanics'!$B$22*'Underlying Mechanics'!$B$15*INDEX('Underlying Mechanics'!$B$31:$B$51,H$1-'Underlying Mechanics'!$B$8+1)*'Underlying Mechanics'!$B$5))*(1-$A144))-IF(H$1=0,'Underlying Mechanics'!$B$23*(1-$B144),0)-IF(H$1&gt;0,'Underlying Mechanics'!$B$22*'Underlying Mechanics'!$B$17,0)-IF(H$1&gt;0,'Underlying Mechanics'!$B$12*'Underlying Mechanics'!$B$18,0)</x:f>
        <x:v>-17700</x:v>
      </x:c>
      <x:c r="I144" t="n">
        <x:f>((IF(I$1-'Underlying Mechanics'!$B$8&lt;0,0,'Underlying Mechanics'!$B$22*'Underlying Mechanics'!$B$15*INDEX('Underlying Mechanics'!$B$31:$B$51,I$1-'Underlying Mechanics'!$B$8+1)*'Underlying Mechanics'!$B$5))*(1-$A144))-IF(I$1=0,'Underlying Mechanics'!$B$23*(1-$B144),0)-IF(I$1&gt;0,'Underlying Mechanics'!$B$22*'Underlying Mechanics'!$B$17,0)-IF(I$1&gt;0,'Underlying Mechanics'!$B$12*'Underlying Mechanics'!$B$18,0)</x:f>
        <x:v>-13860</x:v>
      </x:c>
      <x:c r="J144" t="n">
        <x:f>((IF(J$1-'Underlying Mechanics'!$B$8&lt;0,0,'Underlying Mechanics'!$B$22*'Underlying Mechanics'!$B$15*INDEX('Underlying Mechanics'!$B$31:$B$51,J$1-'Underlying Mechanics'!$B$8+1)*'Underlying Mechanics'!$B$5))*(1-$A144))-IF(J$1=0,'Underlying Mechanics'!$B$23*(1-$B144),0)-IF(J$1&gt;0,'Underlying Mechanics'!$B$22*'Underlying Mechanics'!$B$17,0)-IF(J$1&gt;0,'Underlying Mechanics'!$B$12*'Underlying Mechanics'!$B$18,0)</x:f>
        <x:v>-9059.999999999996</x:v>
      </x:c>
      <x:c r="K144" t="n">
        <x:f>((IF(K$1-'Underlying Mechanics'!$B$8&lt;0,0,'Underlying Mechanics'!$B$22*'Underlying Mechanics'!$B$15*INDEX('Underlying Mechanics'!$B$31:$B$51,K$1-'Underlying Mechanics'!$B$8+1)*'Underlying Mechanics'!$B$5))*(1-$A144))-IF(K$1=0,'Underlying Mechanics'!$B$23*(1-$B144),0)-IF(K$1&gt;0,'Underlying Mechanics'!$B$22*'Underlying Mechanics'!$B$17,0)-IF(K$1&gt;0,'Underlying Mechanics'!$B$12*'Underlying Mechanics'!$B$18,0)</x:f>
        <x:v>-3300</x:v>
      </x:c>
      <x:c r="L144" t="n">
        <x:f>((IF(L$1-'Underlying Mechanics'!$B$8&lt;0,0,'Underlying Mechanics'!$B$22*'Underlying Mechanics'!$B$15*INDEX('Underlying Mechanics'!$B$31:$B$51,L$1-'Underlying Mechanics'!$B$8+1)*'Underlying Mechanics'!$B$5))*(1-$A144))-IF(L$1=0,'Underlying Mechanics'!$B$23*(1-$B144),0)-IF(L$1&gt;0,'Underlying Mechanics'!$B$22*'Underlying Mechanics'!$B$17,0)-IF(L$1&gt;0,'Underlying Mechanics'!$B$12*'Underlying Mechanics'!$B$18,0)</x:f>
        <x:v>3420</x:v>
      </x:c>
      <x:c r="M144" t="n">
        <x:f>((IF(M$1-'Underlying Mechanics'!$B$8&lt;0,0,'Underlying Mechanics'!$B$22*'Underlying Mechanics'!$B$15*INDEX('Underlying Mechanics'!$B$31:$B$51,M$1-'Underlying Mechanics'!$B$8+1)*'Underlying Mechanics'!$B$5))*(1-$A144))-IF(M$1=0,'Underlying Mechanics'!$B$23*(1-$B144),0)-IF(M$1&gt;0,'Underlying Mechanics'!$B$22*'Underlying Mechanics'!$B$17,0)-IF(M$1&gt;0,'Underlying Mechanics'!$B$12*'Underlying Mechanics'!$B$18,0)</x:f>
        <x:v>10140.000000000007</x:v>
      </x:c>
      <x:c r="N144" t="n">
        <x:f>((IF(N$1-'Underlying Mechanics'!$B$8&lt;0,0,'Underlying Mechanics'!$B$22*'Underlying Mechanics'!$B$15*INDEX('Underlying Mechanics'!$B$31:$B$51,N$1-'Underlying Mechanics'!$B$8+1)*'Underlying Mechanics'!$B$5))*(1-$A144))-IF(N$1=0,'Underlying Mechanics'!$B$23*(1-$B144),0)-IF(N$1&gt;0,'Underlying Mechanics'!$B$22*'Underlying Mechanics'!$B$17,0)-IF(N$1&gt;0,'Underlying Mechanics'!$B$12*'Underlying Mechanics'!$B$18,0)</x:f>
        <x:v>15900</x:v>
      </x:c>
      <x:c r="O144" t="n">
        <x:f>((IF(O$1-'Underlying Mechanics'!$B$8&lt;0,0,'Underlying Mechanics'!$B$22*'Underlying Mechanics'!$B$15*INDEX('Underlying Mechanics'!$B$31:$B$51,O$1-'Underlying Mechanics'!$B$8+1)*'Underlying Mechanics'!$B$5))*(1-$A144))-IF(O$1=0,'Underlying Mechanics'!$B$23*(1-$B144),0)-IF(O$1&gt;0,'Underlying Mechanics'!$B$22*'Underlying Mechanics'!$B$17,0)-IF(O$1&gt;0,'Underlying Mechanics'!$B$12*'Underlying Mechanics'!$B$18,0)</x:f>
        <x:v>20700</x:v>
      </x:c>
      <x:c r="P144" t="n">
        <x:f>((IF(P$1-'Underlying Mechanics'!$B$8&lt;0,0,'Underlying Mechanics'!$B$22*'Underlying Mechanics'!$B$15*INDEX('Underlying Mechanics'!$B$31:$B$51,P$1-'Underlying Mechanics'!$B$8+1)*'Underlying Mechanics'!$B$5))*(1-$A144))-IF(P$1=0,'Underlying Mechanics'!$B$23*(1-$B144),0)-IF(P$1&gt;0,'Underlying Mechanics'!$B$22*'Underlying Mechanics'!$B$17,0)-IF(P$1&gt;0,'Underlying Mechanics'!$B$12*'Underlying Mechanics'!$B$18,0)</x:f>
        <x:v>25500</x:v>
      </x:c>
      <x:c r="Q144" t="n">
        <x:f>((IF(Q$1-'Underlying Mechanics'!$B$8&lt;0,0,'Underlying Mechanics'!$B$22*'Underlying Mechanics'!$B$15*INDEX('Underlying Mechanics'!$B$31:$B$51,Q$1-'Underlying Mechanics'!$B$8+1)*'Underlying Mechanics'!$B$5))*(1-$A144))-IF(Q$1=0,'Underlying Mechanics'!$B$23*(1-$B144),0)-IF(Q$1&gt;0,'Underlying Mechanics'!$B$22*'Underlying Mechanics'!$B$17,0)-IF(Q$1&gt;0,'Underlying Mechanics'!$B$12*'Underlying Mechanics'!$B$18,0)</x:f>
        <x:v>25500</x:v>
      </x:c>
      <x:c r="R144" t="n">
        <x:f>((IF(R$1-'Underlying Mechanics'!$B$8&lt;0,0,'Underlying Mechanics'!$B$22*'Underlying Mechanics'!$B$15*INDEX('Underlying Mechanics'!$B$31:$B$51,R$1-'Underlying Mechanics'!$B$8+1)*'Underlying Mechanics'!$B$5))*(1-$A144))-IF(R$1=0,'Underlying Mechanics'!$B$23*(1-$B144),0)-IF(R$1&gt;0,'Underlying Mechanics'!$B$22*'Underlying Mechanics'!$B$17,0)-IF(R$1&gt;0,'Underlying Mechanics'!$B$12*'Underlying Mechanics'!$B$18,0)</x:f>
        <x:v>25500</x:v>
      </x:c>
      <x:c r="S144" t="n">
        <x:f>((IF(S$1-'Underlying Mechanics'!$B$8&lt;0,0,'Underlying Mechanics'!$B$22*'Underlying Mechanics'!$B$15*INDEX('Underlying Mechanics'!$B$31:$B$51,S$1-'Underlying Mechanics'!$B$8+1)*'Underlying Mechanics'!$B$5))*(1-$A144))-IF(S$1=0,'Underlying Mechanics'!$B$23*(1-$B144),0)-IF(S$1&gt;0,'Underlying Mechanics'!$B$22*'Underlying Mechanics'!$B$17,0)-IF(S$1&gt;0,'Underlying Mechanics'!$B$12*'Underlying Mechanics'!$B$18,0)</x:f>
        <x:v>25500</x:v>
      </x:c>
      <x:c r="T144" t="n">
        <x:f>((IF(T$1-'Underlying Mechanics'!$B$8&lt;0,0,'Underlying Mechanics'!$B$22*'Underlying Mechanics'!$B$15*INDEX('Underlying Mechanics'!$B$31:$B$51,T$1-'Underlying Mechanics'!$B$8+1)*'Underlying Mechanics'!$B$5))*(1-$A144))-IF(T$1=0,'Underlying Mechanics'!$B$23*(1-$B144),0)-IF(T$1&gt;0,'Underlying Mechanics'!$B$22*'Underlying Mechanics'!$B$17,0)-IF(T$1&gt;0,'Underlying Mechanics'!$B$12*'Underlying Mechanics'!$B$18,0)</x:f>
        <x:v>25500</x:v>
      </x:c>
      <x:c r="U144" t="n">
        <x:f>((IF(U$1-'Underlying Mechanics'!$B$8&lt;0,0,'Underlying Mechanics'!$B$22*'Underlying Mechanics'!$B$15*INDEX('Underlying Mechanics'!$B$31:$B$51,U$1-'Underlying Mechanics'!$B$8+1)*'Underlying Mechanics'!$B$5))*(1-$A144))-IF(U$1=0,'Underlying Mechanics'!$B$23*(1-$B144),0)-IF(U$1&gt;0,'Underlying Mechanics'!$B$22*'Underlying Mechanics'!$B$17,0)-IF(U$1&gt;0,'Underlying Mechanics'!$B$12*'Underlying Mechanics'!$B$18,0)</x:f>
        <x:v>25500</x:v>
      </x:c>
      <x:c r="V144" t="n">
        <x:f>((IF(V$1-'Underlying Mechanics'!$B$8&lt;0,0,'Underlying Mechanics'!$B$22*'Underlying Mechanics'!$B$15*INDEX('Underlying Mechanics'!$B$31:$B$51,V$1-'Underlying Mechanics'!$B$8+1)*'Underlying Mechanics'!$B$5))*(1-$A144))-IF(V$1=0,'Underlying Mechanics'!$B$23*(1-$B144),0)-IF(V$1&gt;0,'Underlying Mechanics'!$B$22*'Underlying Mechanics'!$B$17,0)-IF(V$1&gt;0,'Underlying Mechanics'!$B$12*'Underlying Mechanics'!$B$18,0)</x:f>
        <x:v>25500</x:v>
      </x:c>
      <x:c r="W144" t="n">
        <x:f>((IF(W$1-'Underlying Mechanics'!$B$8&lt;0,0,'Underlying Mechanics'!$B$22*'Underlying Mechanics'!$B$15*INDEX('Underlying Mechanics'!$B$31:$B$51,W$1-'Underlying Mechanics'!$B$8+1)*'Underlying Mechanics'!$B$5))*(1-$A144))-IF(W$1=0,'Underlying Mechanics'!$B$23*(1-$B144),0)-IF(W$1&gt;0,'Underlying Mechanics'!$B$22*'Underlying Mechanics'!$B$17,0)-IF(W$1&gt;0,'Underlying Mechanics'!$B$12*'Underlying Mechanics'!$B$18,0)</x:f>
        <x:v>25500</x:v>
      </x:c>
      <x:c r="X144" t="n">
        <x:f>IFERROR(IRR(C144:W144),-1)</x:f>
        <x:v>0.03772569511664829</x:v>
      </x:c>
    </x:row>
    <x:row r="145">
      <x:c r="A145" t="n">
        <x:v>0.6</x:v>
      </x:c>
      <x:c r="B145" t="n">
        <x:v>0.85</x:v>
      </x:c>
      <x:c r="C145" t="n">
        <x:f>((IF(C$1-'Underlying Mechanics'!$B$8&lt;0,0,'Underlying Mechanics'!$B$22*'Underlying Mechanics'!$B$15*INDEX('Underlying Mechanics'!$B$31:$B$51,C$1-'Underlying Mechanics'!$B$8+1)*'Underlying Mechanics'!$B$5))*(1-$A145))-IF(C$1=0,'Underlying Mechanics'!$B$23*(1-$B145),0)-IF(C$1&gt;0,'Underlying Mechanics'!$B$22*'Underlying Mechanics'!$B$17,0)-IF(C$1&gt;0,'Underlying Mechanics'!$B$12*'Underlying Mechanics'!$B$18,0)</x:f>
        <x:v>-22500.000000000004</x:v>
      </x:c>
      <x:c r="D145" t="n">
        <x:f>((IF(D$1-'Underlying Mechanics'!$B$8&lt;0,0,'Underlying Mechanics'!$B$22*'Underlying Mechanics'!$B$15*INDEX('Underlying Mechanics'!$B$31:$B$51,D$1-'Underlying Mechanics'!$B$8+1)*'Underlying Mechanics'!$B$5))*(1-$A145))-IF(D$1=0,'Underlying Mechanics'!$B$23*(1-$B145),0)-IF(D$1&gt;0,'Underlying Mechanics'!$B$22*'Underlying Mechanics'!$B$17,0)-IF(D$1&gt;0,'Underlying Mechanics'!$B$12*'Underlying Mechanics'!$B$18,0)</x:f>
        <x:v>-22500</x:v>
      </x:c>
      <x:c r="E145" t="n">
        <x:f>((IF(E$1-'Underlying Mechanics'!$B$8&lt;0,0,'Underlying Mechanics'!$B$22*'Underlying Mechanics'!$B$15*INDEX('Underlying Mechanics'!$B$31:$B$51,E$1-'Underlying Mechanics'!$B$8+1)*'Underlying Mechanics'!$B$5))*(1-$A145))-IF(E$1=0,'Underlying Mechanics'!$B$23*(1-$B145),0)-IF(E$1&gt;0,'Underlying Mechanics'!$B$22*'Underlying Mechanics'!$B$17,0)-IF(E$1&gt;0,'Underlying Mechanics'!$B$12*'Underlying Mechanics'!$B$18,0)</x:f>
        <x:v>-22500</x:v>
      </x:c>
      <x:c r="F145" t="n">
        <x:f>((IF(F$1-'Underlying Mechanics'!$B$8&lt;0,0,'Underlying Mechanics'!$B$22*'Underlying Mechanics'!$B$15*INDEX('Underlying Mechanics'!$B$31:$B$51,F$1-'Underlying Mechanics'!$B$8+1)*'Underlying Mechanics'!$B$5))*(1-$A145))-IF(F$1=0,'Underlying Mechanics'!$B$23*(1-$B145),0)-IF(F$1&gt;0,'Underlying Mechanics'!$B$22*'Underlying Mechanics'!$B$17,0)-IF(F$1&gt;0,'Underlying Mechanics'!$B$12*'Underlying Mechanics'!$B$18,0)</x:f>
        <x:v>-21540</x:v>
      </x:c>
      <x:c r="G145" t="n">
        <x:f>((IF(G$1-'Underlying Mechanics'!$B$8&lt;0,0,'Underlying Mechanics'!$B$22*'Underlying Mechanics'!$B$15*INDEX('Underlying Mechanics'!$B$31:$B$51,G$1-'Underlying Mechanics'!$B$8+1)*'Underlying Mechanics'!$B$5))*(1-$A145))-IF(G$1=0,'Underlying Mechanics'!$B$23*(1-$B145),0)-IF(G$1&gt;0,'Underlying Mechanics'!$B$22*'Underlying Mechanics'!$B$17,0)-IF(G$1&gt;0,'Underlying Mechanics'!$B$12*'Underlying Mechanics'!$B$18,0)</x:f>
        <x:v>-20100</x:v>
      </x:c>
      <x:c r="H145" t="n">
        <x:f>((IF(H$1-'Underlying Mechanics'!$B$8&lt;0,0,'Underlying Mechanics'!$B$22*'Underlying Mechanics'!$B$15*INDEX('Underlying Mechanics'!$B$31:$B$51,H$1-'Underlying Mechanics'!$B$8+1)*'Underlying Mechanics'!$B$5))*(1-$A145))-IF(H$1=0,'Underlying Mechanics'!$B$23*(1-$B145),0)-IF(H$1&gt;0,'Underlying Mechanics'!$B$22*'Underlying Mechanics'!$B$17,0)-IF(H$1&gt;0,'Underlying Mechanics'!$B$12*'Underlying Mechanics'!$B$18,0)</x:f>
        <x:v>-17700</x:v>
      </x:c>
      <x:c r="I145" t="n">
        <x:f>((IF(I$1-'Underlying Mechanics'!$B$8&lt;0,0,'Underlying Mechanics'!$B$22*'Underlying Mechanics'!$B$15*INDEX('Underlying Mechanics'!$B$31:$B$51,I$1-'Underlying Mechanics'!$B$8+1)*'Underlying Mechanics'!$B$5))*(1-$A145))-IF(I$1=0,'Underlying Mechanics'!$B$23*(1-$B145),0)-IF(I$1&gt;0,'Underlying Mechanics'!$B$22*'Underlying Mechanics'!$B$17,0)-IF(I$1&gt;0,'Underlying Mechanics'!$B$12*'Underlying Mechanics'!$B$18,0)</x:f>
        <x:v>-13860</x:v>
      </x:c>
      <x:c r="J145" t="n">
        <x:f>((IF(J$1-'Underlying Mechanics'!$B$8&lt;0,0,'Underlying Mechanics'!$B$22*'Underlying Mechanics'!$B$15*INDEX('Underlying Mechanics'!$B$31:$B$51,J$1-'Underlying Mechanics'!$B$8+1)*'Underlying Mechanics'!$B$5))*(1-$A145))-IF(J$1=0,'Underlying Mechanics'!$B$23*(1-$B145),0)-IF(J$1&gt;0,'Underlying Mechanics'!$B$22*'Underlying Mechanics'!$B$17,0)-IF(J$1&gt;0,'Underlying Mechanics'!$B$12*'Underlying Mechanics'!$B$18,0)</x:f>
        <x:v>-9059.999999999996</x:v>
      </x:c>
      <x:c r="K145" t="n">
        <x:f>((IF(K$1-'Underlying Mechanics'!$B$8&lt;0,0,'Underlying Mechanics'!$B$22*'Underlying Mechanics'!$B$15*INDEX('Underlying Mechanics'!$B$31:$B$51,K$1-'Underlying Mechanics'!$B$8+1)*'Underlying Mechanics'!$B$5))*(1-$A145))-IF(K$1=0,'Underlying Mechanics'!$B$23*(1-$B145),0)-IF(K$1&gt;0,'Underlying Mechanics'!$B$22*'Underlying Mechanics'!$B$17,0)-IF(K$1&gt;0,'Underlying Mechanics'!$B$12*'Underlying Mechanics'!$B$18,0)</x:f>
        <x:v>-3300</x:v>
      </x:c>
      <x:c r="L145" t="n">
        <x:f>((IF(L$1-'Underlying Mechanics'!$B$8&lt;0,0,'Underlying Mechanics'!$B$22*'Underlying Mechanics'!$B$15*INDEX('Underlying Mechanics'!$B$31:$B$51,L$1-'Underlying Mechanics'!$B$8+1)*'Underlying Mechanics'!$B$5))*(1-$A145))-IF(L$1=0,'Underlying Mechanics'!$B$23*(1-$B145),0)-IF(L$1&gt;0,'Underlying Mechanics'!$B$22*'Underlying Mechanics'!$B$17,0)-IF(L$1&gt;0,'Underlying Mechanics'!$B$12*'Underlying Mechanics'!$B$18,0)</x:f>
        <x:v>3420</x:v>
      </x:c>
      <x:c r="M145" t="n">
        <x:f>((IF(M$1-'Underlying Mechanics'!$B$8&lt;0,0,'Underlying Mechanics'!$B$22*'Underlying Mechanics'!$B$15*INDEX('Underlying Mechanics'!$B$31:$B$51,M$1-'Underlying Mechanics'!$B$8+1)*'Underlying Mechanics'!$B$5))*(1-$A145))-IF(M$1=0,'Underlying Mechanics'!$B$23*(1-$B145),0)-IF(M$1&gt;0,'Underlying Mechanics'!$B$22*'Underlying Mechanics'!$B$17,0)-IF(M$1&gt;0,'Underlying Mechanics'!$B$12*'Underlying Mechanics'!$B$18,0)</x:f>
        <x:v>10140.000000000007</x:v>
      </x:c>
      <x:c r="N145" t="n">
        <x:f>((IF(N$1-'Underlying Mechanics'!$B$8&lt;0,0,'Underlying Mechanics'!$B$22*'Underlying Mechanics'!$B$15*INDEX('Underlying Mechanics'!$B$31:$B$51,N$1-'Underlying Mechanics'!$B$8+1)*'Underlying Mechanics'!$B$5))*(1-$A145))-IF(N$1=0,'Underlying Mechanics'!$B$23*(1-$B145),0)-IF(N$1&gt;0,'Underlying Mechanics'!$B$22*'Underlying Mechanics'!$B$17,0)-IF(N$1&gt;0,'Underlying Mechanics'!$B$12*'Underlying Mechanics'!$B$18,0)</x:f>
        <x:v>15900</x:v>
      </x:c>
      <x:c r="O145" t="n">
        <x:f>((IF(O$1-'Underlying Mechanics'!$B$8&lt;0,0,'Underlying Mechanics'!$B$22*'Underlying Mechanics'!$B$15*INDEX('Underlying Mechanics'!$B$31:$B$51,O$1-'Underlying Mechanics'!$B$8+1)*'Underlying Mechanics'!$B$5))*(1-$A145))-IF(O$1=0,'Underlying Mechanics'!$B$23*(1-$B145),0)-IF(O$1&gt;0,'Underlying Mechanics'!$B$22*'Underlying Mechanics'!$B$17,0)-IF(O$1&gt;0,'Underlying Mechanics'!$B$12*'Underlying Mechanics'!$B$18,0)</x:f>
        <x:v>20700</x:v>
      </x:c>
      <x:c r="P145" t="n">
        <x:f>((IF(P$1-'Underlying Mechanics'!$B$8&lt;0,0,'Underlying Mechanics'!$B$22*'Underlying Mechanics'!$B$15*INDEX('Underlying Mechanics'!$B$31:$B$51,P$1-'Underlying Mechanics'!$B$8+1)*'Underlying Mechanics'!$B$5))*(1-$A145))-IF(P$1=0,'Underlying Mechanics'!$B$23*(1-$B145),0)-IF(P$1&gt;0,'Underlying Mechanics'!$B$22*'Underlying Mechanics'!$B$17,0)-IF(P$1&gt;0,'Underlying Mechanics'!$B$12*'Underlying Mechanics'!$B$18,0)</x:f>
        <x:v>25500</x:v>
      </x:c>
      <x:c r="Q145" t="n">
        <x:f>((IF(Q$1-'Underlying Mechanics'!$B$8&lt;0,0,'Underlying Mechanics'!$B$22*'Underlying Mechanics'!$B$15*INDEX('Underlying Mechanics'!$B$31:$B$51,Q$1-'Underlying Mechanics'!$B$8+1)*'Underlying Mechanics'!$B$5))*(1-$A145))-IF(Q$1=0,'Underlying Mechanics'!$B$23*(1-$B145),0)-IF(Q$1&gt;0,'Underlying Mechanics'!$B$22*'Underlying Mechanics'!$B$17,0)-IF(Q$1&gt;0,'Underlying Mechanics'!$B$12*'Underlying Mechanics'!$B$18,0)</x:f>
        <x:v>25500</x:v>
      </x:c>
      <x:c r="R145" t="n">
        <x:f>((IF(R$1-'Underlying Mechanics'!$B$8&lt;0,0,'Underlying Mechanics'!$B$22*'Underlying Mechanics'!$B$15*INDEX('Underlying Mechanics'!$B$31:$B$51,R$1-'Underlying Mechanics'!$B$8+1)*'Underlying Mechanics'!$B$5))*(1-$A145))-IF(R$1=0,'Underlying Mechanics'!$B$23*(1-$B145),0)-IF(R$1&gt;0,'Underlying Mechanics'!$B$22*'Underlying Mechanics'!$B$17,0)-IF(R$1&gt;0,'Underlying Mechanics'!$B$12*'Underlying Mechanics'!$B$18,0)</x:f>
        <x:v>25500</x:v>
      </x:c>
      <x:c r="S145" t="n">
        <x:f>((IF(S$1-'Underlying Mechanics'!$B$8&lt;0,0,'Underlying Mechanics'!$B$22*'Underlying Mechanics'!$B$15*INDEX('Underlying Mechanics'!$B$31:$B$51,S$1-'Underlying Mechanics'!$B$8+1)*'Underlying Mechanics'!$B$5))*(1-$A145))-IF(S$1=0,'Underlying Mechanics'!$B$23*(1-$B145),0)-IF(S$1&gt;0,'Underlying Mechanics'!$B$22*'Underlying Mechanics'!$B$17,0)-IF(S$1&gt;0,'Underlying Mechanics'!$B$12*'Underlying Mechanics'!$B$18,0)</x:f>
        <x:v>25500</x:v>
      </x:c>
      <x:c r="T145" t="n">
        <x:f>((IF(T$1-'Underlying Mechanics'!$B$8&lt;0,0,'Underlying Mechanics'!$B$22*'Underlying Mechanics'!$B$15*INDEX('Underlying Mechanics'!$B$31:$B$51,T$1-'Underlying Mechanics'!$B$8+1)*'Underlying Mechanics'!$B$5))*(1-$A145))-IF(T$1=0,'Underlying Mechanics'!$B$23*(1-$B145),0)-IF(T$1&gt;0,'Underlying Mechanics'!$B$22*'Underlying Mechanics'!$B$17,0)-IF(T$1&gt;0,'Underlying Mechanics'!$B$12*'Underlying Mechanics'!$B$18,0)</x:f>
        <x:v>25500</x:v>
      </x:c>
      <x:c r="U145" t="n">
        <x:f>((IF(U$1-'Underlying Mechanics'!$B$8&lt;0,0,'Underlying Mechanics'!$B$22*'Underlying Mechanics'!$B$15*INDEX('Underlying Mechanics'!$B$31:$B$51,U$1-'Underlying Mechanics'!$B$8+1)*'Underlying Mechanics'!$B$5))*(1-$A145))-IF(U$1=0,'Underlying Mechanics'!$B$23*(1-$B145),0)-IF(U$1&gt;0,'Underlying Mechanics'!$B$22*'Underlying Mechanics'!$B$17,0)-IF(U$1&gt;0,'Underlying Mechanics'!$B$12*'Underlying Mechanics'!$B$18,0)</x:f>
        <x:v>25500</x:v>
      </x:c>
      <x:c r="V145" t="n">
        <x:f>((IF(V$1-'Underlying Mechanics'!$B$8&lt;0,0,'Underlying Mechanics'!$B$22*'Underlying Mechanics'!$B$15*INDEX('Underlying Mechanics'!$B$31:$B$51,V$1-'Underlying Mechanics'!$B$8+1)*'Underlying Mechanics'!$B$5))*(1-$A145))-IF(V$1=0,'Underlying Mechanics'!$B$23*(1-$B145),0)-IF(V$1&gt;0,'Underlying Mechanics'!$B$22*'Underlying Mechanics'!$B$17,0)-IF(V$1&gt;0,'Underlying Mechanics'!$B$12*'Underlying Mechanics'!$B$18,0)</x:f>
        <x:v>25500</x:v>
      </x:c>
      <x:c r="W145" t="n">
        <x:f>((IF(W$1-'Underlying Mechanics'!$B$8&lt;0,0,'Underlying Mechanics'!$B$22*'Underlying Mechanics'!$B$15*INDEX('Underlying Mechanics'!$B$31:$B$51,W$1-'Underlying Mechanics'!$B$8+1)*'Underlying Mechanics'!$B$5))*(1-$A145))-IF(W$1=0,'Underlying Mechanics'!$B$23*(1-$B145),0)-IF(W$1&gt;0,'Underlying Mechanics'!$B$22*'Underlying Mechanics'!$B$17,0)-IF(W$1&gt;0,'Underlying Mechanics'!$B$12*'Underlying Mechanics'!$B$18,0)</x:f>
        <x:v>25500</x:v>
      </x:c>
      <x:c r="X145" t="n">
        <x:f>IFERROR(IRR(C145:W145),-1)</x:f>
        <x:v>0.04228391972329586</x:v>
      </x:c>
    </x:row>
    <x:row r="146">
      <x:c r="A146" t="n">
        <x:v>0.6</x:v>
      </x:c>
      <x:c r="B146" t="n">
        <x:v>0.9</x:v>
      </x:c>
      <x:c r="C146" t="n">
        <x:f>((IF(C$1-'Underlying Mechanics'!$B$8&lt;0,0,'Underlying Mechanics'!$B$22*'Underlying Mechanics'!$B$15*INDEX('Underlying Mechanics'!$B$31:$B$51,C$1-'Underlying Mechanics'!$B$8+1)*'Underlying Mechanics'!$B$5))*(1-$A146))-IF(C$1=0,'Underlying Mechanics'!$B$23*(1-$B146),0)-IF(C$1&gt;0,'Underlying Mechanics'!$B$22*'Underlying Mechanics'!$B$17,0)-IF(C$1&gt;0,'Underlying Mechanics'!$B$12*'Underlying Mechanics'!$B$18,0)</x:f>
        <x:v>-14999.999999999996</x:v>
      </x:c>
      <x:c r="D146" t="n">
        <x:f>((IF(D$1-'Underlying Mechanics'!$B$8&lt;0,0,'Underlying Mechanics'!$B$22*'Underlying Mechanics'!$B$15*INDEX('Underlying Mechanics'!$B$31:$B$51,D$1-'Underlying Mechanics'!$B$8+1)*'Underlying Mechanics'!$B$5))*(1-$A146))-IF(D$1=0,'Underlying Mechanics'!$B$23*(1-$B146),0)-IF(D$1&gt;0,'Underlying Mechanics'!$B$22*'Underlying Mechanics'!$B$17,0)-IF(D$1&gt;0,'Underlying Mechanics'!$B$12*'Underlying Mechanics'!$B$18,0)</x:f>
        <x:v>-22500</x:v>
      </x:c>
      <x:c r="E146" t="n">
        <x:f>((IF(E$1-'Underlying Mechanics'!$B$8&lt;0,0,'Underlying Mechanics'!$B$22*'Underlying Mechanics'!$B$15*INDEX('Underlying Mechanics'!$B$31:$B$51,E$1-'Underlying Mechanics'!$B$8+1)*'Underlying Mechanics'!$B$5))*(1-$A146))-IF(E$1=0,'Underlying Mechanics'!$B$23*(1-$B146),0)-IF(E$1&gt;0,'Underlying Mechanics'!$B$22*'Underlying Mechanics'!$B$17,0)-IF(E$1&gt;0,'Underlying Mechanics'!$B$12*'Underlying Mechanics'!$B$18,0)</x:f>
        <x:v>-22500</x:v>
      </x:c>
      <x:c r="F146" t="n">
        <x:f>((IF(F$1-'Underlying Mechanics'!$B$8&lt;0,0,'Underlying Mechanics'!$B$22*'Underlying Mechanics'!$B$15*INDEX('Underlying Mechanics'!$B$31:$B$51,F$1-'Underlying Mechanics'!$B$8+1)*'Underlying Mechanics'!$B$5))*(1-$A146))-IF(F$1=0,'Underlying Mechanics'!$B$23*(1-$B146),0)-IF(F$1&gt;0,'Underlying Mechanics'!$B$22*'Underlying Mechanics'!$B$17,0)-IF(F$1&gt;0,'Underlying Mechanics'!$B$12*'Underlying Mechanics'!$B$18,0)</x:f>
        <x:v>-21540</x:v>
      </x:c>
      <x:c r="G146" t="n">
        <x:f>((IF(G$1-'Underlying Mechanics'!$B$8&lt;0,0,'Underlying Mechanics'!$B$22*'Underlying Mechanics'!$B$15*INDEX('Underlying Mechanics'!$B$31:$B$51,G$1-'Underlying Mechanics'!$B$8+1)*'Underlying Mechanics'!$B$5))*(1-$A146))-IF(G$1=0,'Underlying Mechanics'!$B$23*(1-$B146),0)-IF(G$1&gt;0,'Underlying Mechanics'!$B$22*'Underlying Mechanics'!$B$17,0)-IF(G$1&gt;0,'Underlying Mechanics'!$B$12*'Underlying Mechanics'!$B$18,0)</x:f>
        <x:v>-20100</x:v>
      </x:c>
      <x:c r="H146" t="n">
        <x:f>((IF(H$1-'Underlying Mechanics'!$B$8&lt;0,0,'Underlying Mechanics'!$B$22*'Underlying Mechanics'!$B$15*INDEX('Underlying Mechanics'!$B$31:$B$51,H$1-'Underlying Mechanics'!$B$8+1)*'Underlying Mechanics'!$B$5))*(1-$A146))-IF(H$1=0,'Underlying Mechanics'!$B$23*(1-$B146),0)-IF(H$1&gt;0,'Underlying Mechanics'!$B$22*'Underlying Mechanics'!$B$17,0)-IF(H$1&gt;0,'Underlying Mechanics'!$B$12*'Underlying Mechanics'!$B$18,0)</x:f>
        <x:v>-17700</x:v>
      </x:c>
      <x:c r="I146" t="n">
        <x:f>((IF(I$1-'Underlying Mechanics'!$B$8&lt;0,0,'Underlying Mechanics'!$B$22*'Underlying Mechanics'!$B$15*INDEX('Underlying Mechanics'!$B$31:$B$51,I$1-'Underlying Mechanics'!$B$8+1)*'Underlying Mechanics'!$B$5))*(1-$A146))-IF(I$1=0,'Underlying Mechanics'!$B$23*(1-$B146),0)-IF(I$1&gt;0,'Underlying Mechanics'!$B$22*'Underlying Mechanics'!$B$17,0)-IF(I$1&gt;0,'Underlying Mechanics'!$B$12*'Underlying Mechanics'!$B$18,0)</x:f>
        <x:v>-13860</x:v>
      </x:c>
      <x:c r="J146" t="n">
        <x:f>((IF(J$1-'Underlying Mechanics'!$B$8&lt;0,0,'Underlying Mechanics'!$B$22*'Underlying Mechanics'!$B$15*INDEX('Underlying Mechanics'!$B$31:$B$51,J$1-'Underlying Mechanics'!$B$8+1)*'Underlying Mechanics'!$B$5))*(1-$A146))-IF(J$1=0,'Underlying Mechanics'!$B$23*(1-$B146),0)-IF(J$1&gt;0,'Underlying Mechanics'!$B$22*'Underlying Mechanics'!$B$17,0)-IF(J$1&gt;0,'Underlying Mechanics'!$B$12*'Underlying Mechanics'!$B$18,0)</x:f>
        <x:v>-9059.999999999996</x:v>
      </x:c>
      <x:c r="K146" t="n">
        <x:f>((IF(K$1-'Underlying Mechanics'!$B$8&lt;0,0,'Underlying Mechanics'!$B$22*'Underlying Mechanics'!$B$15*INDEX('Underlying Mechanics'!$B$31:$B$51,K$1-'Underlying Mechanics'!$B$8+1)*'Underlying Mechanics'!$B$5))*(1-$A146))-IF(K$1=0,'Underlying Mechanics'!$B$23*(1-$B146),0)-IF(K$1&gt;0,'Underlying Mechanics'!$B$22*'Underlying Mechanics'!$B$17,0)-IF(K$1&gt;0,'Underlying Mechanics'!$B$12*'Underlying Mechanics'!$B$18,0)</x:f>
        <x:v>-3300</x:v>
      </x:c>
      <x:c r="L146" t="n">
        <x:f>((IF(L$1-'Underlying Mechanics'!$B$8&lt;0,0,'Underlying Mechanics'!$B$22*'Underlying Mechanics'!$B$15*INDEX('Underlying Mechanics'!$B$31:$B$51,L$1-'Underlying Mechanics'!$B$8+1)*'Underlying Mechanics'!$B$5))*(1-$A146))-IF(L$1=0,'Underlying Mechanics'!$B$23*(1-$B146),0)-IF(L$1&gt;0,'Underlying Mechanics'!$B$22*'Underlying Mechanics'!$B$17,0)-IF(L$1&gt;0,'Underlying Mechanics'!$B$12*'Underlying Mechanics'!$B$18,0)</x:f>
        <x:v>3420</x:v>
      </x:c>
      <x:c r="M146" t="n">
        <x:f>((IF(M$1-'Underlying Mechanics'!$B$8&lt;0,0,'Underlying Mechanics'!$B$22*'Underlying Mechanics'!$B$15*INDEX('Underlying Mechanics'!$B$31:$B$51,M$1-'Underlying Mechanics'!$B$8+1)*'Underlying Mechanics'!$B$5))*(1-$A146))-IF(M$1=0,'Underlying Mechanics'!$B$23*(1-$B146),0)-IF(M$1&gt;0,'Underlying Mechanics'!$B$22*'Underlying Mechanics'!$B$17,0)-IF(M$1&gt;0,'Underlying Mechanics'!$B$12*'Underlying Mechanics'!$B$18,0)</x:f>
        <x:v>10140.000000000007</x:v>
      </x:c>
      <x:c r="N146" t="n">
        <x:f>((IF(N$1-'Underlying Mechanics'!$B$8&lt;0,0,'Underlying Mechanics'!$B$22*'Underlying Mechanics'!$B$15*INDEX('Underlying Mechanics'!$B$31:$B$51,N$1-'Underlying Mechanics'!$B$8+1)*'Underlying Mechanics'!$B$5))*(1-$A146))-IF(N$1=0,'Underlying Mechanics'!$B$23*(1-$B146),0)-IF(N$1&gt;0,'Underlying Mechanics'!$B$22*'Underlying Mechanics'!$B$17,0)-IF(N$1&gt;0,'Underlying Mechanics'!$B$12*'Underlying Mechanics'!$B$18,0)</x:f>
        <x:v>15900</x:v>
      </x:c>
      <x:c r="O146" t="n">
        <x:f>((IF(O$1-'Underlying Mechanics'!$B$8&lt;0,0,'Underlying Mechanics'!$B$22*'Underlying Mechanics'!$B$15*INDEX('Underlying Mechanics'!$B$31:$B$51,O$1-'Underlying Mechanics'!$B$8+1)*'Underlying Mechanics'!$B$5))*(1-$A146))-IF(O$1=0,'Underlying Mechanics'!$B$23*(1-$B146),0)-IF(O$1&gt;0,'Underlying Mechanics'!$B$22*'Underlying Mechanics'!$B$17,0)-IF(O$1&gt;0,'Underlying Mechanics'!$B$12*'Underlying Mechanics'!$B$18,0)</x:f>
        <x:v>20700</x:v>
      </x:c>
      <x:c r="P146" t="n">
        <x:f>((IF(P$1-'Underlying Mechanics'!$B$8&lt;0,0,'Underlying Mechanics'!$B$22*'Underlying Mechanics'!$B$15*INDEX('Underlying Mechanics'!$B$31:$B$51,P$1-'Underlying Mechanics'!$B$8+1)*'Underlying Mechanics'!$B$5))*(1-$A146))-IF(P$1=0,'Underlying Mechanics'!$B$23*(1-$B146),0)-IF(P$1&gt;0,'Underlying Mechanics'!$B$22*'Underlying Mechanics'!$B$17,0)-IF(P$1&gt;0,'Underlying Mechanics'!$B$12*'Underlying Mechanics'!$B$18,0)</x:f>
        <x:v>25500</x:v>
      </x:c>
      <x:c r="Q146" t="n">
        <x:f>((IF(Q$1-'Underlying Mechanics'!$B$8&lt;0,0,'Underlying Mechanics'!$B$22*'Underlying Mechanics'!$B$15*INDEX('Underlying Mechanics'!$B$31:$B$51,Q$1-'Underlying Mechanics'!$B$8+1)*'Underlying Mechanics'!$B$5))*(1-$A146))-IF(Q$1=0,'Underlying Mechanics'!$B$23*(1-$B146),0)-IF(Q$1&gt;0,'Underlying Mechanics'!$B$22*'Underlying Mechanics'!$B$17,0)-IF(Q$1&gt;0,'Underlying Mechanics'!$B$12*'Underlying Mechanics'!$B$18,0)</x:f>
        <x:v>25500</x:v>
      </x:c>
      <x:c r="R146" t="n">
        <x:f>((IF(R$1-'Underlying Mechanics'!$B$8&lt;0,0,'Underlying Mechanics'!$B$22*'Underlying Mechanics'!$B$15*INDEX('Underlying Mechanics'!$B$31:$B$51,R$1-'Underlying Mechanics'!$B$8+1)*'Underlying Mechanics'!$B$5))*(1-$A146))-IF(R$1=0,'Underlying Mechanics'!$B$23*(1-$B146),0)-IF(R$1&gt;0,'Underlying Mechanics'!$B$22*'Underlying Mechanics'!$B$17,0)-IF(R$1&gt;0,'Underlying Mechanics'!$B$12*'Underlying Mechanics'!$B$18,0)</x:f>
        <x:v>25500</x:v>
      </x:c>
      <x:c r="S146" t="n">
        <x:f>((IF(S$1-'Underlying Mechanics'!$B$8&lt;0,0,'Underlying Mechanics'!$B$22*'Underlying Mechanics'!$B$15*INDEX('Underlying Mechanics'!$B$31:$B$51,S$1-'Underlying Mechanics'!$B$8+1)*'Underlying Mechanics'!$B$5))*(1-$A146))-IF(S$1=0,'Underlying Mechanics'!$B$23*(1-$B146),0)-IF(S$1&gt;0,'Underlying Mechanics'!$B$22*'Underlying Mechanics'!$B$17,0)-IF(S$1&gt;0,'Underlying Mechanics'!$B$12*'Underlying Mechanics'!$B$18,0)</x:f>
        <x:v>25500</x:v>
      </x:c>
      <x:c r="T146" t="n">
        <x:f>((IF(T$1-'Underlying Mechanics'!$B$8&lt;0,0,'Underlying Mechanics'!$B$22*'Underlying Mechanics'!$B$15*INDEX('Underlying Mechanics'!$B$31:$B$51,T$1-'Underlying Mechanics'!$B$8+1)*'Underlying Mechanics'!$B$5))*(1-$A146))-IF(T$1=0,'Underlying Mechanics'!$B$23*(1-$B146),0)-IF(T$1&gt;0,'Underlying Mechanics'!$B$22*'Underlying Mechanics'!$B$17,0)-IF(T$1&gt;0,'Underlying Mechanics'!$B$12*'Underlying Mechanics'!$B$18,0)</x:f>
        <x:v>25500</x:v>
      </x:c>
      <x:c r="U146" t="n">
        <x:f>((IF(U$1-'Underlying Mechanics'!$B$8&lt;0,0,'Underlying Mechanics'!$B$22*'Underlying Mechanics'!$B$15*INDEX('Underlying Mechanics'!$B$31:$B$51,U$1-'Underlying Mechanics'!$B$8+1)*'Underlying Mechanics'!$B$5))*(1-$A146))-IF(U$1=0,'Underlying Mechanics'!$B$23*(1-$B146),0)-IF(U$1&gt;0,'Underlying Mechanics'!$B$22*'Underlying Mechanics'!$B$17,0)-IF(U$1&gt;0,'Underlying Mechanics'!$B$12*'Underlying Mechanics'!$B$18,0)</x:f>
        <x:v>25500</x:v>
      </x:c>
      <x:c r="V146" t="n">
        <x:f>((IF(V$1-'Underlying Mechanics'!$B$8&lt;0,0,'Underlying Mechanics'!$B$22*'Underlying Mechanics'!$B$15*INDEX('Underlying Mechanics'!$B$31:$B$51,V$1-'Underlying Mechanics'!$B$8+1)*'Underlying Mechanics'!$B$5))*(1-$A146))-IF(V$1=0,'Underlying Mechanics'!$B$23*(1-$B146),0)-IF(V$1&gt;0,'Underlying Mechanics'!$B$22*'Underlying Mechanics'!$B$17,0)-IF(V$1&gt;0,'Underlying Mechanics'!$B$12*'Underlying Mechanics'!$B$18,0)</x:f>
        <x:v>25500</x:v>
      </x:c>
      <x:c r="W146" t="n">
        <x:f>((IF(W$1-'Underlying Mechanics'!$B$8&lt;0,0,'Underlying Mechanics'!$B$22*'Underlying Mechanics'!$B$15*INDEX('Underlying Mechanics'!$B$31:$B$51,W$1-'Underlying Mechanics'!$B$8+1)*'Underlying Mechanics'!$B$5))*(1-$A146))-IF(W$1=0,'Underlying Mechanics'!$B$23*(1-$B146),0)-IF(W$1&gt;0,'Underlying Mechanics'!$B$22*'Underlying Mechanics'!$B$17,0)-IF(W$1&gt;0,'Underlying Mechanics'!$B$12*'Underlying Mechanics'!$B$18,0)</x:f>
        <x:v>25500</x:v>
      </x:c>
      <x:c r="X146" t="n">
        <x:f>IFERROR(IRR(C146:W146),-1)</x:f>
        <x:v>0.04726281525136554</x:v>
      </x:c>
    </x:row>
    <x:row r="147">
      <x:c r="A147" t="n">
        <x:v>0.6</x:v>
      </x:c>
      <x:c r="B147" t="n">
        <x:v>0.95</x:v>
      </x:c>
      <x:c r="C147" t="n">
        <x:f>((IF(C$1-'Underlying Mechanics'!$B$8&lt;0,0,'Underlying Mechanics'!$B$22*'Underlying Mechanics'!$B$15*INDEX('Underlying Mechanics'!$B$31:$B$51,C$1-'Underlying Mechanics'!$B$8+1)*'Underlying Mechanics'!$B$5))*(1-$A147))-IF(C$1=0,'Underlying Mechanics'!$B$23*(1-$B147),0)-IF(C$1&gt;0,'Underlying Mechanics'!$B$22*'Underlying Mechanics'!$B$17,0)-IF(C$1&gt;0,'Underlying Mechanics'!$B$12*'Underlying Mechanics'!$B$18,0)</x:f>
        <x:v>-7500.000000000006</x:v>
      </x:c>
      <x:c r="D147" t="n">
        <x:f>((IF(D$1-'Underlying Mechanics'!$B$8&lt;0,0,'Underlying Mechanics'!$B$22*'Underlying Mechanics'!$B$15*INDEX('Underlying Mechanics'!$B$31:$B$51,D$1-'Underlying Mechanics'!$B$8+1)*'Underlying Mechanics'!$B$5))*(1-$A147))-IF(D$1=0,'Underlying Mechanics'!$B$23*(1-$B147),0)-IF(D$1&gt;0,'Underlying Mechanics'!$B$22*'Underlying Mechanics'!$B$17,0)-IF(D$1&gt;0,'Underlying Mechanics'!$B$12*'Underlying Mechanics'!$B$18,0)</x:f>
        <x:v>-22500</x:v>
      </x:c>
      <x:c r="E147" t="n">
        <x:f>((IF(E$1-'Underlying Mechanics'!$B$8&lt;0,0,'Underlying Mechanics'!$B$22*'Underlying Mechanics'!$B$15*INDEX('Underlying Mechanics'!$B$31:$B$51,E$1-'Underlying Mechanics'!$B$8+1)*'Underlying Mechanics'!$B$5))*(1-$A147))-IF(E$1=0,'Underlying Mechanics'!$B$23*(1-$B147),0)-IF(E$1&gt;0,'Underlying Mechanics'!$B$22*'Underlying Mechanics'!$B$17,0)-IF(E$1&gt;0,'Underlying Mechanics'!$B$12*'Underlying Mechanics'!$B$18,0)</x:f>
        <x:v>-22500</x:v>
      </x:c>
      <x:c r="F147" t="n">
        <x:f>((IF(F$1-'Underlying Mechanics'!$B$8&lt;0,0,'Underlying Mechanics'!$B$22*'Underlying Mechanics'!$B$15*INDEX('Underlying Mechanics'!$B$31:$B$51,F$1-'Underlying Mechanics'!$B$8+1)*'Underlying Mechanics'!$B$5))*(1-$A147))-IF(F$1=0,'Underlying Mechanics'!$B$23*(1-$B147),0)-IF(F$1&gt;0,'Underlying Mechanics'!$B$22*'Underlying Mechanics'!$B$17,0)-IF(F$1&gt;0,'Underlying Mechanics'!$B$12*'Underlying Mechanics'!$B$18,0)</x:f>
        <x:v>-21540</x:v>
      </x:c>
      <x:c r="G147" t="n">
        <x:f>((IF(G$1-'Underlying Mechanics'!$B$8&lt;0,0,'Underlying Mechanics'!$B$22*'Underlying Mechanics'!$B$15*INDEX('Underlying Mechanics'!$B$31:$B$51,G$1-'Underlying Mechanics'!$B$8+1)*'Underlying Mechanics'!$B$5))*(1-$A147))-IF(G$1=0,'Underlying Mechanics'!$B$23*(1-$B147),0)-IF(G$1&gt;0,'Underlying Mechanics'!$B$22*'Underlying Mechanics'!$B$17,0)-IF(G$1&gt;0,'Underlying Mechanics'!$B$12*'Underlying Mechanics'!$B$18,0)</x:f>
        <x:v>-20100</x:v>
      </x:c>
      <x:c r="H147" t="n">
        <x:f>((IF(H$1-'Underlying Mechanics'!$B$8&lt;0,0,'Underlying Mechanics'!$B$22*'Underlying Mechanics'!$B$15*INDEX('Underlying Mechanics'!$B$31:$B$51,H$1-'Underlying Mechanics'!$B$8+1)*'Underlying Mechanics'!$B$5))*(1-$A147))-IF(H$1=0,'Underlying Mechanics'!$B$23*(1-$B147),0)-IF(H$1&gt;0,'Underlying Mechanics'!$B$22*'Underlying Mechanics'!$B$17,0)-IF(H$1&gt;0,'Underlying Mechanics'!$B$12*'Underlying Mechanics'!$B$18,0)</x:f>
        <x:v>-17700</x:v>
      </x:c>
      <x:c r="I147" t="n">
        <x:f>((IF(I$1-'Underlying Mechanics'!$B$8&lt;0,0,'Underlying Mechanics'!$B$22*'Underlying Mechanics'!$B$15*INDEX('Underlying Mechanics'!$B$31:$B$51,I$1-'Underlying Mechanics'!$B$8+1)*'Underlying Mechanics'!$B$5))*(1-$A147))-IF(I$1=0,'Underlying Mechanics'!$B$23*(1-$B147),0)-IF(I$1&gt;0,'Underlying Mechanics'!$B$22*'Underlying Mechanics'!$B$17,0)-IF(I$1&gt;0,'Underlying Mechanics'!$B$12*'Underlying Mechanics'!$B$18,0)</x:f>
        <x:v>-13860</x:v>
      </x:c>
      <x:c r="J147" t="n">
        <x:f>((IF(J$1-'Underlying Mechanics'!$B$8&lt;0,0,'Underlying Mechanics'!$B$22*'Underlying Mechanics'!$B$15*INDEX('Underlying Mechanics'!$B$31:$B$51,J$1-'Underlying Mechanics'!$B$8+1)*'Underlying Mechanics'!$B$5))*(1-$A147))-IF(J$1=0,'Underlying Mechanics'!$B$23*(1-$B147),0)-IF(J$1&gt;0,'Underlying Mechanics'!$B$22*'Underlying Mechanics'!$B$17,0)-IF(J$1&gt;0,'Underlying Mechanics'!$B$12*'Underlying Mechanics'!$B$18,0)</x:f>
        <x:v>-9059.999999999996</x:v>
      </x:c>
      <x:c r="K147" t="n">
        <x:f>((IF(K$1-'Underlying Mechanics'!$B$8&lt;0,0,'Underlying Mechanics'!$B$22*'Underlying Mechanics'!$B$15*INDEX('Underlying Mechanics'!$B$31:$B$51,K$1-'Underlying Mechanics'!$B$8+1)*'Underlying Mechanics'!$B$5))*(1-$A147))-IF(K$1=0,'Underlying Mechanics'!$B$23*(1-$B147),0)-IF(K$1&gt;0,'Underlying Mechanics'!$B$22*'Underlying Mechanics'!$B$17,0)-IF(K$1&gt;0,'Underlying Mechanics'!$B$12*'Underlying Mechanics'!$B$18,0)</x:f>
        <x:v>-3300</x:v>
      </x:c>
      <x:c r="L147" t="n">
        <x:f>((IF(L$1-'Underlying Mechanics'!$B$8&lt;0,0,'Underlying Mechanics'!$B$22*'Underlying Mechanics'!$B$15*INDEX('Underlying Mechanics'!$B$31:$B$51,L$1-'Underlying Mechanics'!$B$8+1)*'Underlying Mechanics'!$B$5))*(1-$A147))-IF(L$1=0,'Underlying Mechanics'!$B$23*(1-$B147),0)-IF(L$1&gt;0,'Underlying Mechanics'!$B$22*'Underlying Mechanics'!$B$17,0)-IF(L$1&gt;0,'Underlying Mechanics'!$B$12*'Underlying Mechanics'!$B$18,0)</x:f>
        <x:v>3420</x:v>
      </x:c>
      <x:c r="M147" t="n">
        <x:f>((IF(M$1-'Underlying Mechanics'!$B$8&lt;0,0,'Underlying Mechanics'!$B$22*'Underlying Mechanics'!$B$15*INDEX('Underlying Mechanics'!$B$31:$B$51,M$1-'Underlying Mechanics'!$B$8+1)*'Underlying Mechanics'!$B$5))*(1-$A147))-IF(M$1=0,'Underlying Mechanics'!$B$23*(1-$B147),0)-IF(M$1&gt;0,'Underlying Mechanics'!$B$22*'Underlying Mechanics'!$B$17,0)-IF(M$1&gt;0,'Underlying Mechanics'!$B$12*'Underlying Mechanics'!$B$18,0)</x:f>
        <x:v>10140.000000000007</x:v>
      </x:c>
      <x:c r="N147" t="n">
        <x:f>((IF(N$1-'Underlying Mechanics'!$B$8&lt;0,0,'Underlying Mechanics'!$B$22*'Underlying Mechanics'!$B$15*INDEX('Underlying Mechanics'!$B$31:$B$51,N$1-'Underlying Mechanics'!$B$8+1)*'Underlying Mechanics'!$B$5))*(1-$A147))-IF(N$1=0,'Underlying Mechanics'!$B$23*(1-$B147),0)-IF(N$1&gt;0,'Underlying Mechanics'!$B$22*'Underlying Mechanics'!$B$17,0)-IF(N$1&gt;0,'Underlying Mechanics'!$B$12*'Underlying Mechanics'!$B$18,0)</x:f>
        <x:v>15900</x:v>
      </x:c>
      <x:c r="O147" t="n">
        <x:f>((IF(O$1-'Underlying Mechanics'!$B$8&lt;0,0,'Underlying Mechanics'!$B$22*'Underlying Mechanics'!$B$15*INDEX('Underlying Mechanics'!$B$31:$B$51,O$1-'Underlying Mechanics'!$B$8+1)*'Underlying Mechanics'!$B$5))*(1-$A147))-IF(O$1=0,'Underlying Mechanics'!$B$23*(1-$B147),0)-IF(O$1&gt;0,'Underlying Mechanics'!$B$22*'Underlying Mechanics'!$B$17,0)-IF(O$1&gt;0,'Underlying Mechanics'!$B$12*'Underlying Mechanics'!$B$18,0)</x:f>
        <x:v>20700</x:v>
      </x:c>
      <x:c r="P147" t="n">
        <x:f>((IF(P$1-'Underlying Mechanics'!$B$8&lt;0,0,'Underlying Mechanics'!$B$22*'Underlying Mechanics'!$B$15*INDEX('Underlying Mechanics'!$B$31:$B$51,P$1-'Underlying Mechanics'!$B$8+1)*'Underlying Mechanics'!$B$5))*(1-$A147))-IF(P$1=0,'Underlying Mechanics'!$B$23*(1-$B147),0)-IF(P$1&gt;0,'Underlying Mechanics'!$B$22*'Underlying Mechanics'!$B$17,0)-IF(P$1&gt;0,'Underlying Mechanics'!$B$12*'Underlying Mechanics'!$B$18,0)</x:f>
        <x:v>25500</x:v>
      </x:c>
      <x:c r="Q147" t="n">
        <x:f>((IF(Q$1-'Underlying Mechanics'!$B$8&lt;0,0,'Underlying Mechanics'!$B$22*'Underlying Mechanics'!$B$15*INDEX('Underlying Mechanics'!$B$31:$B$51,Q$1-'Underlying Mechanics'!$B$8+1)*'Underlying Mechanics'!$B$5))*(1-$A147))-IF(Q$1=0,'Underlying Mechanics'!$B$23*(1-$B147),0)-IF(Q$1&gt;0,'Underlying Mechanics'!$B$22*'Underlying Mechanics'!$B$17,0)-IF(Q$1&gt;0,'Underlying Mechanics'!$B$12*'Underlying Mechanics'!$B$18,0)</x:f>
        <x:v>25500</x:v>
      </x:c>
      <x:c r="R147" t="n">
        <x:f>((IF(R$1-'Underlying Mechanics'!$B$8&lt;0,0,'Underlying Mechanics'!$B$22*'Underlying Mechanics'!$B$15*INDEX('Underlying Mechanics'!$B$31:$B$51,R$1-'Underlying Mechanics'!$B$8+1)*'Underlying Mechanics'!$B$5))*(1-$A147))-IF(R$1=0,'Underlying Mechanics'!$B$23*(1-$B147),0)-IF(R$1&gt;0,'Underlying Mechanics'!$B$22*'Underlying Mechanics'!$B$17,0)-IF(R$1&gt;0,'Underlying Mechanics'!$B$12*'Underlying Mechanics'!$B$18,0)</x:f>
        <x:v>25500</x:v>
      </x:c>
      <x:c r="S147" t="n">
        <x:f>((IF(S$1-'Underlying Mechanics'!$B$8&lt;0,0,'Underlying Mechanics'!$B$22*'Underlying Mechanics'!$B$15*INDEX('Underlying Mechanics'!$B$31:$B$51,S$1-'Underlying Mechanics'!$B$8+1)*'Underlying Mechanics'!$B$5))*(1-$A147))-IF(S$1=0,'Underlying Mechanics'!$B$23*(1-$B147),0)-IF(S$1&gt;0,'Underlying Mechanics'!$B$22*'Underlying Mechanics'!$B$17,0)-IF(S$1&gt;0,'Underlying Mechanics'!$B$12*'Underlying Mechanics'!$B$18,0)</x:f>
        <x:v>25500</x:v>
      </x:c>
      <x:c r="T147" t="n">
        <x:f>((IF(T$1-'Underlying Mechanics'!$B$8&lt;0,0,'Underlying Mechanics'!$B$22*'Underlying Mechanics'!$B$15*INDEX('Underlying Mechanics'!$B$31:$B$51,T$1-'Underlying Mechanics'!$B$8+1)*'Underlying Mechanics'!$B$5))*(1-$A147))-IF(T$1=0,'Underlying Mechanics'!$B$23*(1-$B147),0)-IF(T$1&gt;0,'Underlying Mechanics'!$B$22*'Underlying Mechanics'!$B$17,0)-IF(T$1&gt;0,'Underlying Mechanics'!$B$12*'Underlying Mechanics'!$B$18,0)</x:f>
        <x:v>25500</x:v>
      </x:c>
      <x:c r="U147" t="n">
        <x:f>((IF(U$1-'Underlying Mechanics'!$B$8&lt;0,0,'Underlying Mechanics'!$B$22*'Underlying Mechanics'!$B$15*INDEX('Underlying Mechanics'!$B$31:$B$51,U$1-'Underlying Mechanics'!$B$8+1)*'Underlying Mechanics'!$B$5))*(1-$A147))-IF(U$1=0,'Underlying Mechanics'!$B$23*(1-$B147),0)-IF(U$1&gt;0,'Underlying Mechanics'!$B$22*'Underlying Mechanics'!$B$17,0)-IF(U$1&gt;0,'Underlying Mechanics'!$B$12*'Underlying Mechanics'!$B$18,0)</x:f>
        <x:v>25500</x:v>
      </x:c>
      <x:c r="V147" t="n">
        <x:f>((IF(V$1-'Underlying Mechanics'!$B$8&lt;0,0,'Underlying Mechanics'!$B$22*'Underlying Mechanics'!$B$15*INDEX('Underlying Mechanics'!$B$31:$B$51,V$1-'Underlying Mechanics'!$B$8+1)*'Underlying Mechanics'!$B$5))*(1-$A147))-IF(V$1=0,'Underlying Mechanics'!$B$23*(1-$B147),0)-IF(V$1&gt;0,'Underlying Mechanics'!$B$22*'Underlying Mechanics'!$B$17,0)-IF(V$1&gt;0,'Underlying Mechanics'!$B$12*'Underlying Mechanics'!$B$18,0)</x:f>
        <x:v>25500</x:v>
      </x:c>
      <x:c r="W147" t="n">
        <x:f>((IF(W$1-'Underlying Mechanics'!$B$8&lt;0,0,'Underlying Mechanics'!$B$22*'Underlying Mechanics'!$B$15*INDEX('Underlying Mechanics'!$B$31:$B$51,W$1-'Underlying Mechanics'!$B$8+1)*'Underlying Mechanics'!$B$5))*(1-$A147))-IF(W$1=0,'Underlying Mechanics'!$B$23*(1-$B147),0)-IF(W$1&gt;0,'Underlying Mechanics'!$B$22*'Underlying Mechanics'!$B$17,0)-IF(W$1&gt;0,'Underlying Mechanics'!$B$12*'Underlying Mechanics'!$B$18,0)</x:f>
        <x:v>25500</x:v>
      </x:c>
      <x:c r="X147" t="n">
        <x:f>IFERROR(IRR(C147:W147),-1)</x:f>
        <x:v>0.05274916575975237</x:v>
      </x:c>
    </x:row>
    <x:row r="148">
      <x:c r="A148" t="n">
        <x:v>0.6</x:v>
      </x:c>
      <x:c r="B148" t="n">
        <x:v>1</x:v>
      </x:c>
      <x:c r="C148" t="n">
        <x:f>((IF(C$1-'Underlying Mechanics'!$B$8&lt;0,0,'Underlying Mechanics'!$B$22*'Underlying Mechanics'!$B$15*INDEX('Underlying Mechanics'!$B$31:$B$51,C$1-'Underlying Mechanics'!$B$8+1)*'Underlying Mechanics'!$B$5))*(1-$A148))-IF(C$1=0,'Underlying Mechanics'!$B$23*(1-$B148),0)-IF(C$1&gt;0,'Underlying Mechanics'!$B$22*'Underlying Mechanics'!$B$17,0)-IF(C$1&gt;0,'Underlying Mechanics'!$B$12*'Underlying Mechanics'!$B$18,0)</x:f>
        <x:v>0</x:v>
      </x:c>
      <x:c r="D148" t="n">
        <x:f>((IF(D$1-'Underlying Mechanics'!$B$8&lt;0,0,'Underlying Mechanics'!$B$22*'Underlying Mechanics'!$B$15*INDEX('Underlying Mechanics'!$B$31:$B$51,D$1-'Underlying Mechanics'!$B$8+1)*'Underlying Mechanics'!$B$5))*(1-$A148))-IF(D$1=0,'Underlying Mechanics'!$B$23*(1-$B148),0)-IF(D$1&gt;0,'Underlying Mechanics'!$B$22*'Underlying Mechanics'!$B$17,0)-IF(D$1&gt;0,'Underlying Mechanics'!$B$12*'Underlying Mechanics'!$B$18,0)</x:f>
        <x:v>-22500</x:v>
      </x:c>
      <x:c r="E148" t="n">
        <x:f>((IF(E$1-'Underlying Mechanics'!$B$8&lt;0,0,'Underlying Mechanics'!$B$22*'Underlying Mechanics'!$B$15*INDEX('Underlying Mechanics'!$B$31:$B$51,E$1-'Underlying Mechanics'!$B$8+1)*'Underlying Mechanics'!$B$5))*(1-$A148))-IF(E$1=0,'Underlying Mechanics'!$B$23*(1-$B148),0)-IF(E$1&gt;0,'Underlying Mechanics'!$B$22*'Underlying Mechanics'!$B$17,0)-IF(E$1&gt;0,'Underlying Mechanics'!$B$12*'Underlying Mechanics'!$B$18,0)</x:f>
        <x:v>-22500</x:v>
      </x:c>
      <x:c r="F148" t="n">
        <x:f>((IF(F$1-'Underlying Mechanics'!$B$8&lt;0,0,'Underlying Mechanics'!$B$22*'Underlying Mechanics'!$B$15*INDEX('Underlying Mechanics'!$B$31:$B$51,F$1-'Underlying Mechanics'!$B$8+1)*'Underlying Mechanics'!$B$5))*(1-$A148))-IF(F$1=0,'Underlying Mechanics'!$B$23*(1-$B148),0)-IF(F$1&gt;0,'Underlying Mechanics'!$B$22*'Underlying Mechanics'!$B$17,0)-IF(F$1&gt;0,'Underlying Mechanics'!$B$12*'Underlying Mechanics'!$B$18,0)</x:f>
        <x:v>-21540</x:v>
      </x:c>
      <x:c r="G148" t="n">
        <x:f>((IF(G$1-'Underlying Mechanics'!$B$8&lt;0,0,'Underlying Mechanics'!$B$22*'Underlying Mechanics'!$B$15*INDEX('Underlying Mechanics'!$B$31:$B$51,G$1-'Underlying Mechanics'!$B$8+1)*'Underlying Mechanics'!$B$5))*(1-$A148))-IF(G$1=0,'Underlying Mechanics'!$B$23*(1-$B148),0)-IF(G$1&gt;0,'Underlying Mechanics'!$B$22*'Underlying Mechanics'!$B$17,0)-IF(G$1&gt;0,'Underlying Mechanics'!$B$12*'Underlying Mechanics'!$B$18,0)</x:f>
        <x:v>-20100</x:v>
      </x:c>
      <x:c r="H148" t="n">
        <x:f>((IF(H$1-'Underlying Mechanics'!$B$8&lt;0,0,'Underlying Mechanics'!$B$22*'Underlying Mechanics'!$B$15*INDEX('Underlying Mechanics'!$B$31:$B$51,H$1-'Underlying Mechanics'!$B$8+1)*'Underlying Mechanics'!$B$5))*(1-$A148))-IF(H$1=0,'Underlying Mechanics'!$B$23*(1-$B148),0)-IF(H$1&gt;0,'Underlying Mechanics'!$B$22*'Underlying Mechanics'!$B$17,0)-IF(H$1&gt;0,'Underlying Mechanics'!$B$12*'Underlying Mechanics'!$B$18,0)</x:f>
        <x:v>-17700</x:v>
      </x:c>
      <x:c r="I148" t="n">
        <x:f>((IF(I$1-'Underlying Mechanics'!$B$8&lt;0,0,'Underlying Mechanics'!$B$22*'Underlying Mechanics'!$B$15*INDEX('Underlying Mechanics'!$B$31:$B$51,I$1-'Underlying Mechanics'!$B$8+1)*'Underlying Mechanics'!$B$5))*(1-$A148))-IF(I$1=0,'Underlying Mechanics'!$B$23*(1-$B148),0)-IF(I$1&gt;0,'Underlying Mechanics'!$B$22*'Underlying Mechanics'!$B$17,0)-IF(I$1&gt;0,'Underlying Mechanics'!$B$12*'Underlying Mechanics'!$B$18,0)</x:f>
        <x:v>-13860</x:v>
      </x:c>
      <x:c r="J148" t="n">
        <x:f>((IF(J$1-'Underlying Mechanics'!$B$8&lt;0,0,'Underlying Mechanics'!$B$22*'Underlying Mechanics'!$B$15*INDEX('Underlying Mechanics'!$B$31:$B$51,J$1-'Underlying Mechanics'!$B$8+1)*'Underlying Mechanics'!$B$5))*(1-$A148))-IF(J$1=0,'Underlying Mechanics'!$B$23*(1-$B148),0)-IF(J$1&gt;0,'Underlying Mechanics'!$B$22*'Underlying Mechanics'!$B$17,0)-IF(J$1&gt;0,'Underlying Mechanics'!$B$12*'Underlying Mechanics'!$B$18,0)</x:f>
        <x:v>-9059.999999999996</x:v>
      </x:c>
      <x:c r="K148" t="n">
        <x:f>((IF(K$1-'Underlying Mechanics'!$B$8&lt;0,0,'Underlying Mechanics'!$B$22*'Underlying Mechanics'!$B$15*INDEX('Underlying Mechanics'!$B$31:$B$51,K$1-'Underlying Mechanics'!$B$8+1)*'Underlying Mechanics'!$B$5))*(1-$A148))-IF(K$1=0,'Underlying Mechanics'!$B$23*(1-$B148),0)-IF(K$1&gt;0,'Underlying Mechanics'!$B$22*'Underlying Mechanics'!$B$17,0)-IF(K$1&gt;0,'Underlying Mechanics'!$B$12*'Underlying Mechanics'!$B$18,0)</x:f>
        <x:v>-3300</x:v>
      </x:c>
      <x:c r="L148" t="n">
        <x:f>((IF(L$1-'Underlying Mechanics'!$B$8&lt;0,0,'Underlying Mechanics'!$B$22*'Underlying Mechanics'!$B$15*INDEX('Underlying Mechanics'!$B$31:$B$51,L$1-'Underlying Mechanics'!$B$8+1)*'Underlying Mechanics'!$B$5))*(1-$A148))-IF(L$1=0,'Underlying Mechanics'!$B$23*(1-$B148),0)-IF(L$1&gt;0,'Underlying Mechanics'!$B$22*'Underlying Mechanics'!$B$17,0)-IF(L$1&gt;0,'Underlying Mechanics'!$B$12*'Underlying Mechanics'!$B$18,0)</x:f>
        <x:v>3420</x:v>
      </x:c>
      <x:c r="M148" t="n">
        <x:f>((IF(M$1-'Underlying Mechanics'!$B$8&lt;0,0,'Underlying Mechanics'!$B$22*'Underlying Mechanics'!$B$15*INDEX('Underlying Mechanics'!$B$31:$B$51,M$1-'Underlying Mechanics'!$B$8+1)*'Underlying Mechanics'!$B$5))*(1-$A148))-IF(M$1=0,'Underlying Mechanics'!$B$23*(1-$B148),0)-IF(M$1&gt;0,'Underlying Mechanics'!$B$22*'Underlying Mechanics'!$B$17,0)-IF(M$1&gt;0,'Underlying Mechanics'!$B$12*'Underlying Mechanics'!$B$18,0)</x:f>
        <x:v>10140.000000000007</x:v>
      </x:c>
      <x:c r="N148" t="n">
        <x:f>((IF(N$1-'Underlying Mechanics'!$B$8&lt;0,0,'Underlying Mechanics'!$B$22*'Underlying Mechanics'!$B$15*INDEX('Underlying Mechanics'!$B$31:$B$51,N$1-'Underlying Mechanics'!$B$8+1)*'Underlying Mechanics'!$B$5))*(1-$A148))-IF(N$1=0,'Underlying Mechanics'!$B$23*(1-$B148),0)-IF(N$1&gt;0,'Underlying Mechanics'!$B$22*'Underlying Mechanics'!$B$17,0)-IF(N$1&gt;0,'Underlying Mechanics'!$B$12*'Underlying Mechanics'!$B$18,0)</x:f>
        <x:v>15900</x:v>
      </x:c>
      <x:c r="O148" t="n">
        <x:f>((IF(O$1-'Underlying Mechanics'!$B$8&lt;0,0,'Underlying Mechanics'!$B$22*'Underlying Mechanics'!$B$15*INDEX('Underlying Mechanics'!$B$31:$B$51,O$1-'Underlying Mechanics'!$B$8+1)*'Underlying Mechanics'!$B$5))*(1-$A148))-IF(O$1=0,'Underlying Mechanics'!$B$23*(1-$B148),0)-IF(O$1&gt;0,'Underlying Mechanics'!$B$22*'Underlying Mechanics'!$B$17,0)-IF(O$1&gt;0,'Underlying Mechanics'!$B$12*'Underlying Mechanics'!$B$18,0)</x:f>
        <x:v>20700</x:v>
      </x:c>
      <x:c r="P148" t="n">
        <x:f>((IF(P$1-'Underlying Mechanics'!$B$8&lt;0,0,'Underlying Mechanics'!$B$22*'Underlying Mechanics'!$B$15*INDEX('Underlying Mechanics'!$B$31:$B$51,P$1-'Underlying Mechanics'!$B$8+1)*'Underlying Mechanics'!$B$5))*(1-$A148))-IF(P$1=0,'Underlying Mechanics'!$B$23*(1-$B148),0)-IF(P$1&gt;0,'Underlying Mechanics'!$B$22*'Underlying Mechanics'!$B$17,0)-IF(P$1&gt;0,'Underlying Mechanics'!$B$12*'Underlying Mechanics'!$B$18,0)</x:f>
        <x:v>25500</x:v>
      </x:c>
      <x:c r="Q148" t="n">
        <x:f>((IF(Q$1-'Underlying Mechanics'!$B$8&lt;0,0,'Underlying Mechanics'!$B$22*'Underlying Mechanics'!$B$15*INDEX('Underlying Mechanics'!$B$31:$B$51,Q$1-'Underlying Mechanics'!$B$8+1)*'Underlying Mechanics'!$B$5))*(1-$A148))-IF(Q$1=0,'Underlying Mechanics'!$B$23*(1-$B148),0)-IF(Q$1&gt;0,'Underlying Mechanics'!$B$22*'Underlying Mechanics'!$B$17,0)-IF(Q$1&gt;0,'Underlying Mechanics'!$B$12*'Underlying Mechanics'!$B$18,0)</x:f>
        <x:v>25500</x:v>
      </x:c>
      <x:c r="R148" t="n">
        <x:f>((IF(R$1-'Underlying Mechanics'!$B$8&lt;0,0,'Underlying Mechanics'!$B$22*'Underlying Mechanics'!$B$15*INDEX('Underlying Mechanics'!$B$31:$B$51,R$1-'Underlying Mechanics'!$B$8+1)*'Underlying Mechanics'!$B$5))*(1-$A148))-IF(R$1=0,'Underlying Mechanics'!$B$23*(1-$B148),0)-IF(R$1&gt;0,'Underlying Mechanics'!$B$22*'Underlying Mechanics'!$B$17,0)-IF(R$1&gt;0,'Underlying Mechanics'!$B$12*'Underlying Mechanics'!$B$18,0)</x:f>
        <x:v>25500</x:v>
      </x:c>
      <x:c r="S148" t="n">
        <x:f>((IF(S$1-'Underlying Mechanics'!$B$8&lt;0,0,'Underlying Mechanics'!$B$22*'Underlying Mechanics'!$B$15*INDEX('Underlying Mechanics'!$B$31:$B$51,S$1-'Underlying Mechanics'!$B$8+1)*'Underlying Mechanics'!$B$5))*(1-$A148))-IF(S$1=0,'Underlying Mechanics'!$B$23*(1-$B148),0)-IF(S$1&gt;0,'Underlying Mechanics'!$B$22*'Underlying Mechanics'!$B$17,0)-IF(S$1&gt;0,'Underlying Mechanics'!$B$12*'Underlying Mechanics'!$B$18,0)</x:f>
        <x:v>25500</x:v>
      </x:c>
      <x:c r="T148" t="n">
        <x:f>((IF(T$1-'Underlying Mechanics'!$B$8&lt;0,0,'Underlying Mechanics'!$B$22*'Underlying Mechanics'!$B$15*INDEX('Underlying Mechanics'!$B$31:$B$51,T$1-'Underlying Mechanics'!$B$8+1)*'Underlying Mechanics'!$B$5))*(1-$A148))-IF(T$1=0,'Underlying Mechanics'!$B$23*(1-$B148),0)-IF(T$1&gt;0,'Underlying Mechanics'!$B$22*'Underlying Mechanics'!$B$17,0)-IF(T$1&gt;0,'Underlying Mechanics'!$B$12*'Underlying Mechanics'!$B$18,0)</x:f>
        <x:v>25500</x:v>
      </x:c>
      <x:c r="U148" t="n">
        <x:f>((IF(U$1-'Underlying Mechanics'!$B$8&lt;0,0,'Underlying Mechanics'!$B$22*'Underlying Mechanics'!$B$15*INDEX('Underlying Mechanics'!$B$31:$B$51,U$1-'Underlying Mechanics'!$B$8+1)*'Underlying Mechanics'!$B$5))*(1-$A148))-IF(U$1=0,'Underlying Mechanics'!$B$23*(1-$B148),0)-IF(U$1&gt;0,'Underlying Mechanics'!$B$22*'Underlying Mechanics'!$B$17,0)-IF(U$1&gt;0,'Underlying Mechanics'!$B$12*'Underlying Mechanics'!$B$18,0)</x:f>
        <x:v>25500</x:v>
      </x:c>
      <x:c r="V148" t="n">
        <x:f>((IF(V$1-'Underlying Mechanics'!$B$8&lt;0,0,'Underlying Mechanics'!$B$22*'Underlying Mechanics'!$B$15*INDEX('Underlying Mechanics'!$B$31:$B$51,V$1-'Underlying Mechanics'!$B$8+1)*'Underlying Mechanics'!$B$5))*(1-$A148))-IF(V$1=0,'Underlying Mechanics'!$B$23*(1-$B148),0)-IF(V$1&gt;0,'Underlying Mechanics'!$B$22*'Underlying Mechanics'!$B$17,0)-IF(V$1&gt;0,'Underlying Mechanics'!$B$12*'Underlying Mechanics'!$B$18,0)</x:f>
        <x:v>25500</x:v>
      </x:c>
      <x:c r="W148" t="n">
        <x:f>((IF(W$1-'Underlying Mechanics'!$B$8&lt;0,0,'Underlying Mechanics'!$B$22*'Underlying Mechanics'!$B$15*INDEX('Underlying Mechanics'!$B$31:$B$51,W$1-'Underlying Mechanics'!$B$8+1)*'Underlying Mechanics'!$B$5))*(1-$A148))-IF(W$1=0,'Underlying Mechanics'!$B$23*(1-$B148),0)-IF(W$1&gt;0,'Underlying Mechanics'!$B$22*'Underlying Mechanics'!$B$17,0)-IF(W$1&gt;0,'Underlying Mechanics'!$B$12*'Underlying Mechanics'!$B$18,0)</x:f>
        <x:v>25500</x:v>
      </x:c>
      <x:c r="X148" t="n">
        <x:f>IFERROR(IRR(C148:W148),-1)</x:f>
        <x:v>0.05886039785241856</x:v>
      </x:c>
    </x:row>
    <x:row r="149">
      <x:c r="A149" t="n">
        <x:v>0.7</x:v>
      </x:c>
      <x:c r="B149" t="n">
        <x:v>0</x:v>
      </x:c>
      <x:c r="C149" t="n">
        <x:f>((IF(C$1-'Underlying Mechanics'!$B$8&lt;0,0,'Underlying Mechanics'!$B$22*'Underlying Mechanics'!$B$15*INDEX('Underlying Mechanics'!$B$31:$B$51,C$1-'Underlying Mechanics'!$B$8+1)*'Underlying Mechanics'!$B$5))*(1-$A149))-IF(C$1=0,'Underlying Mechanics'!$B$23*(1-$B149),0)-IF(C$1&gt;0,'Underlying Mechanics'!$B$22*'Underlying Mechanics'!$B$17,0)-IF(C$1&gt;0,'Underlying Mechanics'!$B$12*'Underlying Mechanics'!$B$18,0)</x:f>
        <x:v>-150000</x:v>
      </x:c>
      <x:c r="D149" t="n">
        <x:f>((IF(D$1-'Underlying Mechanics'!$B$8&lt;0,0,'Underlying Mechanics'!$B$22*'Underlying Mechanics'!$B$15*INDEX('Underlying Mechanics'!$B$31:$B$51,D$1-'Underlying Mechanics'!$B$8+1)*'Underlying Mechanics'!$B$5))*(1-$A149))-IF(D$1=0,'Underlying Mechanics'!$B$23*(1-$B149),0)-IF(D$1&gt;0,'Underlying Mechanics'!$B$22*'Underlying Mechanics'!$B$17,0)-IF(D$1&gt;0,'Underlying Mechanics'!$B$12*'Underlying Mechanics'!$B$18,0)</x:f>
        <x:v>-22500</x:v>
      </x:c>
      <x:c r="E149" t="n">
        <x:f>((IF(E$1-'Underlying Mechanics'!$B$8&lt;0,0,'Underlying Mechanics'!$B$22*'Underlying Mechanics'!$B$15*INDEX('Underlying Mechanics'!$B$31:$B$51,E$1-'Underlying Mechanics'!$B$8+1)*'Underlying Mechanics'!$B$5))*(1-$A149))-IF(E$1=0,'Underlying Mechanics'!$B$23*(1-$B149),0)-IF(E$1&gt;0,'Underlying Mechanics'!$B$22*'Underlying Mechanics'!$B$17,0)-IF(E$1&gt;0,'Underlying Mechanics'!$B$12*'Underlying Mechanics'!$B$18,0)</x:f>
        <x:v>-22500</x:v>
      </x:c>
      <x:c r="F149" t="n">
        <x:f>((IF(F$1-'Underlying Mechanics'!$B$8&lt;0,0,'Underlying Mechanics'!$B$22*'Underlying Mechanics'!$B$15*INDEX('Underlying Mechanics'!$B$31:$B$51,F$1-'Underlying Mechanics'!$B$8+1)*'Underlying Mechanics'!$B$5))*(1-$A149))-IF(F$1=0,'Underlying Mechanics'!$B$23*(1-$B149),0)-IF(F$1&gt;0,'Underlying Mechanics'!$B$22*'Underlying Mechanics'!$B$17,0)-IF(F$1&gt;0,'Underlying Mechanics'!$B$12*'Underlying Mechanics'!$B$18,0)</x:f>
        <x:v>-21780</x:v>
      </x:c>
      <x:c r="G149" t="n">
        <x:f>((IF(G$1-'Underlying Mechanics'!$B$8&lt;0,0,'Underlying Mechanics'!$B$22*'Underlying Mechanics'!$B$15*INDEX('Underlying Mechanics'!$B$31:$B$51,G$1-'Underlying Mechanics'!$B$8+1)*'Underlying Mechanics'!$B$5))*(1-$A149))-IF(G$1=0,'Underlying Mechanics'!$B$23*(1-$B149),0)-IF(G$1&gt;0,'Underlying Mechanics'!$B$22*'Underlying Mechanics'!$B$17,0)-IF(G$1&gt;0,'Underlying Mechanics'!$B$12*'Underlying Mechanics'!$B$18,0)</x:f>
        <x:v>-20700</x:v>
      </x:c>
      <x:c r="H149" t="n">
        <x:f>((IF(H$1-'Underlying Mechanics'!$B$8&lt;0,0,'Underlying Mechanics'!$B$22*'Underlying Mechanics'!$B$15*INDEX('Underlying Mechanics'!$B$31:$B$51,H$1-'Underlying Mechanics'!$B$8+1)*'Underlying Mechanics'!$B$5))*(1-$A149))-IF(H$1=0,'Underlying Mechanics'!$B$23*(1-$B149),0)-IF(H$1&gt;0,'Underlying Mechanics'!$B$22*'Underlying Mechanics'!$B$17,0)-IF(H$1&gt;0,'Underlying Mechanics'!$B$12*'Underlying Mechanics'!$B$18,0)</x:f>
        <x:v>-18900</x:v>
      </x:c>
      <x:c r="I149" t="n">
        <x:f>((IF(I$1-'Underlying Mechanics'!$B$8&lt;0,0,'Underlying Mechanics'!$B$22*'Underlying Mechanics'!$B$15*INDEX('Underlying Mechanics'!$B$31:$B$51,I$1-'Underlying Mechanics'!$B$8+1)*'Underlying Mechanics'!$B$5))*(1-$A149))-IF(I$1=0,'Underlying Mechanics'!$B$23*(1-$B149),0)-IF(I$1&gt;0,'Underlying Mechanics'!$B$22*'Underlying Mechanics'!$B$17,0)-IF(I$1&gt;0,'Underlying Mechanics'!$B$12*'Underlying Mechanics'!$B$18,0)</x:f>
        <x:v>-16020</x:v>
      </x:c>
      <x:c r="J149" t="n">
        <x:f>((IF(J$1-'Underlying Mechanics'!$B$8&lt;0,0,'Underlying Mechanics'!$B$22*'Underlying Mechanics'!$B$15*INDEX('Underlying Mechanics'!$B$31:$B$51,J$1-'Underlying Mechanics'!$B$8+1)*'Underlying Mechanics'!$B$5))*(1-$A149))-IF(J$1=0,'Underlying Mechanics'!$B$23*(1-$B149),0)-IF(J$1&gt;0,'Underlying Mechanics'!$B$22*'Underlying Mechanics'!$B$17,0)-IF(J$1&gt;0,'Underlying Mechanics'!$B$12*'Underlying Mechanics'!$B$18,0)</x:f>
        <x:v>-12419.999999999996</x:v>
      </x:c>
      <x:c r="K149" t="n">
        <x:f>((IF(K$1-'Underlying Mechanics'!$B$8&lt;0,0,'Underlying Mechanics'!$B$22*'Underlying Mechanics'!$B$15*INDEX('Underlying Mechanics'!$B$31:$B$51,K$1-'Underlying Mechanics'!$B$8+1)*'Underlying Mechanics'!$B$5))*(1-$A149))-IF(K$1=0,'Underlying Mechanics'!$B$23*(1-$B149),0)-IF(K$1&gt;0,'Underlying Mechanics'!$B$22*'Underlying Mechanics'!$B$17,0)-IF(K$1&gt;0,'Underlying Mechanics'!$B$12*'Underlying Mechanics'!$B$18,0)</x:f>
        <x:v>-8099.999999999998</x:v>
      </x:c>
      <x:c r="L149" t="n">
        <x:f>((IF(L$1-'Underlying Mechanics'!$B$8&lt;0,0,'Underlying Mechanics'!$B$22*'Underlying Mechanics'!$B$15*INDEX('Underlying Mechanics'!$B$31:$B$51,L$1-'Underlying Mechanics'!$B$8+1)*'Underlying Mechanics'!$B$5))*(1-$A149))-IF(L$1=0,'Underlying Mechanics'!$B$23*(1-$B149),0)-IF(L$1&gt;0,'Underlying Mechanics'!$B$22*'Underlying Mechanics'!$B$17,0)-IF(L$1&gt;0,'Underlying Mechanics'!$B$12*'Underlying Mechanics'!$B$18,0)</x:f>
        <x:v>-3059.9999999999964</x:v>
      </x:c>
      <x:c r="M149" t="n">
        <x:f>((IF(M$1-'Underlying Mechanics'!$B$8&lt;0,0,'Underlying Mechanics'!$B$22*'Underlying Mechanics'!$B$15*INDEX('Underlying Mechanics'!$B$31:$B$51,M$1-'Underlying Mechanics'!$B$8+1)*'Underlying Mechanics'!$B$5))*(1-$A149))-IF(M$1=0,'Underlying Mechanics'!$B$23*(1-$B149),0)-IF(M$1&gt;0,'Underlying Mechanics'!$B$22*'Underlying Mechanics'!$B$17,0)-IF(M$1&gt;0,'Underlying Mechanics'!$B$12*'Underlying Mechanics'!$B$18,0)</x:f>
        <x:v>1980.0000000000073</x:v>
      </x:c>
      <x:c r="N149" t="n">
        <x:f>((IF(N$1-'Underlying Mechanics'!$B$8&lt;0,0,'Underlying Mechanics'!$B$22*'Underlying Mechanics'!$B$15*INDEX('Underlying Mechanics'!$B$31:$B$51,N$1-'Underlying Mechanics'!$B$8+1)*'Underlying Mechanics'!$B$5))*(1-$A149))-IF(N$1=0,'Underlying Mechanics'!$B$23*(1-$B149),0)-IF(N$1&gt;0,'Underlying Mechanics'!$B$22*'Underlying Mechanics'!$B$17,0)-IF(N$1&gt;0,'Underlying Mechanics'!$B$12*'Underlying Mechanics'!$B$18,0)</x:f>
        <x:v>6300.000000000004</x:v>
      </x:c>
      <x:c r="O149" t="n">
        <x:f>((IF(O$1-'Underlying Mechanics'!$B$8&lt;0,0,'Underlying Mechanics'!$B$22*'Underlying Mechanics'!$B$15*INDEX('Underlying Mechanics'!$B$31:$B$51,O$1-'Underlying Mechanics'!$B$8+1)*'Underlying Mechanics'!$B$5))*(1-$A149))-IF(O$1=0,'Underlying Mechanics'!$B$23*(1-$B149),0)-IF(O$1&gt;0,'Underlying Mechanics'!$B$22*'Underlying Mechanics'!$B$17,0)-IF(O$1&gt;0,'Underlying Mechanics'!$B$12*'Underlying Mechanics'!$B$18,0)</x:f>
        <x:v>9900.000000000004</x:v>
      </x:c>
      <x:c r="P149" t="n">
        <x:f>((IF(P$1-'Underlying Mechanics'!$B$8&lt;0,0,'Underlying Mechanics'!$B$22*'Underlying Mechanics'!$B$15*INDEX('Underlying Mechanics'!$B$31:$B$51,P$1-'Underlying Mechanics'!$B$8+1)*'Underlying Mechanics'!$B$5))*(1-$A149))-IF(P$1=0,'Underlying Mechanics'!$B$23*(1-$B149),0)-IF(P$1&gt;0,'Underlying Mechanics'!$B$22*'Underlying Mechanics'!$B$17,0)-IF(P$1&gt;0,'Underlying Mechanics'!$B$12*'Underlying Mechanics'!$B$18,0)</x:f>
        <x:v>13500.000000000007</x:v>
      </x:c>
      <x:c r="Q149" t="n">
        <x:f>((IF(Q$1-'Underlying Mechanics'!$B$8&lt;0,0,'Underlying Mechanics'!$B$22*'Underlying Mechanics'!$B$15*INDEX('Underlying Mechanics'!$B$31:$B$51,Q$1-'Underlying Mechanics'!$B$8+1)*'Underlying Mechanics'!$B$5))*(1-$A149))-IF(Q$1=0,'Underlying Mechanics'!$B$23*(1-$B149),0)-IF(Q$1&gt;0,'Underlying Mechanics'!$B$22*'Underlying Mechanics'!$B$17,0)-IF(Q$1&gt;0,'Underlying Mechanics'!$B$12*'Underlying Mechanics'!$B$18,0)</x:f>
        <x:v>13500.000000000007</x:v>
      </x:c>
      <x:c r="R149" t="n">
        <x:f>((IF(R$1-'Underlying Mechanics'!$B$8&lt;0,0,'Underlying Mechanics'!$B$22*'Underlying Mechanics'!$B$15*INDEX('Underlying Mechanics'!$B$31:$B$51,R$1-'Underlying Mechanics'!$B$8+1)*'Underlying Mechanics'!$B$5))*(1-$A149))-IF(R$1=0,'Underlying Mechanics'!$B$23*(1-$B149),0)-IF(R$1&gt;0,'Underlying Mechanics'!$B$22*'Underlying Mechanics'!$B$17,0)-IF(R$1&gt;0,'Underlying Mechanics'!$B$12*'Underlying Mechanics'!$B$18,0)</x:f>
        <x:v>13500.000000000007</x:v>
      </x:c>
      <x:c r="S149" t="n">
        <x:f>((IF(S$1-'Underlying Mechanics'!$B$8&lt;0,0,'Underlying Mechanics'!$B$22*'Underlying Mechanics'!$B$15*INDEX('Underlying Mechanics'!$B$31:$B$51,S$1-'Underlying Mechanics'!$B$8+1)*'Underlying Mechanics'!$B$5))*(1-$A149))-IF(S$1=0,'Underlying Mechanics'!$B$23*(1-$B149),0)-IF(S$1&gt;0,'Underlying Mechanics'!$B$22*'Underlying Mechanics'!$B$17,0)-IF(S$1&gt;0,'Underlying Mechanics'!$B$12*'Underlying Mechanics'!$B$18,0)</x:f>
        <x:v>13500.000000000007</x:v>
      </x:c>
      <x:c r="T149" t="n">
        <x:f>((IF(T$1-'Underlying Mechanics'!$B$8&lt;0,0,'Underlying Mechanics'!$B$22*'Underlying Mechanics'!$B$15*INDEX('Underlying Mechanics'!$B$31:$B$51,T$1-'Underlying Mechanics'!$B$8+1)*'Underlying Mechanics'!$B$5))*(1-$A149))-IF(T$1=0,'Underlying Mechanics'!$B$23*(1-$B149),0)-IF(T$1&gt;0,'Underlying Mechanics'!$B$22*'Underlying Mechanics'!$B$17,0)-IF(T$1&gt;0,'Underlying Mechanics'!$B$12*'Underlying Mechanics'!$B$18,0)</x:f>
        <x:v>13500.000000000007</x:v>
      </x:c>
      <x:c r="U149" t="n">
        <x:f>((IF(U$1-'Underlying Mechanics'!$B$8&lt;0,0,'Underlying Mechanics'!$B$22*'Underlying Mechanics'!$B$15*INDEX('Underlying Mechanics'!$B$31:$B$51,U$1-'Underlying Mechanics'!$B$8+1)*'Underlying Mechanics'!$B$5))*(1-$A149))-IF(U$1=0,'Underlying Mechanics'!$B$23*(1-$B149),0)-IF(U$1&gt;0,'Underlying Mechanics'!$B$22*'Underlying Mechanics'!$B$17,0)-IF(U$1&gt;0,'Underlying Mechanics'!$B$12*'Underlying Mechanics'!$B$18,0)</x:f>
        <x:v>13500.000000000007</x:v>
      </x:c>
      <x:c r="V149" t="n">
        <x:f>((IF(V$1-'Underlying Mechanics'!$B$8&lt;0,0,'Underlying Mechanics'!$B$22*'Underlying Mechanics'!$B$15*INDEX('Underlying Mechanics'!$B$31:$B$51,V$1-'Underlying Mechanics'!$B$8+1)*'Underlying Mechanics'!$B$5))*(1-$A149))-IF(V$1=0,'Underlying Mechanics'!$B$23*(1-$B149),0)-IF(V$1&gt;0,'Underlying Mechanics'!$B$22*'Underlying Mechanics'!$B$17,0)-IF(V$1&gt;0,'Underlying Mechanics'!$B$12*'Underlying Mechanics'!$B$18,0)</x:f>
        <x:v>13500.000000000007</x:v>
      </x:c>
      <x:c r="W149" t="n">
        <x:f>((IF(W$1-'Underlying Mechanics'!$B$8&lt;0,0,'Underlying Mechanics'!$B$22*'Underlying Mechanics'!$B$15*INDEX('Underlying Mechanics'!$B$31:$B$51,W$1-'Underlying Mechanics'!$B$8+1)*'Underlying Mechanics'!$B$5))*(1-$A149))-IF(W$1=0,'Underlying Mechanics'!$B$23*(1-$B149),0)-IF(W$1&gt;0,'Underlying Mechanics'!$B$22*'Underlying Mechanics'!$B$17,0)-IF(W$1&gt;0,'Underlying Mechanics'!$B$12*'Underlying Mechanics'!$B$18,0)</x:f>
        <x:v>13500.000000000007</x:v>
      </x:c>
      <x:c r="X149" t="n">
        <x:f>IFERROR(IRR(C149:W149),-1)</x:f>
        <x:v>-0.059831812509336404</x:v>
      </x:c>
    </x:row>
    <x:row r="150">
      <x:c r="A150" t="n">
        <x:v>0.7</x:v>
      </x:c>
      <x:c r="B150" t="n">
        <x:v>0.05</x:v>
      </x:c>
      <x:c r="C150" t="n">
        <x:f>((IF(C$1-'Underlying Mechanics'!$B$8&lt;0,0,'Underlying Mechanics'!$B$22*'Underlying Mechanics'!$B$15*INDEX('Underlying Mechanics'!$B$31:$B$51,C$1-'Underlying Mechanics'!$B$8+1)*'Underlying Mechanics'!$B$5))*(1-$A150))-IF(C$1=0,'Underlying Mechanics'!$B$23*(1-$B150),0)-IF(C$1&gt;0,'Underlying Mechanics'!$B$22*'Underlying Mechanics'!$B$17,0)-IF(C$1&gt;0,'Underlying Mechanics'!$B$12*'Underlying Mechanics'!$B$18,0)</x:f>
        <x:v>-142500</x:v>
      </x:c>
      <x:c r="D150" t="n">
        <x:f>((IF(D$1-'Underlying Mechanics'!$B$8&lt;0,0,'Underlying Mechanics'!$B$22*'Underlying Mechanics'!$B$15*INDEX('Underlying Mechanics'!$B$31:$B$51,D$1-'Underlying Mechanics'!$B$8+1)*'Underlying Mechanics'!$B$5))*(1-$A150))-IF(D$1=0,'Underlying Mechanics'!$B$23*(1-$B150),0)-IF(D$1&gt;0,'Underlying Mechanics'!$B$22*'Underlying Mechanics'!$B$17,0)-IF(D$1&gt;0,'Underlying Mechanics'!$B$12*'Underlying Mechanics'!$B$18,0)</x:f>
        <x:v>-22500</x:v>
      </x:c>
      <x:c r="E150" t="n">
        <x:f>((IF(E$1-'Underlying Mechanics'!$B$8&lt;0,0,'Underlying Mechanics'!$B$22*'Underlying Mechanics'!$B$15*INDEX('Underlying Mechanics'!$B$31:$B$51,E$1-'Underlying Mechanics'!$B$8+1)*'Underlying Mechanics'!$B$5))*(1-$A150))-IF(E$1=0,'Underlying Mechanics'!$B$23*(1-$B150),0)-IF(E$1&gt;0,'Underlying Mechanics'!$B$22*'Underlying Mechanics'!$B$17,0)-IF(E$1&gt;0,'Underlying Mechanics'!$B$12*'Underlying Mechanics'!$B$18,0)</x:f>
        <x:v>-22500</x:v>
      </x:c>
      <x:c r="F150" t="n">
        <x:f>((IF(F$1-'Underlying Mechanics'!$B$8&lt;0,0,'Underlying Mechanics'!$B$22*'Underlying Mechanics'!$B$15*INDEX('Underlying Mechanics'!$B$31:$B$51,F$1-'Underlying Mechanics'!$B$8+1)*'Underlying Mechanics'!$B$5))*(1-$A150))-IF(F$1=0,'Underlying Mechanics'!$B$23*(1-$B150),0)-IF(F$1&gt;0,'Underlying Mechanics'!$B$22*'Underlying Mechanics'!$B$17,0)-IF(F$1&gt;0,'Underlying Mechanics'!$B$12*'Underlying Mechanics'!$B$18,0)</x:f>
        <x:v>-21780</x:v>
      </x:c>
      <x:c r="G150" t="n">
        <x:f>((IF(G$1-'Underlying Mechanics'!$B$8&lt;0,0,'Underlying Mechanics'!$B$22*'Underlying Mechanics'!$B$15*INDEX('Underlying Mechanics'!$B$31:$B$51,G$1-'Underlying Mechanics'!$B$8+1)*'Underlying Mechanics'!$B$5))*(1-$A150))-IF(G$1=0,'Underlying Mechanics'!$B$23*(1-$B150),0)-IF(G$1&gt;0,'Underlying Mechanics'!$B$22*'Underlying Mechanics'!$B$17,0)-IF(G$1&gt;0,'Underlying Mechanics'!$B$12*'Underlying Mechanics'!$B$18,0)</x:f>
        <x:v>-20700</x:v>
      </x:c>
      <x:c r="H150" t="n">
        <x:f>((IF(H$1-'Underlying Mechanics'!$B$8&lt;0,0,'Underlying Mechanics'!$B$22*'Underlying Mechanics'!$B$15*INDEX('Underlying Mechanics'!$B$31:$B$51,H$1-'Underlying Mechanics'!$B$8+1)*'Underlying Mechanics'!$B$5))*(1-$A150))-IF(H$1=0,'Underlying Mechanics'!$B$23*(1-$B150),0)-IF(H$1&gt;0,'Underlying Mechanics'!$B$22*'Underlying Mechanics'!$B$17,0)-IF(H$1&gt;0,'Underlying Mechanics'!$B$12*'Underlying Mechanics'!$B$18,0)</x:f>
        <x:v>-18900</x:v>
      </x:c>
      <x:c r="I150" t="n">
        <x:f>((IF(I$1-'Underlying Mechanics'!$B$8&lt;0,0,'Underlying Mechanics'!$B$22*'Underlying Mechanics'!$B$15*INDEX('Underlying Mechanics'!$B$31:$B$51,I$1-'Underlying Mechanics'!$B$8+1)*'Underlying Mechanics'!$B$5))*(1-$A150))-IF(I$1=0,'Underlying Mechanics'!$B$23*(1-$B150),0)-IF(I$1&gt;0,'Underlying Mechanics'!$B$22*'Underlying Mechanics'!$B$17,0)-IF(I$1&gt;0,'Underlying Mechanics'!$B$12*'Underlying Mechanics'!$B$18,0)</x:f>
        <x:v>-16020</x:v>
      </x:c>
      <x:c r="J150" t="n">
        <x:f>((IF(J$1-'Underlying Mechanics'!$B$8&lt;0,0,'Underlying Mechanics'!$B$22*'Underlying Mechanics'!$B$15*INDEX('Underlying Mechanics'!$B$31:$B$51,J$1-'Underlying Mechanics'!$B$8+1)*'Underlying Mechanics'!$B$5))*(1-$A150))-IF(J$1=0,'Underlying Mechanics'!$B$23*(1-$B150),0)-IF(J$1&gt;0,'Underlying Mechanics'!$B$22*'Underlying Mechanics'!$B$17,0)-IF(J$1&gt;0,'Underlying Mechanics'!$B$12*'Underlying Mechanics'!$B$18,0)</x:f>
        <x:v>-12419.999999999996</x:v>
      </x:c>
      <x:c r="K150" t="n">
        <x:f>((IF(K$1-'Underlying Mechanics'!$B$8&lt;0,0,'Underlying Mechanics'!$B$22*'Underlying Mechanics'!$B$15*INDEX('Underlying Mechanics'!$B$31:$B$51,K$1-'Underlying Mechanics'!$B$8+1)*'Underlying Mechanics'!$B$5))*(1-$A150))-IF(K$1=0,'Underlying Mechanics'!$B$23*(1-$B150),0)-IF(K$1&gt;0,'Underlying Mechanics'!$B$22*'Underlying Mechanics'!$B$17,0)-IF(K$1&gt;0,'Underlying Mechanics'!$B$12*'Underlying Mechanics'!$B$18,0)</x:f>
        <x:v>-8099.999999999998</x:v>
      </x:c>
      <x:c r="L150" t="n">
        <x:f>((IF(L$1-'Underlying Mechanics'!$B$8&lt;0,0,'Underlying Mechanics'!$B$22*'Underlying Mechanics'!$B$15*INDEX('Underlying Mechanics'!$B$31:$B$51,L$1-'Underlying Mechanics'!$B$8+1)*'Underlying Mechanics'!$B$5))*(1-$A150))-IF(L$1=0,'Underlying Mechanics'!$B$23*(1-$B150),0)-IF(L$1&gt;0,'Underlying Mechanics'!$B$22*'Underlying Mechanics'!$B$17,0)-IF(L$1&gt;0,'Underlying Mechanics'!$B$12*'Underlying Mechanics'!$B$18,0)</x:f>
        <x:v>-3059.9999999999964</x:v>
      </x:c>
      <x:c r="M150" t="n">
        <x:f>((IF(M$1-'Underlying Mechanics'!$B$8&lt;0,0,'Underlying Mechanics'!$B$22*'Underlying Mechanics'!$B$15*INDEX('Underlying Mechanics'!$B$31:$B$51,M$1-'Underlying Mechanics'!$B$8+1)*'Underlying Mechanics'!$B$5))*(1-$A150))-IF(M$1=0,'Underlying Mechanics'!$B$23*(1-$B150),0)-IF(M$1&gt;0,'Underlying Mechanics'!$B$22*'Underlying Mechanics'!$B$17,0)-IF(M$1&gt;0,'Underlying Mechanics'!$B$12*'Underlying Mechanics'!$B$18,0)</x:f>
        <x:v>1980.0000000000073</x:v>
      </x:c>
      <x:c r="N150" t="n">
        <x:f>((IF(N$1-'Underlying Mechanics'!$B$8&lt;0,0,'Underlying Mechanics'!$B$22*'Underlying Mechanics'!$B$15*INDEX('Underlying Mechanics'!$B$31:$B$51,N$1-'Underlying Mechanics'!$B$8+1)*'Underlying Mechanics'!$B$5))*(1-$A150))-IF(N$1=0,'Underlying Mechanics'!$B$23*(1-$B150),0)-IF(N$1&gt;0,'Underlying Mechanics'!$B$22*'Underlying Mechanics'!$B$17,0)-IF(N$1&gt;0,'Underlying Mechanics'!$B$12*'Underlying Mechanics'!$B$18,0)</x:f>
        <x:v>6300.000000000004</x:v>
      </x:c>
      <x:c r="O150" t="n">
        <x:f>((IF(O$1-'Underlying Mechanics'!$B$8&lt;0,0,'Underlying Mechanics'!$B$22*'Underlying Mechanics'!$B$15*INDEX('Underlying Mechanics'!$B$31:$B$51,O$1-'Underlying Mechanics'!$B$8+1)*'Underlying Mechanics'!$B$5))*(1-$A150))-IF(O$1=0,'Underlying Mechanics'!$B$23*(1-$B150),0)-IF(O$1&gt;0,'Underlying Mechanics'!$B$22*'Underlying Mechanics'!$B$17,0)-IF(O$1&gt;0,'Underlying Mechanics'!$B$12*'Underlying Mechanics'!$B$18,0)</x:f>
        <x:v>9900.000000000004</x:v>
      </x:c>
      <x:c r="P150" t="n">
        <x:f>((IF(P$1-'Underlying Mechanics'!$B$8&lt;0,0,'Underlying Mechanics'!$B$22*'Underlying Mechanics'!$B$15*INDEX('Underlying Mechanics'!$B$31:$B$51,P$1-'Underlying Mechanics'!$B$8+1)*'Underlying Mechanics'!$B$5))*(1-$A150))-IF(P$1=0,'Underlying Mechanics'!$B$23*(1-$B150),0)-IF(P$1&gt;0,'Underlying Mechanics'!$B$22*'Underlying Mechanics'!$B$17,0)-IF(P$1&gt;0,'Underlying Mechanics'!$B$12*'Underlying Mechanics'!$B$18,0)</x:f>
        <x:v>13500.000000000007</x:v>
      </x:c>
      <x:c r="Q150" t="n">
        <x:f>((IF(Q$1-'Underlying Mechanics'!$B$8&lt;0,0,'Underlying Mechanics'!$B$22*'Underlying Mechanics'!$B$15*INDEX('Underlying Mechanics'!$B$31:$B$51,Q$1-'Underlying Mechanics'!$B$8+1)*'Underlying Mechanics'!$B$5))*(1-$A150))-IF(Q$1=0,'Underlying Mechanics'!$B$23*(1-$B150),0)-IF(Q$1&gt;0,'Underlying Mechanics'!$B$22*'Underlying Mechanics'!$B$17,0)-IF(Q$1&gt;0,'Underlying Mechanics'!$B$12*'Underlying Mechanics'!$B$18,0)</x:f>
        <x:v>13500.000000000007</x:v>
      </x:c>
      <x:c r="R150" t="n">
        <x:f>((IF(R$1-'Underlying Mechanics'!$B$8&lt;0,0,'Underlying Mechanics'!$B$22*'Underlying Mechanics'!$B$15*INDEX('Underlying Mechanics'!$B$31:$B$51,R$1-'Underlying Mechanics'!$B$8+1)*'Underlying Mechanics'!$B$5))*(1-$A150))-IF(R$1=0,'Underlying Mechanics'!$B$23*(1-$B150),0)-IF(R$1&gt;0,'Underlying Mechanics'!$B$22*'Underlying Mechanics'!$B$17,0)-IF(R$1&gt;0,'Underlying Mechanics'!$B$12*'Underlying Mechanics'!$B$18,0)</x:f>
        <x:v>13500.000000000007</x:v>
      </x:c>
      <x:c r="S150" t="n">
        <x:f>((IF(S$1-'Underlying Mechanics'!$B$8&lt;0,0,'Underlying Mechanics'!$B$22*'Underlying Mechanics'!$B$15*INDEX('Underlying Mechanics'!$B$31:$B$51,S$1-'Underlying Mechanics'!$B$8+1)*'Underlying Mechanics'!$B$5))*(1-$A150))-IF(S$1=0,'Underlying Mechanics'!$B$23*(1-$B150),0)-IF(S$1&gt;0,'Underlying Mechanics'!$B$22*'Underlying Mechanics'!$B$17,0)-IF(S$1&gt;0,'Underlying Mechanics'!$B$12*'Underlying Mechanics'!$B$18,0)</x:f>
        <x:v>13500.000000000007</x:v>
      </x:c>
      <x:c r="T150" t="n">
        <x:f>((IF(T$1-'Underlying Mechanics'!$B$8&lt;0,0,'Underlying Mechanics'!$B$22*'Underlying Mechanics'!$B$15*INDEX('Underlying Mechanics'!$B$31:$B$51,T$1-'Underlying Mechanics'!$B$8+1)*'Underlying Mechanics'!$B$5))*(1-$A150))-IF(T$1=0,'Underlying Mechanics'!$B$23*(1-$B150),0)-IF(T$1&gt;0,'Underlying Mechanics'!$B$22*'Underlying Mechanics'!$B$17,0)-IF(T$1&gt;0,'Underlying Mechanics'!$B$12*'Underlying Mechanics'!$B$18,0)</x:f>
        <x:v>13500.000000000007</x:v>
      </x:c>
      <x:c r="U150" t="n">
        <x:f>((IF(U$1-'Underlying Mechanics'!$B$8&lt;0,0,'Underlying Mechanics'!$B$22*'Underlying Mechanics'!$B$15*INDEX('Underlying Mechanics'!$B$31:$B$51,U$1-'Underlying Mechanics'!$B$8+1)*'Underlying Mechanics'!$B$5))*(1-$A150))-IF(U$1=0,'Underlying Mechanics'!$B$23*(1-$B150),0)-IF(U$1&gt;0,'Underlying Mechanics'!$B$22*'Underlying Mechanics'!$B$17,0)-IF(U$1&gt;0,'Underlying Mechanics'!$B$12*'Underlying Mechanics'!$B$18,0)</x:f>
        <x:v>13500.000000000007</x:v>
      </x:c>
      <x:c r="V150" t="n">
        <x:f>((IF(V$1-'Underlying Mechanics'!$B$8&lt;0,0,'Underlying Mechanics'!$B$22*'Underlying Mechanics'!$B$15*INDEX('Underlying Mechanics'!$B$31:$B$51,V$1-'Underlying Mechanics'!$B$8+1)*'Underlying Mechanics'!$B$5))*(1-$A150))-IF(V$1=0,'Underlying Mechanics'!$B$23*(1-$B150),0)-IF(V$1&gt;0,'Underlying Mechanics'!$B$22*'Underlying Mechanics'!$B$17,0)-IF(V$1&gt;0,'Underlying Mechanics'!$B$12*'Underlying Mechanics'!$B$18,0)</x:f>
        <x:v>13500.000000000007</x:v>
      </x:c>
      <x:c r="W150" t="n">
        <x:f>((IF(W$1-'Underlying Mechanics'!$B$8&lt;0,0,'Underlying Mechanics'!$B$22*'Underlying Mechanics'!$B$15*INDEX('Underlying Mechanics'!$B$31:$B$51,W$1-'Underlying Mechanics'!$B$8+1)*'Underlying Mechanics'!$B$5))*(1-$A150))-IF(W$1=0,'Underlying Mechanics'!$B$23*(1-$B150),0)-IF(W$1&gt;0,'Underlying Mechanics'!$B$22*'Underlying Mechanics'!$B$17,0)-IF(W$1&gt;0,'Underlying Mechanics'!$B$12*'Underlying Mechanics'!$B$18,0)</x:f>
        <x:v>13500.000000000007</x:v>
      </x:c>
      <x:c r="X150" t="n">
        <x:f>IFERROR(IRR(C150:W150),-1)</x:f>
        <x:v>-0.058302831813377115</x:v>
      </x:c>
    </x:row>
    <x:row r="151">
      <x:c r="A151" t="n">
        <x:v>0.7</x:v>
      </x:c>
      <x:c r="B151" t="n">
        <x:v>0.1</x:v>
      </x:c>
      <x:c r="C151" t="n">
        <x:f>((IF(C$1-'Underlying Mechanics'!$B$8&lt;0,0,'Underlying Mechanics'!$B$22*'Underlying Mechanics'!$B$15*INDEX('Underlying Mechanics'!$B$31:$B$51,C$1-'Underlying Mechanics'!$B$8+1)*'Underlying Mechanics'!$B$5))*(1-$A151))-IF(C$1=0,'Underlying Mechanics'!$B$23*(1-$B151),0)-IF(C$1&gt;0,'Underlying Mechanics'!$B$22*'Underlying Mechanics'!$B$17,0)-IF(C$1&gt;0,'Underlying Mechanics'!$B$12*'Underlying Mechanics'!$B$18,0)</x:f>
        <x:v>-135000</x:v>
      </x:c>
      <x:c r="D151" t="n">
        <x:f>((IF(D$1-'Underlying Mechanics'!$B$8&lt;0,0,'Underlying Mechanics'!$B$22*'Underlying Mechanics'!$B$15*INDEX('Underlying Mechanics'!$B$31:$B$51,D$1-'Underlying Mechanics'!$B$8+1)*'Underlying Mechanics'!$B$5))*(1-$A151))-IF(D$1=0,'Underlying Mechanics'!$B$23*(1-$B151),0)-IF(D$1&gt;0,'Underlying Mechanics'!$B$22*'Underlying Mechanics'!$B$17,0)-IF(D$1&gt;0,'Underlying Mechanics'!$B$12*'Underlying Mechanics'!$B$18,0)</x:f>
        <x:v>-22500</x:v>
      </x:c>
      <x:c r="E151" t="n">
        <x:f>((IF(E$1-'Underlying Mechanics'!$B$8&lt;0,0,'Underlying Mechanics'!$B$22*'Underlying Mechanics'!$B$15*INDEX('Underlying Mechanics'!$B$31:$B$51,E$1-'Underlying Mechanics'!$B$8+1)*'Underlying Mechanics'!$B$5))*(1-$A151))-IF(E$1=0,'Underlying Mechanics'!$B$23*(1-$B151),0)-IF(E$1&gt;0,'Underlying Mechanics'!$B$22*'Underlying Mechanics'!$B$17,0)-IF(E$1&gt;0,'Underlying Mechanics'!$B$12*'Underlying Mechanics'!$B$18,0)</x:f>
        <x:v>-22500</x:v>
      </x:c>
      <x:c r="F151" t="n">
        <x:f>((IF(F$1-'Underlying Mechanics'!$B$8&lt;0,0,'Underlying Mechanics'!$B$22*'Underlying Mechanics'!$B$15*INDEX('Underlying Mechanics'!$B$31:$B$51,F$1-'Underlying Mechanics'!$B$8+1)*'Underlying Mechanics'!$B$5))*(1-$A151))-IF(F$1=0,'Underlying Mechanics'!$B$23*(1-$B151),0)-IF(F$1&gt;0,'Underlying Mechanics'!$B$22*'Underlying Mechanics'!$B$17,0)-IF(F$1&gt;0,'Underlying Mechanics'!$B$12*'Underlying Mechanics'!$B$18,0)</x:f>
        <x:v>-21780</x:v>
      </x:c>
      <x:c r="G151" t="n">
        <x:f>((IF(G$1-'Underlying Mechanics'!$B$8&lt;0,0,'Underlying Mechanics'!$B$22*'Underlying Mechanics'!$B$15*INDEX('Underlying Mechanics'!$B$31:$B$51,G$1-'Underlying Mechanics'!$B$8+1)*'Underlying Mechanics'!$B$5))*(1-$A151))-IF(G$1=0,'Underlying Mechanics'!$B$23*(1-$B151),0)-IF(G$1&gt;0,'Underlying Mechanics'!$B$22*'Underlying Mechanics'!$B$17,0)-IF(G$1&gt;0,'Underlying Mechanics'!$B$12*'Underlying Mechanics'!$B$18,0)</x:f>
        <x:v>-20700</x:v>
      </x:c>
      <x:c r="H151" t="n">
        <x:f>((IF(H$1-'Underlying Mechanics'!$B$8&lt;0,0,'Underlying Mechanics'!$B$22*'Underlying Mechanics'!$B$15*INDEX('Underlying Mechanics'!$B$31:$B$51,H$1-'Underlying Mechanics'!$B$8+1)*'Underlying Mechanics'!$B$5))*(1-$A151))-IF(H$1=0,'Underlying Mechanics'!$B$23*(1-$B151),0)-IF(H$1&gt;0,'Underlying Mechanics'!$B$22*'Underlying Mechanics'!$B$17,0)-IF(H$1&gt;0,'Underlying Mechanics'!$B$12*'Underlying Mechanics'!$B$18,0)</x:f>
        <x:v>-18900</x:v>
      </x:c>
      <x:c r="I151" t="n">
        <x:f>((IF(I$1-'Underlying Mechanics'!$B$8&lt;0,0,'Underlying Mechanics'!$B$22*'Underlying Mechanics'!$B$15*INDEX('Underlying Mechanics'!$B$31:$B$51,I$1-'Underlying Mechanics'!$B$8+1)*'Underlying Mechanics'!$B$5))*(1-$A151))-IF(I$1=0,'Underlying Mechanics'!$B$23*(1-$B151),0)-IF(I$1&gt;0,'Underlying Mechanics'!$B$22*'Underlying Mechanics'!$B$17,0)-IF(I$1&gt;0,'Underlying Mechanics'!$B$12*'Underlying Mechanics'!$B$18,0)</x:f>
        <x:v>-16020</x:v>
      </x:c>
      <x:c r="J151" t="n">
        <x:f>((IF(J$1-'Underlying Mechanics'!$B$8&lt;0,0,'Underlying Mechanics'!$B$22*'Underlying Mechanics'!$B$15*INDEX('Underlying Mechanics'!$B$31:$B$51,J$1-'Underlying Mechanics'!$B$8+1)*'Underlying Mechanics'!$B$5))*(1-$A151))-IF(J$1=0,'Underlying Mechanics'!$B$23*(1-$B151),0)-IF(J$1&gt;0,'Underlying Mechanics'!$B$22*'Underlying Mechanics'!$B$17,0)-IF(J$1&gt;0,'Underlying Mechanics'!$B$12*'Underlying Mechanics'!$B$18,0)</x:f>
        <x:v>-12419.999999999996</x:v>
      </x:c>
      <x:c r="K151" t="n">
        <x:f>((IF(K$1-'Underlying Mechanics'!$B$8&lt;0,0,'Underlying Mechanics'!$B$22*'Underlying Mechanics'!$B$15*INDEX('Underlying Mechanics'!$B$31:$B$51,K$1-'Underlying Mechanics'!$B$8+1)*'Underlying Mechanics'!$B$5))*(1-$A151))-IF(K$1=0,'Underlying Mechanics'!$B$23*(1-$B151),0)-IF(K$1&gt;0,'Underlying Mechanics'!$B$22*'Underlying Mechanics'!$B$17,0)-IF(K$1&gt;0,'Underlying Mechanics'!$B$12*'Underlying Mechanics'!$B$18,0)</x:f>
        <x:v>-8099.999999999998</x:v>
      </x:c>
      <x:c r="L151" t="n">
        <x:f>((IF(L$1-'Underlying Mechanics'!$B$8&lt;0,0,'Underlying Mechanics'!$B$22*'Underlying Mechanics'!$B$15*INDEX('Underlying Mechanics'!$B$31:$B$51,L$1-'Underlying Mechanics'!$B$8+1)*'Underlying Mechanics'!$B$5))*(1-$A151))-IF(L$1=0,'Underlying Mechanics'!$B$23*(1-$B151),0)-IF(L$1&gt;0,'Underlying Mechanics'!$B$22*'Underlying Mechanics'!$B$17,0)-IF(L$1&gt;0,'Underlying Mechanics'!$B$12*'Underlying Mechanics'!$B$18,0)</x:f>
        <x:v>-3059.9999999999964</x:v>
      </x:c>
      <x:c r="M151" t="n">
        <x:f>((IF(M$1-'Underlying Mechanics'!$B$8&lt;0,0,'Underlying Mechanics'!$B$22*'Underlying Mechanics'!$B$15*INDEX('Underlying Mechanics'!$B$31:$B$51,M$1-'Underlying Mechanics'!$B$8+1)*'Underlying Mechanics'!$B$5))*(1-$A151))-IF(M$1=0,'Underlying Mechanics'!$B$23*(1-$B151),0)-IF(M$1&gt;0,'Underlying Mechanics'!$B$22*'Underlying Mechanics'!$B$17,0)-IF(M$1&gt;0,'Underlying Mechanics'!$B$12*'Underlying Mechanics'!$B$18,0)</x:f>
        <x:v>1980.0000000000073</x:v>
      </x:c>
      <x:c r="N151" t="n">
        <x:f>((IF(N$1-'Underlying Mechanics'!$B$8&lt;0,0,'Underlying Mechanics'!$B$22*'Underlying Mechanics'!$B$15*INDEX('Underlying Mechanics'!$B$31:$B$51,N$1-'Underlying Mechanics'!$B$8+1)*'Underlying Mechanics'!$B$5))*(1-$A151))-IF(N$1=0,'Underlying Mechanics'!$B$23*(1-$B151),0)-IF(N$1&gt;0,'Underlying Mechanics'!$B$22*'Underlying Mechanics'!$B$17,0)-IF(N$1&gt;0,'Underlying Mechanics'!$B$12*'Underlying Mechanics'!$B$18,0)</x:f>
        <x:v>6300.000000000004</x:v>
      </x:c>
      <x:c r="O151" t="n">
        <x:f>((IF(O$1-'Underlying Mechanics'!$B$8&lt;0,0,'Underlying Mechanics'!$B$22*'Underlying Mechanics'!$B$15*INDEX('Underlying Mechanics'!$B$31:$B$51,O$1-'Underlying Mechanics'!$B$8+1)*'Underlying Mechanics'!$B$5))*(1-$A151))-IF(O$1=0,'Underlying Mechanics'!$B$23*(1-$B151),0)-IF(O$1&gt;0,'Underlying Mechanics'!$B$22*'Underlying Mechanics'!$B$17,0)-IF(O$1&gt;0,'Underlying Mechanics'!$B$12*'Underlying Mechanics'!$B$18,0)</x:f>
        <x:v>9900.000000000004</x:v>
      </x:c>
      <x:c r="P151" t="n">
        <x:f>((IF(P$1-'Underlying Mechanics'!$B$8&lt;0,0,'Underlying Mechanics'!$B$22*'Underlying Mechanics'!$B$15*INDEX('Underlying Mechanics'!$B$31:$B$51,P$1-'Underlying Mechanics'!$B$8+1)*'Underlying Mechanics'!$B$5))*(1-$A151))-IF(P$1=0,'Underlying Mechanics'!$B$23*(1-$B151),0)-IF(P$1&gt;0,'Underlying Mechanics'!$B$22*'Underlying Mechanics'!$B$17,0)-IF(P$1&gt;0,'Underlying Mechanics'!$B$12*'Underlying Mechanics'!$B$18,0)</x:f>
        <x:v>13500.000000000007</x:v>
      </x:c>
      <x:c r="Q151" t="n">
        <x:f>((IF(Q$1-'Underlying Mechanics'!$B$8&lt;0,0,'Underlying Mechanics'!$B$22*'Underlying Mechanics'!$B$15*INDEX('Underlying Mechanics'!$B$31:$B$51,Q$1-'Underlying Mechanics'!$B$8+1)*'Underlying Mechanics'!$B$5))*(1-$A151))-IF(Q$1=0,'Underlying Mechanics'!$B$23*(1-$B151),0)-IF(Q$1&gt;0,'Underlying Mechanics'!$B$22*'Underlying Mechanics'!$B$17,0)-IF(Q$1&gt;0,'Underlying Mechanics'!$B$12*'Underlying Mechanics'!$B$18,0)</x:f>
        <x:v>13500.000000000007</x:v>
      </x:c>
      <x:c r="R151" t="n">
        <x:f>((IF(R$1-'Underlying Mechanics'!$B$8&lt;0,0,'Underlying Mechanics'!$B$22*'Underlying Mechanics'!$B$15*INDEX('Underlying Mechanics'!$B$31:$B$51,R$1-'Underlying Mechanics'!$B$8+1)*'Underlying Mechanics'!$B$5))*(1-$A151))-IF(R$1=0,'Underlying Mechanics'!$B$23*(1-$B151),0)-IF(R$1&gt;0,'Underlying Mechanics'!$B$22*'Underlying Mechanics'!$B$17,0)-IF(R$1&gt;0,'Underlying Mechanics'!$B$12*'Underlying Mechanics'!$B$18,0)</x:f>
        <x:v>13500.000000000007</x:v>
      </x:c>
      <x:c r="S151" t="n">
        <x:f>((IF(S$1-'Underlying Mechanics'!$B$8&lt;0,0,'Underlying Mechanics'!$B$22*'Underlying Mechanics'!$B$15*INDEX('Underlying Mechanics'!$B$31:$B$51,S$1-'Underlying Mechanics'!$B$8+1)*'Underlying Mechanics'!$B$5))*(1-$A151))-IF(S$1=0,'Underlying Mechanics'!$B$23*(1-$B151),0)-IF(S$1&gt;0,'Underlying Mechanics'!$B$22*'Underlying Mechanics'!$B$17,0)-IF(S$1&gt;0,'Underlying Mechanics'!$B$12*'Underlying Mechanics'!$B$18,0)</x:f>
        <x:v>13500.000000000007</x:v>
      </x:c>
      <x:c r="T151" t="n">
        <x:f>((IF(T$1-'Underlying Mechanics'!$B$8&lt;0,0,'Underlying Mechanics'!$B$22*'Underlying Mechanics'!$B$15*INDEX('Underlying Mechanics'!$B$31:$B$51,T$1-'Underlying Mechanics'!$B$8+1)*'Underlying Mechanics'!$B$5))*(1-$A151))-IF(T$1=0,'Underlying Mechanics'!$B$23*(1-$B151),0)-IF(T$1&gt;0,'Underlying Mechanics'!$B$22*'Underlying Mechanics'!$B$17,0)-IF(T$1&gt;0,'Underlying Mechanics'!$B$12*'Underlying Mechanics'!$B$18,0)</x:f>
        <x:v>13500.000000000007</x:v>
      </x:c>
      <x:c r="U151" t="n">
        <x:f>((IF(U$1-'Underlying Mechanics'!$B$8&lt;0,0,'Underlying Mechanics'!$B$22*'Underlying Mechanics'!$B$15*INDEX('Underlying Mechanics'!$B$31:$B$51,U$1-'Underlying Mechanics'!$B$8+1)*'Underlying Mechanics'!$B$5))*(1-$A151))-IF(U$1=0,'Underlying Mechanics'!$B$23*(1-$B151),0)-IF(U$1&gt;0,'Underlying Mechanics'!$B$22*'Underlying Mechanics'!$B$17,0)-IF(U$1&gt;0,'Underlying Mechanics'!$B$12*'Underlying Mechanics'!$B$18,0)</x:f>
        <x:v>13500.000000000007</x:v>
      </x:c>
      <x:c r="V151" t="n">
        <x:f>((IF(V$1-'Underlying Mechanics'!$B$8&lt;0,0,'Underlying Mechanics'!$B$22*'Underlying Mechanics'!$B$15*INDEX('Underlying Mechanics'!$B$31:$B$51,V$1-'Underlying Mechanics'!$B$8+1)*'Underlying Mechanics'!$B$5))*(1-$A151))-IF(V$1=0,'Underlying Mechanics'!$B$23*(1-$B151),0)-IF(V$1&gt;0,'Underlying Mechanics'!$B$22*'Underlying Mechanics'!$B$17,0)-IF(V$1&gt;0,'Underlying Mechanics'!$B$12*'Underlying Mechanics'!$B$18,0)</x:f>
        <x:v>13500.000000000007</x:v>
      </x:c>
      <x:c r="W151" t="n">
        <x:f>((IF(W$1-'Underlying Mechanics'!$B$8&lt;0,0,'Underlying Mechanics'!$B$22*'Underlying Mechanics'!$B$15*INDEX('Underlying Mechanics'!$B$31:$B$51,W$1-'Underlying Mechanics'!$B$8+1)*'Underlying Mechanics'!$B$5))*(1-$A151))-IF(W$1=0,'Underlying Mechanics'!$B$23*(1-$B151),0)-IF(W$1&gt;0,'Underlying Mechanics'!$B$22*'Underlying Mechanics'!$B$17,0)-IF(W$1&gt;0,'Underlying Mechanics'!$B$12*'Underlying Mechanics'!$B$18,0)</x:f>
        <x:v>13500.000000000007</x:v>
      </x:c>
      <x:c r="X151" t="n">
        <x:f>IFERROR(IRR(C151:W151),-1)</x:f>
        <x:v>-0.056723383304716726</x:v>
      </x:c>
    </x:row>
    <x:row r="152">
      <x:c r="A152" t="n">
        <x:v>0.7</x:v>
      </x:c>
      <x:c r="B152" t="n">
        <x:v>0.15</x:v>
      </x:c>
      <x:c r="C152" t="n">
        <x:f>((IF(C$1-'Underlying Mechanics'!$B$8&lt;0,0,'Underlying Mechanics'!$B$22*'Underlying Mechanics'!$B$15*INDEX('Underlying Mechanics'!$B$31:$B$51,C$1-'Underlying Mechanics'!$B$8+1)*'Underlying Mechanics'!$B$5))*(1-$A152))-IF(C$1=0,'Underlying Mechanics'!$B$23*(1-$B152),0)-IF(C$1&gt;0,'Underlying Mechanics'!$B$22*'Underlying Mechanics'!$B$17,0)-IF(C$1&gt;0,'Underlying Mechanics'!$B$12*'Underlying Mechanics'!$B$18,0)</x:f>
        <x:v>-127500</x:v>
      </x:c>
      <x:c r="D152" t="n">
        <x:f>((IF(D$1-'Underlying Mechanics'!$B$8&lt;0,0,'Underlying Mechanics'!$B$22*'Underlying Mechanics'!$B$15*INDEX('Underlying Mechanics'!$B$31:$B$51,D$1-'Underlying Mechanics'!$B$8+1)*'Underlying Mechanics'!$B$5))*(1-$A152))-IF(D$1=0,'Underlying Mechanics'!$B$23*(1-$B152),0)-IF(D$1&gt;0,'Underlying Mechanics'!$B$22*'Underlying Mechanics'!$B$17,0)-IF(D$1&gt;0,'Underlying Mechanics'!$B$12*'Underlying Mechanics'!$B$18,0)</x:f>
        <x:v>-22500</x:v>
      </x:c>
      <x:c r="E152" t="n">
        <x:f>((IF(E$1-'Underlying Mechanics'!$B$8&lt;0,0,'Underlying Mechanics'!$B$22*'Underlying Mechanics'!$B$15*INDEX('Underlying Mechanics'!$B$31:$B$51,E$1-'Underlying Mechanics'!$B$8+1)*'Underlying Mechanics'!$B$5))*(1-$A152))-IF(E$1=0,'Underlying Mechanics'!$B$23*(1-$B152),0)-IF(E$1&gt;0,'Underlying Mechanics'!$B$22*'Underlying Mechanics'!$B$17,0)-IF(E$1&gt;0,'Underlying Mechanics'!$B$12*'Underlying Mechanics'!$B$18,0)</x:f>
        <x:v>-22500</x:v>
      </x:c>
      <x:c r="F152" t="n">
        <x:f>((IF(F$1-'Underlying Mechanics'!$B$8&lt;0,0,'Underlying Mechanics'!$B$22*'Underlying Mechanics'!$B$15*INDEX('Underlying Mechanics'!$B$31:$B$51,F$1-'Underlying Mechanics'!$B$8+1)*'Underlying Mechanics'!$B$5))*(1-$A152))-IF(F$1=0,'Underlying Mechanics'!$B$23*(1-$B152),0)-IF(F$1&gt;0,'Underlying Mechanics'!$B$22*'Underlying Mechanics'!$B$17,0)-IF(F$1&gt;0,'Underlying Mechanics'!$B$12*'Underlying Mechanics'!$B$18,0)</x:f>
        <x:v>-21780</x:v>
      </x:c>
      <x:c r="G152" t="n">
        <x:f>((IF(G$1-'Underlying Mechanics'!$B$8&lt;0,0,'Underlying Mechanics'!$B$22*'Underlying Mechanics'!$B$15*INDEX('Underlying Mechanics'!$B$31:$B$51,G$1-'Underlying Mechanics'!$B$8+1)*'Underlying Mechanics'!$B$5))*(1-$A152))-IF(G$1=0,'Underlying Mechanics'!$B$23*(1-$B152),0)-IF(G$1&gt;0,'Underlying Mechanics'!$B$22*'Underlying Mechanics'!$B$17,0)-IF(G$1&gt;0,'Underlying Mechanics'!$B$12*'Underlying Mechanics'!$B$18,0)</x:f>
        <x:v>-20700</x:v>
      </x:c>
      <x:c r="H152" t="n">
        <x:f>((IF(H$1-'Underlying Mechanics'!$B$8&lt;0,0,'Underlying Mechanics'!$B$22*'Underlying Mechanics'!$B$15*INDEX('Underlying Mechanics'!$B$31:$B$51,H$1-'Underlying Mechanics'!$B$8+1)*'Underlying Mechanics'!$B$5))*(1-$A152))-IF(H$1=0,'Underlying Mechanics'!$B$23*(1-$B152),0)-IF(H$1&gt;0,'Underlying Mechanics'!$B$22*'Underlying Mechanics'!$B$17,0)-IF(H$1&gt;0,'Underlying Mechanics'!$B$12*'Underlying Mechanics'!$B$18,0)</x:f>
        <x:v>-18900</x:v>
      </x:c>
      <x:c r="I152" t="n">
        <x:f>((IF(I$1-'Underlying Mechanics'!$B$8&lt;0,0,'Underlying Mechanics'!$B$22*'Underlying Mechanics'!$B$15*INDEX('Underlying Mechanics'!$B$31:$B$51,I$1-'Underlying Mechanics'!$B$8+1)*'Underlying Mechanics'!$B$5))*(1-$A152))-IF(I$1=0,'Underlying Mechanics'!$B$23*(1-$B152),0)-IF(I$1&gt;0,'Underlying Mechanics'!$B$22*'Underlying Mechanics'!$B$17,0)-IF(I$1&gt;0,'Underlying Mechanics'!$B$12*'Underlying Mechanics'!$B$18,0)</x:f>
        <x:v>-16020</x:v>
      </x:c>
      <x:c r="J152" t="n">
        <x:f>((IF(J$1-'Underlying Mechanics'!$B$8&lt;0,0,'Underlying Mechanics'!$B$22*'Underlying Mechanics'!$B$15*INDEX('Underlying Mechanics'!$B$31:$B$51,J$1-'Underlying Mechanics'!$B$8+1)*'Underlying Mechanics'!$B$5))*(1-$A152))-IF(J$1=0,'Underlying Mechanics'!$B$23*(1-$B152),0)-IF(J$1&gt;0,'Underlying Mechanics'!$B$22*'Underlying Mechanics'!$B$17,0)-IF(J$1&gt;0,'Underlying Mechanics'!$B$12*'Underlying Mechanics'!$B$18,0)</x:f>
        <x:v>-12419.999999999996</x:v>
      </x:c>
      <x:c r="K152" t="n">
        <x:f>((IF(K$1-'Underlying Mechanics'!$B$8&lt;0,0,'Underlying Mechanics'!$B$22*'Underlying Mechanics'!$B$15*INDEX('Underlying Mechanics'!$B$31:$B$51,K$1-'Underlying Mechanics'!$B$8+1)*'Underlying Mechanics'!$B$5))*(1-$A152))-IF(K$1=0,'Underlying Mechanics'!$B$23*(1-$B152),0)-IF(K$1&gt;0,'Underlying Mechanics'!$B$22*'Underlying Mechanics'!$B$17,0)-IF(K$1&gt;0,'Underlying Mechanics'!$B$12*'Underlying Mechanics'!$B$18,0)</x:f>
        <x:v>-8099.999999999998</x:v>
      </x:c>
      <x:c r="L152" t="n">
        <x:f>((IF(L$1-'Underlying Mechanics'!$B$8&lt;0,0,'Underlying Mechanics'!$B$22*'Underlying Mechanics'!$B$15*INDEX('Underlying Mechanics'!$B$31:$B$51,L$1-'Underlying Mechanics'!$B$8+1)*'Underlying Mechanics'!$B$5))*(1-$A152))-IF(L$1=0,'Underlying Mechanics'!$B$23*(1-$B152),0)-IF(L$1&gt;0,'Underlying Mechanics'!$B$22*'Underlying Mechanics'!$B$17,0)-IF(L$1&gt;0,'Underlying Mechanics'!$B$12*'Underlying Mechanics'!$B$18,0)</x:f>
        <x:v>-3059.9999999999964</x:v>
      </x:c>
      <x:c r="M152" t="n">
        <x:f>((IF(M$1-'Underlying Mechanics'!$B$8&lt;0,0,'Underlying Mechanics'!$B$22*'Underlying Mechanics'!$B$15*INDEX('Underlying Mechanics'!$B$31:$B$51,M$1-'Underlying Mechanics'!$B$8+1)*'Underlying Mechanics'!$B$5))*(1-$A152))-IF(M$1=0,'Underlying Mechanics'!$B$23*(1-$B152),0)-IF(M$1&gt;0,'Underlying Mechanics'!$B$22*'Underlying Mechanics'!$B$17,0)-IF(M$1&gt;0,'Underlying Mechanics'!$B$12*'Underlying Mechanics'!$B$18,0)</x:f>
        <x:v>1980.0000000000073</x:v>
      </x:c>
      <x:c r="N152" t="n">
        <x:f>((IF(N$1-'Underlying Mechanics'!$B$8&lt;0,0,'Underlying Mechanics'!$B$22*'Underlying Mechanics'!$B$15*INDEX('Underlying Mechanics'!$B$31:$B$51,N$1-'Underlying Mechanics'!$B$8+1)*'Underlying Mechanics'!$B$5))*(1-$A152))-IF(N$1=0,'Underlying Mechanics'!$B$23*(1-$B152),0)-IF(N$1&gt;0,'Underlying Mechanics'!$B$22*'Underlying Mechanics'!$B$17,0)-IF(N$1&gt;0,'Underlying Mechanics'!$B$12*'Underlying Mechanics'!$B$18,0)</x:f>
        <x:v>6300.000000000004</x:v>
      </x:c>
      <x:c r="O152" t="n">
        <x:f>((IF(O$1-'Underlying Mechanics'!$B$8&lt;0,0,'Underlying Mechanics'!$B$22*'Underlying Mechanics'!$B$15*INDEX('Underlying Mechanics'!$B$31:$B$51,O$1-'Underlying Mechanics'!$B$8+1)*'Underlying Mechanics'!$B$5))*(1-$A152))-IF(O$1=0,'Underlying Mechanics'!$B$23*(1-$B152),0)-IF(O$1&gt;0,'Underlying Mechanics'!$B$22*'Underlying Mechanics'!$B$17,0)-IF(O$1&gt;0,'Underlying Mechanics'!$B$12*'Underlying Mechanics'!$B$18,0)</x:f>
        <x:v>9900.000000000004</x:v>
      </x:c>
      <x:c r="P152" t="n">
        <x:f>((IF(P$1-'Underlying Mechanics'!$B$8&lt;0,0,'Underlying Mechanics'!$B$22*'Underlying Mechanics'!$B$15*INDEX('Underlying Mechanics'!$B$31:$B$51,P$1-'Underlying Mechanics'!$B$8+1)*'Underlying Mechanics'!$B$5))*(1-$A152))-IF(P$1=0,'Underlying Mechanics'!$B$23*(1-$B152),0)-IF(P$1&gt;0,'Underlying Mechanics'!$B$22*'Underlying Mechanics'!$B$17,0)-IF(P$1&gt;0,'Underlying Mechanics'!$B$12*'Underlying Mechanics'!$B$18,0)</x:f>
        <x:v>13500.000000000007</x:v>
      </x:c>
      <x:c r="Q152" t="n">
        <x:f>((IF(Q$1-'Underlying Mechanics'!$B$8&lt;0,0,'Underlying Mechanics'!$B$22*'Underlying Mechanics'!$B$15*INDEX('Underlying Mechanics'!$B$31:$B$51,Q$1-'Underlying Mechanics'!$B$8+1)*'Underlying Mechanics'!$B$5))*(1-$A152))-IF(Q$1=0,'Underlying Mechanics'!$B$23*(1-$B152),0)-IF(Q$1&gt;0,'Underlying Mechanics'!$B$22*'Underlying Mechanics'!$B$17,0)-IF(Q$1&gt;0,'Underlying Mechanics'!$B$12*'Underlying Mechanics'!$B$18,0)</x:f>
        <x:v>13500.000000000007</x:v>
      </x:c>
      <x:c r="R152" t="n">
        <x:f>((IF(R$1-'Underlying Mechanics'!$B$8&lt;0,0,'Underlying Mechanics'!$B$22*'Underlying Mechanics'!$B$15*INDEX('Underlying Mechanics'!$B$31:$B$51,R$1-'Underlying Mechanics'!$B$8+1)*'Underlying Mechanics'!$B$5))*(1-$A152))-IF(R$1=0,'Underlying Mechanics'!$B$23*(1-$B152),0)-IF(R$1&gt;0,'Underlying Mechanics'!$B$22*'Underlying Mechanics'!$B$17,0)-IF(R$1&gt;0,'Underlying Mechanics'!$B$12*'Underlying Mechanics'!$B$18,0)</x:f>
        <x:v>13500.000000000007</x:v>
      </x:c>
      <x:c r="S152" t="n">
        <x:f>((IF(S$1-'Underlying Mechanics'!$B$8&lt;0,0,'Underlying Mechanics'!$B$22*'Underlying Mechanics'!$B$15*INDEX('Underlying Mechanics'!$B$31:$B$51,S$1-'Underlying Mechanics'!$B$8+1)*'Underlying Mechanics'!$B$5))*(1-$A152))-IF(S$1=0,'Underlying Mechanics'!$B$23*(1-$B152),0)-IF(S$1&gt;0,'Underlying Mechanics'!$B$22*'Underlying Mechanics'!$B$17,0)-IF(S$1&gt;0,'Underlying Mechanics'!$B$12*'Underlying Mechanics'!$B$18,0)</x:f>
        <x:v>13500.000000000007</x:v>
      </x:c>
      <x:c r="T152" t="n">
        <x:f>((IF(T$1-'Underlying Mechanics'!$B$8&lt;0,0,'Underlying Mechanics'!$B$22*'Underlying Mechanics'!$B$15*INDEX('Underlying Mechanics'!$B$31:$B$51,T$1-'Underlying Mechanics'!$B$8+1)*'Underlying Mechanics'!$B$5))*(1-$A152))-IF(T$1=0,'Underlying Mechanics'!$B$23*(1-$B152),0)-IF(T$1&gt;0,'Underlying Mechanics'!$B$22*'Underlying Mechanics'!$B$17,0)-IF(T$1&gt;0,'Underlying Mechanics'!$B$12*'Underlying Mechanics'!$B$18,0)</x:f>
        <x:v>13500.000000000007</x:v>
      </x:c>
      <x:c r="U152" t="n">
        <x:f>((IF(U$1-'Underlying Mechanics'!$B$8&lt;0,0,'Underlying Mechanics'!$B$22*'Underlying Mechanics'!$B$15*INDEX('Underlying Mechanics'!$B$31:$B$51,U$1-'Underlying Mechanics'!$B$8+1)*'Underlying Mechanics'!$B$5))*(1-$A152))-IF(U$1=0,'Underlying Mechanics'!$B$23*(1-$B152),0)-IF(U$1&gt;0,'Underlying Mechanics'!$B$22*'Underlying Mechanics'!$B$17,0)-IF(U$1&gt;0,'Underlying Mechanics'!$B$12*'Underlying Mechanics'!$B$18,0)</x:f>
        <x:v>13500.000000000007</x:v>
      </x:c>
      <x:c r="V152" t="n">
        <x:f>((IF(V$1-'Underlying Mechanics'!$B$8&lt;0,0,'Underlying Mechanics'!$B$22*'Underlying Mechanics'!$B$15*INDEX('Underlying Mechanics'!$B$31:$B$51,V$1-'Underlying Mechanics'!$B$8+1)*'Underlying Mechanics'!$B$5))*(1-$A152))-IF(V$1=0,'Underlying Mechanics'!$B$23*(1-$B152),0)-IF(V$1&gt;0,'Underlying Mechanics'!$B$22*'Underlying Mechanics'!$B$17,0)-IF(V$1&gt;0,'Underlying Mechanics'!$B$12*'Underlying Mechanics'!$B$18,0)</x:f>
        <x:v>13500.000000000007</x:v>
      </x:c>
      <x:c r="W152" t="n">
        <x:f>((IF(W$1-'Underlying Mechanics'!$B$8&lt;0,0,'Underlying Mechanics'!$B$22*'Underlying Mechanics'!$B$15*INDEX('Underlying Mechanics'!$B$31:$B$51,W$1-'Underlying Mechanics'!$B$8+1)*'Underlying Mechanics'!$B$5))*(1-$A152))-IF(W$1=0,'Underlying Mechanics'!$B$23*(1-$B152),0)-IF(W$1&gt;0,'Underlying Mechanics'!$B$22*'Underlying Mechanics'!$B$17,0)-IF(W$1&gt;0,'Underlying Mechanics'!$B$12*'Underlying Mechanics'!$B$18,0)</x:f>
        <x:v>13500.000000000007</x:v>
      </x:c>
      <x:c r="X152" t="n">
        <x:f>IFERROR(IRR(C152:W152),-1)</x:f>
        <x:v>-0.05509002360421007</x:v>
      </x:c>
    </x:row>
    <x:row r="153">
      <x:c r="A153" t="n">
        <x:v>0.7</x:v>
      </x:c>
      <x:c r="B153" t="n">
        <x:v>0.2</x:v>
      </x:c>
      <x:c r="C153" t="n">
        <x:f>((IF(C$1-'Underlying Mechanics'!$B$8&lt;0,0,'Underlying Mechanics'!$B$22*'Underlying Mechanics'!$B$15*INDEX('Underlying Mechanics'!$B$31:$B$51,C$1-'Underlying Mechanics'!$B$8+1)*'Underlying Mechanics'!$B$5))*(1-$A153))-IF(C$1=0,'Underlying Mechanics'!$B$23*(1-$B153),0)-IF(C$1&gt;0,'Underlying Mechanics'!$B$22*'Underlying Mechanics'!$B$17,0)-IF(C$1&gt;0,'Underlying Mechanics'!$B$12*'Underlying Mechanics'!$B$18,0)</x:f>
        <x:v>-120000</x:v>
      </x:c>
      <x:c r="D153" t="n">
        <x:f>((IF(D$1-'Underlying Mechanics'!$B$8&lt;0,0,'Underlying Mechanics'!$B$22*'Underlying Mechanics'!$B$15*INDEX('Underlying Mechanics'!$B$31:$B$51,D$1-'Underlying Mechanics'!$B$8+1)*'Underlying Mechanics'!$B$5))*(1-$A153))-IF(D$1=0,'Underlying Mechanics'!$B$23*(1-$B153),0)-IF(D$1&gt;0,'Underlying Mechanics'!$B$22*'Underlying Mechanics'!$B$17,0)-IF(D$1&gt;0,'Underlying Mechanics'!$B$12*'Underlying Mechanics'!$B$18,0)</x:f>
        <x:v>-22500</x:v>
      </x:c>
      <x:c r="E153" t="n">
        <x:f>((IF(E$1-'Underlying Mechanics'!$B$8&lt;0,0,'Underlying Mechanics'!$B$22*'Underlying Mechanics'!$B$15*INDEX('Underlying Mechanics'!$B$31:$B$51,E$1-'Underlying Mechanics'!$B$8+1)*'Underlying Mechanics'!$B$5))*(1-$A153))-IF(E$1=0,'Underlying Mechanics'!$B$23*(1-$B153),0)-IF(E$1&gt;0,'Underlying Mechanics'!$B$22*'Underlying Mechanics'!$B$17,0)-IF(E$1&gt;0,'Underlying Mechanics'!$B$12*'Underlying Mechanics'!$B$18,0)</x:f>
        <x:v>-22500</x:v>
      </x:c>
      <x:c r="F153" t="n">
        <x:f>((IF(F$1-'Underlying Mechanics'!$B$8&lt;0,0,'Underlying Mechanics'!$B$22*'Underlying Mechanics'!$B$15*INDEX('Underlying Mechanics'!$B$31:$B$51,F$1-'Underlying Mechanics'!$B$8+1)*'Underlying Mechanics'!$B$5))*(1-$A153))-IF(F$1=0,'Underlying Mechanics'!$B$23*(1-$B153),0)-IF(F$1&gt;0,'Underlying Mechanics'!$B$22*'Underlying Mechanics'!$B$17,0)-IF(F$1&gt;0,'Underlying Mechanics'!$B$12*'Underlying Mechanics'!$B$18,0)</x:f>
        <x:v>-21780</x:v>
      </x:c>
      <x:c r="G153" t="n">
        <x:f>((IF(G$1-'Underlying Mechanics'!$B$8&lt;0,0,'Underlying Mechanics'!$B$22*'Underlying Mechanics'!$B$15*INDEX('Underlying Mechanics'!$B$31:$B$51,G$1-'Underlying Mechanics'!$B$8+1)*'Underlying Mechanics'!$B$5))*(1-$A153))-IF(G$1=0,'Underlying Mechanics'!$B$23*(1-$B153),0)-IF(G$1&gt;0,'Underlying Mechanics'!$B$22*'Underlying Mechanics'!$B$17,0)-IF(G$1&gt;0,'Underlying Mechanics'!$B$12*'Underlying Mechanics'!$B$18,0)</x:f>
        <x:v>-20700</x:v>
      </x:c>
      <x:c r="H153" t="n">
        <x:f>((IF(H$1-'Underlying Mechanics'!$B$8&lt;0,0,'Underlying Mechanics'!$B$22*'Underlying Mechanics'!$B$15*INDEX('Underlying Mechanics'!$B$31:$B$51,H$1-'Underlying Mechanics'!$B$8+1)*'Underlying Mechanics'!$B$5))*(1-$A153))-IF(H$1=0,'Underlying Mechanics'!$B$23*(1-$B153),0)-IF(H$1&gt;0,'Underlying Mechanics'!$B$22*'Underlying Mechanics'!$B$17,0)-IF(H$1&gt;0,'Underlying Mechanics'!$B$12*'Underlying Mechanics'!$B$18,0)</x:f>
        <x:v>-18900</x:v>
      </x:c>
      <x:c r="I153" t="n">
        <x:f>((IF(I$1-'Underlying Mechanics'!$B$8&lt;0,0,'Underlying Mechanics'!$B$22*'Underlying Mechanics'!$B$15*INDEX('Underlying Mechanics'!$B$31:$B$51,I$1-'Underlying Mechanics'!$B$8+1)*'Underlying Mechanics'!$B$5))*(1-$A153))-IF(I$1=0,'Underlying Mechanics'!$B$23*(1-$B153),0)-IF(I$1&gt;0,'Underlying Mechanics'!$B$22*'Underlying Mechanics'!$B$17,0)-IF(I$1&gt;0,'Underlying Mechanics'!$B$12*'Underlying Mechanics'!$B$18,0)</x:f>
        <x:v>-16020</x:v>
      </x:c>
      <x:c r="J153" t="n">
        <x:f>((IF(J$1-'Underlying Mechanics'!$B$8&lt;0,0,'Underlying Mechanics'!$B$22*'Underlying Mechanics'!$B$15*INDEX('Underlying Mechanics'!$B$31:$B$51,J$1-'Underlying Mechanics'!$B$8+1)*'Underlying Mechanics'!$B$5))*(1-$A153))-IF(J$1=0,'Underlying Mechanics'!$B$23*(1-$B153),0)-IF(J$1&gt;0,'Underlying Mechanics'!$B$22*'Underlying Mechanics'!$B$17,0)-IF(J$1&gt;0,'Underlying Mechanics'!$B$12*'Underlying Mechanics'!$B$18,0)</x:f>
        <x:v>-12419.999999999996</x:v>
      </x:c>
      <x:c r="K153" t="n">
        <x:f>((IF(K$1-'Underlying Mechanics'!$B$8&lt;0,0,'Underlying Mechanics'!$B$22*'Underlying Mechanics'!$B$15*INDEX('Underlying Mechanics'!$B$31:$B$51,K$1-'Underlying Mechanics'!$B$8+1)*'Underlying Mechanics'!$B$5))*(1-$A153))-IF(K$1=0,'Underlying Mechanics'!$B$23*(1-$B153),0)-IF(K$1&gt;0,'Underlying Mechanics'!$B$22*'Underlying Mechanics'!$B$17,0)-IF(K$1&gt;0,'Underlying Mechanics'!$B$12*'Underlying Mechanics'!$B$18,0)</x:f>
        <x:v>-8099.999999999998</x:v>
      </x:c>
      <x:c r="L153" t="n">
        <x:f>((IF(L$1-'Underlying Mechanics'!$B$8&lt;0,0,'Underlying Mechanics'!$B$22*'Underlying Mechanics'!$B$15*INDEX('Underlying Mechanics'!$B$31:$B$51,L$1-'Underlying Mechanics'!$B$8+1)*'Underlying Mechanics'!$B$5))*(1-$A153))-IF(L$1=0,'Underlying Mechanics'!$B$23*(1-$B153),0)-IF(L$1&gt;0,'Underlying Mechanics'!$B$22*'Underlying Mechanics'!$B$17,0)-IF(L$1&gt;0,'Underlying Mechanics'!$B$12*'Underlying Mechanics'!$B$18,0)</x:f>
        <x:v>-3059.9999999999964</x:v>
      </x:c>
      <x:c r="M153" t="n">
        <x:f>((IF(M$1-'Underlying Mechanics'!$B$8&lt;0,0,'Underlying Mechanics'!$B$22*'Underlying Mechanics'!$B$15*INDEX('Underlying Mechanics'!$B$31:$B$51,M$1-'Underlying Mechanics'!$B$8+1)*'Underlying Mechanics'!$B$5))*(1-$A153))-IF(M$1=0,'Underlying Mechanics'!$B$23*(1-$B153),0)-IF(M$1&gt;0,'Underlying Mechanics'!$B$22*'Underlying Mechanics'!$B$17,0)-IF(M$1&gt;0,'Underlying Mechanics'!$B$12*'Underlying Mechanics'!$B$18,0)</x:f>
        <x:v>1980.0000000000073</x:v>
      </x:c>
      <x:c r="N153" t="n">
        <x:f>((IF(N$1-'Underlying Mechanics'!$B$8&lt;0,0,'Underlying Mechanics'!$B$22*'Underlying Mechanics'!$B$15*INDEX('Underlying Mechanics'!$B$31:$B$51,N$1-'Underlying Mechanics'!$B$8+1)*'Underlying Mechanics'!$B$5))*(1-$A153))-IF(N$1=0,'Underlying Mechanics'!$B$23*(1-$B153),0)-IF(N$1&gt;0,'Underlying Mechanics'!$B$22*'Underlying Mechanics'!$B$17,0)-IF(N$1&gt;0,'Underlying Mechanics'!$B$12*'Underlying Mechanics'!$B$18,0)</x:f>
        <x:v>6300.000000000004</x:v>
      </x:c>
      <x:c r="O153" t="n">
        <x:f>((IF(O$1-'Underlying Mechanics'!$B$8&lt;0,0,'Underlying Mechanics'!$B$22*'Underlying Mechanics'!$B$15*INDEX('Underlying Mechanics'!$B$31:$B$51,O$1-'Underlying Mechanics'!$B$8+1)*'Underlying Mechanics'!$B$5))*(1-$A153))-IF(O$1=0,'Underlying Mechanics'!$B$23*(1-$B153),0)-IF(O$1&gt;0,'Underlying Mechanics'!$B$22*'Underlying Mechanics'!$B$17,0)-IF(O$1&gt;0,'Underlying Mechanics'!$B$12*'Underlying Mechanics'!$B$18,0)</x:f>
        <x:v>9900.000000000004</x:v>
      </x:c>
      <x:c r="P153" t="n">
        <x:f>((IF(P$1-'Underlying Mechanics'!$B$8&lt;0,0,'Underlying Mechanics'!$B$22*'Underlying Mechanics'!$B$15*INDEX('Underlying Mechanics'!$B$31:$B$51,P$1-'Underlying Mechanics'!$B$8+1)*'Underlying Mechanics'!$B$5))*(1-$A153))-IF(P$1=0,'Underlying Mechanics'!$B$23*(1-$B153),0)-IF(P$1&gt;0,'Underlying Mechanics'!$B$22*'Underlying Mechanics'!$B$17,0)-IF(P$1&gt;0,'Underlying Mechanics'!$B$12*'Underlying Mechanics'!$B$18,0)</x:f>
        <x:v>13500.000000000007</x:v>
      </x:c>
      <x:c r="Q153" t="n">
        <x:f>((IF(Q$1-'Underlying Mechanics'!$B$8&lt;0,0,'Underlying Mechanics'!$B$22*'Underlying Mechanics'!$B$15*INDEX('Underlying Mechanics'!$B$31:$B$51,Q$1-'Underlying Mechanics'!$B$8+1)*'Underlying Mechanics'!$B$5))*(1-$A153))-IF(Q$1=0,'Underlying Mechanics'!$B$23*(1-$B153),0)-IF(Q$1&gt;0,'Underlying Mechanics'!$B$22*'Underlying Mechanics'!$B$17,0)-IF(Q$1&gt;0,'Underlying Mechanics'!$B$12*'Underlying Mechanics'!$B$18,0)</x:f>
        <x:v>13500.000000000007</x:v>
      </x:c>
      <x:c r="R153" t="n">
        <x:f>((IF(R$1-'Underlying Mechanics'!$B$8&lt;0,0,'Underlying Mechanics'!$B$22*'Underlying Mechanics'!$B$15*INDEX('Underlying Mechanics'!$B$31:$B$51,R$1-'Underlying Mechanics'!$B$8+1)*'Underlying Mechanics'!$B$5))*(1-$A153))-IF(R$1=0,'Underlying Mechanics'!$B$23*(1-$B153),0)-IF(R$1&gt;0,'Underlying Mechanics'!$B$22*'Underlying Mechanics'!$B$17,0)-IF(R$1&gt;0,'Underlying Mechanics'!$B$12*'Underlying Mechanics'!$B$18,0)</x:f>
        <x:v>13500.000000000007</x:v>
      </x:c>
      <x:c r="S153" t="n">
        <x:f>((IF(S$1-'Underlying Mechanics'!$B$8&lt;0,0,'Underlying Mechanics'!$B$22*'Underlying Mechanics'!$B$15*INDEX('Underlying Mechanics'!$B$31:$B$51,S$1-'Underlying Mechanics'!$B$8+1)*'Underlying Mechanics'!$B$5))*(1-$A153))-IF(S$1=0,'Underlying Mechanics'!$B$23*(1-$B153),0)-IF(S$1&gt;0,'Underlying Mechanics'!$B$22*'Underlying Mechanics'!$B$17,0)-IF(S$1&gt;0,'Underlying Mechanics'!$B$12*'Underlying Mechanics'!$B$18,0)</x:f>
        <x:v>13500.000000000007</x:v>
      </x:c>
      <x:c r="T153" t="n">
        <x:f>((IF(T$1-'Underlying Mechanics'!$B$8&lt;0,0,'Underlying Mechanics'!$B$22*'Underlying Mechanics'!$B$15*INDEX('Underlying Mechanics'!$B$31:$B$51,T$1-'Underlying Mechanics'!$B$8+1)*'Underlying Mechanics'!$B$5))*(1-$A153))-IF(T$1=0,'Underlying Mechanics'!$B$23*(1-$B153),0)-IF(T$1&gt;0,'Underlying Mechanics'!$B$22*'Underlying Mechanics'!$B$17,0)-IF(T$1&gt;0,'Underlying Mechanics'!$B$12*'Underlying Mechanics'!$B$18,0)</x:f>
        <x:v>13500.000000000007</x:v>
      </x:c>
      <x:c r="U153" t="n">
        <x:f>((IF(U$1-'Underlying Mechanics'!$B$8&lt;0,0,'Underlying Mechanics'!$B$22*'Underlying Mechanics'!$B$15*INDEX('Underlying Mechanics'!$B$31:$B$51,U$1-'Underlying Mechanics'!$B$8+1)*'Underlying Mechanics'!$B$5))*(1-$A153))-IF(U$1=0,'Underlying Mechanics'!$B$23*(1-$B153),0)-IF(U$1&gt;0,'Underlying Mechanics'!$B$22*'Underlying Mechanics'!$B$17,0)-IF(U$1&gt;0,'Underlying Mechanics'!$B$12*'Underlying Mechanics'!$B$18,0)</x:f>
        <x:v>13500.000000000007</x:v>
      </x:c>
      <x:c r="V153" t="n">
        <x:f>((IF(V$1-'Underlying Mechanics'!$B$8&lt;0,0,'Underlying Mechanics'!$B$22*'Underlying Mechanics'!$B$15*INDEX('Underlying Mechanics'!$B$31:$B$51,V$1-'Underlying Mechanics'!$B$8+1)*'Underlying Mechanics'!$B$5))*(1-$A153))-IF(V$1=0,'Underlying Mechanics'!$B$23*(1-$B153),0)-IF(V$1&gt;0,'Underlying Mechanics'!$B$22*'Underlying Mechanics'!$B$17,0)-IF(V$1&gt;0,'Underlying Mechanics'!$B$12*'Underlying Mechanics'!$B$18,0)</x:f>
        <x:v>13500.000000000007</x:v>
      </x:c>
      <x:c r="W153" t="n">
        <x:f>((IF(W$1-'Underlying Mechanics'!$B$8&lt;0,0,'Underlying Mechanics'!$B$22*'Underlying Mechanics'!$B$15*INDEX('Underlying Mechanics'!$B$31:$B$51,W$1-'Underlying Mechanics'!$B$8+1)*'Underlying Mechanics'!$B$5))*(1-$A153))-IF(W$1=0,'Underlying Mechanics'!$B$23*(1-$B153),0)-IF(W$1&gt;0,'Underlying Mechanics'!$B$22*'Underlying Mechanics'!$B$17,0)-IF(W$1&gt;0,'Underlying Mechanics'!$B$12*'Underlying Mechanics'!$B$18,0)</x:f>
        <x:v>13500.000000000007</x:v>
      </x:c>
      <x:c r="X153" t="n">
        <x:f>IFERROR(IRR(C153:W153),-1)</x:f>
        <x:v>-0.053398941252425766</x:v>
      </x:c>
    </x:row>
    <x:row r="154">
      <x:c r="A154" t="n">
        <x:v>0.7</x:v>
      </x:c>
      <x:c r="B154" t="n">
        <x:v>0.25</x:v>
      </x:c>
      <x:c r="C154" t="n">
        <x:f>((IF(C$1-'Underlying Mechanics'!$B$8&lt;0,0,'Underlying Mechanics'!$B$22*'Underlying Mechanics'!$B$15*INDEX('Underlying Mechanics'!$B$31:$B$51,C$1-'Underlying Mechanics'!$B$8+1)*'Underlying Mechanics'!$B$5))*(1-$A154))-IF(C$1=0,'Underlying Mechanics'!$B$23*(1-$B154),0)-IF(C$1&gt;0,'Underlying Mechanics'!$B$22*'Underlying Mechanics'!$B$17,0)-IF(C$1&gt;0,'Underlying Mechanics'!$B$12*'Underlying Mechanics'!$B$18,0)</x:f>
        <x:v>-112500</x:v>
      </x:c>
      <x:c r="D154" t="n">
        <x:f>((IF(D$1-'Underlying Mechanics'!$B$8&lt;0,0,'Underlying Mechanics'!$B$22*'Underlying Mechanics'!$B$15*INDEX('Underlying Mechanics'!$B$31:$B$51,D$1-'Underlying Mechanics'!$B$8+1)*'Underlying Mechanics'!$B$5))*(1-$A154))-IF(D$1=0,'Underlying Mechanics'!$B$23*(1-$B154),0)-IF(D$1&gt;0,'Underlying Mechanics'!$B$22*'Underlying Mechanics'!$B$17,0)-IF(D$1&gt;0,'Underlying Mechanics'!$B$12*'Underlying Mechanics'!$B$18,0)</x:f>
        <x:v>-22500</x:v>
      </x:c>
      <x:c r="E154" t="n">
        <x:f>((IF(E$1-'Underlying Mechanics'!$B$8&lt;0,0,'Underlying Mechanics'!$B$22*'Underlying Mechanics'!$B$15*INDEX('Underlying Mechanics'!$B$31:$B$51,E$1-'Underlying Mechanics'!$B$8+1)*'Underlying Mechanics'!$B$5))*(1-$A154))-IF(E$1=0,'Underlying Mechanics'!$B$23*(1-$B154),0)-IF(E$1&gt;0,'Underlying Mechanics'!$B$22*'Underlying Mechanics'!$B$17,0)-IF(E$1&gt;0,'Underlying Mechanics'!$B$12*'Underlying Mechanics'!$B$18,0)</x:f>
        <x:v>-22500</x:v>
      </x:c>
      <x:c r="F154" t="n">
        <x:f>((IF(F$1-'Underlying Mechanics'!$B$8&lt;0,0,'Underlying Mechanics'!$B$22*'Underlying Mechanics'!$B$15*INDEX('Underlying Mechanics'!$B$31:$B$51,F$1-'Underlying Mechanics'!$B$8+1)*'Underlying Mechanics'!$B$5))*(1-$A154))-IF(F$1=0,'Underlying Mechanics'!$B$23*(1-$B154),0)-IF(F$1&gt;0,'Underlying Mechanics'!$B$22*'Underlying Mechanics'!$B$17,0)-IF(F$1&gt;0,'Underlying Mechanics'!$B$12*'Underlying Mechanics'!$B$18,0)</x:f>
        <x:v>-21780</x:v>
      </x:c>
      <x:c r="G154" t="n">
        <x:f>((IF(G$1-'Underlying Mechanics'!$B$8&lt;0,0,'Underlying Mechanics'!$B$22*'Underlying Mechanics'!$B$15*INDEX('Underlying Mechanics'!$B$31:$B$51,G$1-'Underlying Mechanics'!$B$8+1)*'Underlying Mechanics'!$B$5))*(1-$A154))-IF(G$1=0,'Underlying Mechanics'!$B$23*(1-$B154),0)-IF(G$1&gt;0,'Underlying Mechanics'!$B$22*'Underlying Mechanics'!$B$17,0)-IF(G$1&gt;0,'Underlying Mechanics'!$B$12*'Underlying Mechanics'!$B$18,0)</x:f>
        <x:v>-20700</x:v>
      </x:c>
      <x:c r="H154" t="n">
        <x:f>((IF(H$1-'Underlying Mechanics'!$B$8&lt;0,0,'Underlying Mechanics'!$B$22*'Underlying Mechanics'!$B$15*INDEX('Underlying Mechanics'!$B$31:$B$51,H$1-'Underlying Mechanics'!$B$8+1)*'Underlying Mechanics'!$B$5))*(1-$A154))-IF(H$1=0,'Underlying Mechanics'!$B$23*(1-$B154),0)-IF(H$1&gt;0,'Underlying Mechanics'!$B$22*'Underlying Mechanics'!$B$17,0)-IF(H$1&gt;0,'Underlying Mechanics'!$B$12*'Underlying Mechanics'!$B$18,0)</x:f>
        <x:v>-18900</x:v>
      </x:c>
      <x:c r="I154" t="n">
        <x:f>((IF(I$1-'Underlying Mechanics'!$B$8&lt;0,0,'Underlying Mechanics'!$B$22*'Underlying Mechanics'!$B$15*INDEX('Underlying Mechanics'!$B$31:$B$51,I$1-'Underlying Mechanics'!$B$8+1)*'Underlying Mechanics'!$B$5))*(1-$A154))-IF(I$1=0,'Underlying Mechanics'!$B$23*(1-$B154),0)-IF(I$1&gt;0,'Underlying Mechanics'!$B$22*'Underlying Mechanics'!$B$17,0)-IF(I$1&gt;0,'Underlying Mechanics'!$B$12*'Underlying Mechanics'!$B$18,0)</x:f>
        <x:v>-16020</x:v>
      </x:c>
      <x:c r="J154" t="n">
        <x:f>((IF(J$1-'Underlying Mechanics'!$B$8&lt;0,0,'Underlying Mechanics'!$B$22*'Underlying Mechanics'!$B$15*INDEX('Underlying Mechanics'!$B$31:$B$51,J$1-'Underlying Mechanics'!$B$8+1)*'Underlying Mechanics'!$B$5))*(1-$A154))-IF(J$1=0,'Underlying Mechanics'!$B$23*(1-$B154),0)-IF(J$1&gt;0,'Underlying Mechanics'!$B$22*'Underlying Mechanics'!$B$17,0)-IF(J$1&gt;0,'Underlying Mechanics'!$B$12*'Underlying Mechanics'!$B$18,0)</x:f>
        <x:v>-12419.999999999996</x:v>
      </x:c>
      <x:c r="K154" t="n">
        <x:f>((IF(K$1-'Underlying Mechanics'!$B$8&lt;0,0,'Underlying Mechanics'!$B$22*'Underlying Mechanics'!$B$15*INDEX('Underlying Mechanics'!$B$31:$B$51,K$1-'Underlying Mechanics'!$B$8+1)*'Underlying Mechanics'!$B$5))*(1-$A154))-IF(K$1=0,'Underlying Mechanics'!$B$23*(1-$B154),0)-IF(K$1&gt;0,'Underlying Mechanics'!$B$22*'Underlying Mechanics'!$B$17,0)-IF(K$1&gt;0,'Underlying Mechanics'!$B$12*'Underlying Mechanics'!$B$18,0)</x:f>
        <x:v>-8099.999999999998</x:v>
      </x:c>
      <x:c r="L154" t="n">
        <x:f>((IF(L$1-'Underlying Mechanics'!$B$8&lt;0,0,'Underlying Mechanics'!$B$22*'Underlying Mechanics'!$B$15*INDEX('Underlying Mechanics'!$B$31:$B$51,L$1-'Underlying Mechanics'!$B$8+1)*'Underlying Mechanics'!$B$5))*(1-$A154))-IF(L$1=0,'Underlying Mechanics'!$B$23*(1-$B154),0)-IF(L$1&gt;0,'Underlying Mechanics'!$B$22*'Underlying Mechanics'!$B$17,0)-IF(L$1&gt;0,'Underlying Mechanics'!$B$12*'Underlying Mechanics'!$B$18,0)</x:f>
        <x:v>-3059.9999999999964</x:v>
      </x:c>
      <x:c r="M154" t="n">
        <x:f>((IF(M$1-'Underlying Mechanics'!$B$8&lt;0,0,'Underlying Mechanics'!$B$22*'Underlying Mechanics'!$B$15*INDEX('Underlying Mechanics'!$B$31:$B$51,M$1-'Underlying Mechanics'!$B$8+1)*'Underlying Mechanics'!$B$5))*(1-$A154))-IF(M$1=0,'Underlying Mechanics'!$B$23*(1-$B154),0)-IF(M$1&gt;0,'Underlying Mechanics'!$B$22*'Underlying Mechanics'!$B$17,0)-IF(M$1&gt;0,'Underlying Mechanics'!$B$12*'Underlying Mechanics'!$B$18,0)</x:f>
        <x:v>1980.0000000000073</x:v>
      </x:c>
      <x:c r="N154" t="n">
        <x:f>((IF(N$1-'Underlying Mechanics'!$B$8&lt;0,0,'Underlying Mechanics'!$B$22*'Underlying Mechanics'!$B$15*INDEX('Underlying Mechanics'!$B$31:$B$51,N$1-'Underlying Mechanics'!$B$8+1)*'Underlying Mechanics'!$B$5))*(1-$A154))-IF(N$1=0,'Underlying Mechanics'!$B$23*(1-$B154),0)-IF(N$1&gt;0,'Underlying Mechanics'!$B$22*'Underlying Mechanics'!$B$17,0)-IF(N$1&gt;0,'Underlying Mechanics'!$B$12*'Underlying Mechanics'!$B$18,0)</x:f>
        <x:v>6300.000000000004</x:v>
      </x:c>
      <x:c r="O154" t="n">
        <x:f>((IF(O$1-'Underlying Mechanics'!$B$8&lt;0,0,'Underlying Mechanics'!$B$22*'Underlying Mechanics'!$B$15*INDEX('Underlying Mechanics'!$B$31:$B$51,O$1-'Underlying Mechanics'!$B$8+1)*'Underlying Mechanics'!$B$5))*(1-$A154))-IF(O$1=0,'Underlying Mechanics'!$B$23*(1-$B154),0)-IF(O$1&gt;0,'Underlying Mechanics'!$B$22*'Underlying Mechanics'!$B$17,0)-IF(O$1&gt;0,'Underlying Mechanics'!$B$12*'Underlying Mechanics'!$B$18,0)</x:f>
        <x:v>9900.000000000004</x:v>
      </x:c>
      <x:c r="P154" t="n">
        <x:f>((IF(P$1-'Underlying Mechanics'!$B$8&lt;0,0,'Underlying Mechanics'!$B$22*'Underlying Mechanics'!$B$15*INDEX('Underlying Mechanics'!$B$31:$B$51,P$1-'Underlying Mechanics'!$B$8+1)*'Underlying Mechanics'!$B$5))*(1-$A154))-IF(P$1=0,'Underlying Mechanics'!$B$23*(1-$B154),0)-IF(P$1&gt;0,'Underlying Mechanics'!$B$22*'Underlying Mechanics'!$B$17,0)-IF(P$1&gt;0,'Underlying Mechanics'!$B$12*'Underlying Mechanics'!$B$18,0)</x:f>
        <x:v>13500.000000000007</x:v>
      </x:c>
      <x:c r="Q154" t="n">
        <x:f>((IF(Q$1-'Underlying Mechanics'!$B$8&lt;0,0,'Underlying Mechanics'!$B$22*'Underlying Mechanics'!$B$15*INDEX('Underlying Mechanics'!$B$31:$B$51,Q$1-'Underlying Mechanics'!$B$8+1)*'Underlying Mechanics'!$B$5))*(1-$A154))-IF(Q$1=0,'Underlying Mechanics'!$B$23*(1-$B154),0)-IF(Q$1&gt;0,'Underlying Mechanics'!$B$22*'Underlying Mechanics'!$B$17,0)-IF(Q$1&gt;0,'Underlying Mechanics'!$B$12*'Underlying Mechanics'!$B$18,0)</x:f>
        <x:v>13500.000000000007</x:v>
      </x:c>
      <x:c r="R154" t="n">
        <x:f>((IF(R$1-'Underlying Mechanics'!$B$8&lt;0,0,'Underlying Mechanics'!$B$22*'Underlying Mechanics'!$B$15*INDEX('Underlying Mechanics'!$B$31:$B$51,R$1-'Underlying Mechanics'!$B$8+1)*'Underlying Mechanics'!$B$5))*(1-$A154))-IF(R$1=0,'Underlying Mechanics'!$B$23*(1-$B154),0)-IF(R$1&gt;0,'Underlying Mechanics'!$B$22*'Underlying Mechanics'!$B$17,0)-IF(R$1&gt;0,'Underlying Mechanics'!$B$12*'Underlying Mechanics'!$B$18,0)</x:f>
        <x:v>13500.000000000007</x:v>
      </x:c>
      <x:c r="S154" t="n">
        <x:f>((IF(S$1-'Underlying Mechanics'!$B$8&lt;0,0,'Underlying Mechanics'!$B$22*'Underlying Mechanics'!$B$15*INDEX('Underlying Mechanics'!$B$31:$B$51,S$1-'Underlying Mechanics'!$B$8+1)*'Underlying Mechanics'!$B$5))*(1-$A154))-IF(S$1=0,'Underlying Mechanics'!$B$23*(1-$B154),0)-IF(S$1&gt;0,'Underlying Mechanics'!$B$22*'Underlying Mechanics'!$B$17,0)-IF(S$1&gt;0,'Underlying Mechanics'!$B$12*'Underlying Mechanics'!$B$18,0)</x:f>
        <x:v>13500.000000000007</x:v>
      </x:c>
      <x:c r="T154" t="n">
        <x:f>((IF(T$1-'Underlying Mechanics'!$B$8&lt;0,0,'Underlying Mechanics'!$B$22*'Underlying Mechanics'!$B$15*INDEX('Underlying Mechanics'!$B$31:$B$51,T$1-'Underlying Mechanics'!$B$8+1)*'Underlying Mechanics'!$B$5))*(1-$A154))-IF(T$1=0,'Underlying Mechanics'!$B$23*(1-$B154),0)-IF(T$1&gt;0,'Underlying Mechanics'!$B$22*'Underlying Mechanics'!$B$17,0)-IF(T$1&gt;0,'Underlying Mechanics'!$B$12*'Underlying Mechanics'!$B$18,0)</x:f>
        <x:v>13500.000000000007</x:v>
      </x:c>
      <x:c r="U154" t="n">
        <x:f>((IF(U$1-'Underlying Mechanics'!$B$8&lt;0,0,'Underlying Mechanics'!$B$22*'Underlying Mechanics'!$B$15*INDEX('Underlying Mechanics'!$B$31:$B$51,U$1-'Underlying Mechanics'!$B$8+1)*'Underlying Mechanics'!$B$5))*(1-$A154))-IF(U$1=0,'Underlying Mechanics'!$B$23*(1-$B154),0)-IF(U$1&gt;0,'Underlying Mechanics'!$B$22*'Underlying Mechanics'!$B$17,0)-IF(U$1&gt;0,'Underlying Mechanics'!$B$12*'Underlying Mechanics'!$B$18,0)</x:f>
        <x:v>13500.000000000007</x:v>
      </x:c>
      <x:c r="V154" t="n">
        <x:f>((IF(V$1-'Underlying Mechanics'!$B$8&lt;0,0,'Underlying Mechanics'!$B$22*'Underlying Mechanics'!$B$15*INDEX('Underlying Mechanics'!$B$31:$B$51,V$1-'Underlying Mechanics'!$B$8+1)*'Underlying Mechanics'!$B$5))*(1-$A154))-IF(V$1=0,'Underlying Mechanics'!$B$23*(1-$B154),0)-IF(V$1&gt;0,'Underlying Mechanics'!$B$22*'Underlying Mechanics'!$B$17,0)-IF(V$1&gt;0,'Underlying Mechanics'!$B$12*'Underlying Mechanics'!$B$18,0)</x:f>
        <x:v>13500.000000000007</x:v>
      </x:c>
      <x:c r="W154" t="n">
        <x:f>((IF(W$1-'Underlying Mechanics'!$B$8&lt;0,0,'Underlying Mechanics'!$B$22*'Underlying Mechanics'!$B$15*INDEX('Underlying Mechanics'!$B$31:$B$51,W$1-'Underlying Mechanics'!$B$8+1)*'Underlying Mechanics'!$B$5))*(1-$A154))-IF(W$1=0,'Underlying Mechanics'!$B$23*(1-$B154),0)-IF(W$1&gt;0,'Underlying Mechanics'!$B$22*'Underlying Mechanics'!$B$17,0)-IF(W$1&gt;0,'Underlying Mechanics'!$B$12*'Underlying Mechanics'!$B$18,0)</x:f>
        <x:v>13500.000000000007</x:v>
      </x:c>
      <x:c r="X154" t="n">
        <x:f>IFERROR(IRR(C154:W154),-1)</x:f>
        <x:v>-0.05164590158664639</x:v>
      </x:c>
    </x:row>
    <x:row r="155">
      <x:c r="A155" t="n">
        <x:v>0.7</x:v>
      </x:c>
      <x:c r="B155" t="n">
        <x:v>0.3</x:v>
      </x:c>
      <x:c r="C155" t="n">
        <x:f>((IF(C$1-'Underlying Mechanics'!$B$8&lt;0,0,'Underlying Mechanics'!$B$22*'Underlying Mechanics'!$B$15*INDEX('Underlying Mechanics'!$B$31:$B$51,C$1-'Underlying Mechanics'!$B$8+1)*'Underlying Mechanics'!$B$5))*(1-$A155))-IF(C$1=0,'Underlying Mechanics'!$B$23*(1-$B155),0)-IF(C$1&gt;0,'Underlying Mechanics'!$B$22*'Underlying Mechanics'!$B$17,0)-IF(C$1&gt;0,'Underlying Mechanics'!$B$12*'Underlying Mechanics'!$B$18,0)</x:f>
        <x:v>-105000</x:v>
      </x:c>
      <x:c r="D155" t="n">
        <x:f>((IF(D$1-'Underlying Mechanics'!$B$8&lt;0,0,'Underlying Mechanics'!$B$22*'Underlying Mechanics'!$B$15*INDEX('Underlying Mechanics'!$B$31:$B$51,D$1-'Underlying Mechanics'!$B$8+1)*'Underlying Mechanics'!$B$5))*(1-$A155))-IF(D$1=0,'Underlying Mechanics'!$B$23*(1-$B155),0)-IF(D$1&gt;0,'Underlying Mechanics'!$B$22*'Underlying Mechanics'!$B$17,0)-IF(D$1&gt;0,'Underlying Mechanics'!$B$12*'Underlying Mechanics'!$B$18,0)</x:f>
        <x:v>-22500</x:v>
      </x:c>
      <x:c r="E155" t="n">
        <x:f>((IF(E$1-'Underlying Mechanics'!$B$8&lt;0,0,'Underlying Mechanics'!$B$22*'Underlying Mechanics'!$B$15*INDEX('Underlying Mechanics'!$B$31:$B$51,E$1-'Underlying Mechanics'!$B$8+1)*'Underlying Mechanics'!$B$5))*(1-$A155))-IF(E$1=0,'Underlying Mechanics'!$B$23*(1-$B155),0)-IF(E$1&gt;0,'Underlying Mechanics'!$B$22*'Underlying Mechanics'!$B$17,0)-IF(E$1&gt;0,'Underlying Mechanics'!$B$12*'Underlying Mechanics'!$B$18,0)</x:f>
        <x:v>-22500</x:v>
      </x:c>
      <x:c r="F155" t="n">
        <x:f>((IF(F$1-'Underlying Mechanics'!$B$8&lt;0,0,'Underlying Mechanics'!$B$22*'Underlying Mechanics'!$B$15*INDEX('Underlying Mechanics'!$B$31:$B$51,F$1-'Underlying Mechanics'!$B$8+1)*'Underlying Mechanics'!$B$5))*(1-$A155))-IF(F$1=0,'Underlying Mechanics'!$B$23*(1-$B155),0)-IF(F$1&gt;0,'Underlying Mechanics'!$B$22*'Underlying Mechanics'!$B$17,0)-IF(F$1&gt;0,'Underlying Mechanics'!$B$12*'Underlying Mechanics'!$B$18,0)</x:f>
        <x:v>-21780</x:v>
      </x:c>
      <x:c r="G155" t="n">
        <x:f>((IF(G$1-'Underlying Mechanics'!$B$8&lt;0,0,'Underlying Mechanics'!$B$22*'Underlying Mechanics'!$B$15*INDEX('Underlying Mechanics'!$B$31:$B$51,G$1-'Underlying Mechanics'!$B$8+1)*'Underlying Mechanics'!$B$5))*(1-$A155))-IF(G$1=0,'Underlying Mechanics'!$B$23*(1-$B155),0)-IF(G$1&gt;0,'Underlying Mechanics'!$B$22*'Underlying Mechanics'!$B$17,0)-IF(G$1&gt;0,'Underlying Mechanics'!$B$12*'Underlying Mechanics'!$B$18,0)</x:f>
        <x:v>-20700</x:v>
      </x:c>
      <x:c r="H155" t="n">
        <x:f>((IF(H$1-'Underlying Mechanics'!$B$8&lt;0,0,'Underlying Mechanics'!$B$22*'Underlying Mechanics'!$B$15*INDEX('Underlying Mechanics'!$B$31:$B$51,H$1-'Underlying Mechanics'!$B$8+1)*'Underlying Mechanics'!$B$5))*(1-$A155))-IF(H$1=0,'Underlying Mechanics'!$B$23*(1-$B155),0)-IF(H$1&gt;0,'Underlying Mechanics'!$B$22*'Underlying Mechanics'!$B$17,0)-IF(H$1&gt;0,'Underlying Mechanics'!$B$12*'Underlying Mechanics'!$B$18,0)</x:f>
        <x:v>-18900</x:v>
      </x:c>
      <x:c r="I155" t="n">
        <x:f>((IF(I$1-'Underlying Mechanics'!$B$8&lt;0,0,'Underlying Mechanics'!$B$22*'Underlying Mechanics'!$B$15*INDEX('Underlying Mechanics'!$B$31:$B$51,I$1-'Underlying Mechanics'!$B$8+1)*'Underlying Mechanics'!$B$5))*(1-$A155))-IF(I$1=0,'Underlying Mechanics'!$B$23*(1-$B155),0)-IF(I$1&gt;0,'Underlying Mechanics'!$B$22*'Underlying Mechanics'!$B$17,0)-IF(I$1&gt;0,'Underlying Mechanics'!$B$12*'Underlying Mechanics'!$B$18,0)</x:f>
        <x:v>-16020</x:v>
      </x:c>
      <x:c r="J155" t="n">
        <x:f>((IF(J$1-'Underlying Mechanics'!$B$8&lt;0,0,'Underlying Mechanics'!$B$22*'Underlying Mechanics'!$B$15*INDEX('Underlying Mechanics'!$B$31:$B$51,J$1-'Underlying Mechanics'!$B$8+1)*'Underlying Mechanics'!$B$5))*(1-$A155))-IF(J$1=0,'Underlying Mechanics'!$B$23*(1-$B155),0)-IF(J$1&gt;0,'Underlying Mechanics'!$B$22*'Underlying Mechanics'!$B$17,0)-IF(J$1&gt;0,'Underlying Mechanics'!$B$12*'Underlying Mechanics'!$B$18,0)</x:f>
        <x:v>-12419.999999999996</x:v>
      </x:c>
      <x:c r="K155" t="n">
        <x:f>((IF(K$1-'Underlying Mechanics'!$B$8&lt;0,0,'Underlying Mechanics'!$B$22*'Underlying Mechanics'!$B$15*INDEX('Underlying Mechanics'!$B$31:$B$51,K$1-'Underlying Mechanics'!$B$8+1)*'Underlying Mechanics'!$B$5))*(1-$A155))-IF(K$1=0,'Underlying Mechanics'!$B$23*(1-$B155),0)-IF(K$1&gt;0,'Underlying Mechanics'!$B$22*'Underlying Mechanics'!$B$17,0)-IF(K$1&gt;0,'Underlying Mechanics'!$B$12*'Underlying Mechanics'!$B$18,0)</x:f>
        <x:v>-8099.999999999998</x:v>
      </x:c>
      <x:c r="L155" t="n">
        <x:f>((IF(L$1-'Underlying Mechanics'!$B$8&lt;0,0,'Underlying Mechanics'!$B$22*'Underlying Mechanics'!$B$15*INDEX('Underlying Mechanics'!$B$31:$B$51,L$1-'Underlying Mechanics'!$B$8+1)*'Underlying Mechanics'!$B$5))*(1-$A155))-IF(L$1=0,'Underlying Mechanics'!$B$23*(1-$B155),0)-IF(L$1&gt;0,'Underlying Mechanics'!$B$22*'Underlying Mechanics'!$B$17,0)-IF(L$1&gt;0,'Underlying Mechanics'!$B$12*'Underlying Mechanics'!$B$18,0)</x:f>
        <x:v>-3059.9999999999964</x:v>
      </x:c>
      <x:c r="M155" t="n">
        <x:f>((IF(M$1-'Underlying Mechanics'!$B$8&lt;0,0,'Underlying Mechanics'!$B$22*'Underlying Mechanics'!$B$15*INDEX('Underlying Mechanics'!$B$31:$B$51,M$1-'Underlying Mechanics'!$B$8+1)*'Underlying Mechanics'!$B$5))*(1-$A155))-IF(M$1=0,'Underlying Mechanics'!$B$23*(1-$B155),0)-IF(M$1&gt;0,'Underlying Mechanics'!$B$22*'Underlying Mechanics'!$B$17,0)-IF(M$1&gt;0,'Underlying Mechanics'!$B$12*'Underlying Mechanics'!$B$18,0)</x:f>
        <x:v>1980.0000000000073</x:v>
      </x:c>
      <x:c r="N155" t="n">
        <x:f>((IF(N$1-'Underlying Mechanics'!$B$8&lt;0,0,'Underlying Mechanics'!$B$22*'Underlying Mechanics'!$B$15*INDEX('Underlying Mechanics'!$B$31:$B$51,N$1-'Underlying Mechanics'!$B$8+1)*'Underlying Mechanics'!$B$5))*(1-$A155))-IF(N$1=0,'Underlying Mechanics'!$B$23*(1-$B155),0)-IF(N$1&gt;0,'Underlying Mechanics'!$B$22*'Underlying Mechanics'!$B$17,0)-IF(N$1&gt;0,'Underlying Mechanics'!$B$12*'Underlying Mechanics'!$B$18,0)</x:f>
        <x:v>6300.000000000004</x:v>
      </x:c>
      <x:c r="O155" t="n">
        <x:f>((IF(O$1-'Underlying Mechanics'!$B$8&lt;0,0,'Underlying Mechanics'!$B$22*'Underlying Mechanics'!$B$15*INDEX('Underlying Mechanics'!$B$31:$B$51,O$1-'Underlying Mechanics'!$B$8+1)*'Underlying Mechanics'!$B$5))*(1-$A155))-IF(O$1=0,'Underlying Mechanics'!$B$23*(1-$B155),0)-IF(O$1&gt;0,'Underlying Mechanics'!$B$22*'Underlying Mechanics'!$B$17,0)-IF(O$1&gt;0,'Underlying Mechanics'!$B$12*'Underlying Mechanics'!$B$18,0)</x:f>
        <x:v>9900.000000000004</x:v>
      </x:c>
      <x:c r="P155" t="n">
        <x:f>((IF(P$1-'Underlying Mechanics'!$B$8&lt;0,0,'Underlying Mechanics'!$B$22*'Underlying Mechanics'!$B$15*INDEX('Underlying Mechanics'!$B$31:$B$51,P$1-'Underlying Mechanics'!$B$8+1)*'Underlying Mechanics'!$B$5))*(1-$A155))-IF(P$1=0,'Underlying Mechanics'!$B$23*(1-$B155),0)-IF(P$1&gt;0,'Underlying Mechanics'!$B$22*'Underlying Mechanics'!$B$17,0)-IF(P$1&gt;0,'Underlying Mechanics'!$B$12*'Underlying Mechanics'!$B$18,0)</x:f>
        <x:v>13500.000000000007</x:v>
      </x:c>
      <x:c r="Q155" t="n">
        <x:f>((IF(Q$1-'Underlying Mechanics'!$B$8&lt;0,0,'Underlying Mechanics'!$B$22*'Underlying Mechanics'!$B$15*INDEX('Underlying Mechanics'!$B$31:$B$51,Q$1-'Underlying Mechanics'!$B$8+1)*'Underlying Mechanics'!$B$5))*(1-$A155))-IF(Q$1=0,'Underlying Mechanics'!$B$23*(1-$B155),0)-IF(Q$1&gt;0,'Underlying Mechanics'!$B$22*'Underlying Mechanics'!$B$17,0)-IF(Q$1&gt;0,'Underlying Mechanics'!$B$12*'Underlying Mechanics'!$B$18,0)</x:f>
        <x:v>13500.000000000007</x:v>
      </x:c>
      <x:c r="R155" t="n">
        <x:f>((IF(R$1-'Underlying Mechanics'!$B$8&lt;0,0,'Underlying Mechanics'!$B$22*'Underlying Mechanics'!$B$15*INDEX('Underlying Mechanics'!$B$31:$B$51,R$1-'Underlying Mechanics'!$B$8+1)*'Underlying Mechanics'!$B$5))*(1-$A155))-IF(R$1=0,'Underlying Mechanics'!$B$23*(1-$B155),0)-IF(R$1&gt;0,'Underlying Mechanics'!$B$22*'Underlying Mechanics'!$B$17,0)-IF(R$1&gt;0,'Underlying Mechanics'!$B$12*'Underlying Mechanics'!$B$18,0)</x:f>
        <x:v>13500.000000000007</x:v>
      </x:c>
      <x:c r="S155" t="n">
        <x:f>((IF(S$1-'Underlying Mechanics'!$B$8&lt;0,0,'Underlying Mechanics'!$B$22*'Underlying Mechanics'!$B$15*INDEX('Underlying Mechanics'!$B$31:$B$51,S$1-'Underlying Mechanics'!$B$8+1)*'Underlying Mechanics'!$B$5))*(1-$A155))-IF(S$1=0,'Underlying Mechanics'!$B$23*(1-$B155),0)-IF(S$1&gt;0,'Underlying Mechanics'!$B$22*'Underlying Mechanics'!$B$17,0)-IF(S$1&gt;0,'Underlying Mechanics'!$B$12*'Underlying Mechanics'!$B$18,0)</x:f>
        <x:v>13500.000000000007</x:v>
      </x:c>
      <x:c r="T155" t="n">
        <x:f>((IF(T$1-'Underlying Mechanics'!$B$8&lt;0,0,'Underlying Mechanics'!$B$22*'Underlying Mechanics'!$B$15*INDEX('Underlying Mechanics'!$B$31:$B$51,T$1-'Underlying Mechanics'!$B$8+1)*'Underlying Mechanics'!$B$5))*(1-$A155))-IF(T$1=0,'Underlying Mechanics'!$B$23*(1-$B155),0)-IF(T$1&gt;0,'Underlying Mechanics'!$B$22*'Underlying Mechanics'!$B$17,0)-IF(T$1&gt;0,'Underlying Mechanics'!$B$12*'Underlying Mechanics'!$B$18,0)</x:f>
        <x:v>13500.000000000007</x:v>
      </x:c>
      <x:c r="U155" t="n">
        <x:f>((IF(U$1-'Underlying Mechanics'!$B$8&lt;0,0,'Underlying Mechanics'!$B$22*'Underlying Mechanics'!$B$15*INDEX('Underlying Mechanics'!$B$31:$B$51,U$1-'Underlying Mechanics'!$B$8+1)*'Underlying Mechanics'!$B$5))*(1-$A155))-IF(U$1=0,'Underlying Mechanics'!$B$23*(1-$B155),0)-IF(U$1&gt;0,'Underlying Mechanics'!$B$22*'Underlying Mechanics'!$B$17,0)-IF(U$1&gt;0,'Underlying Mechanics'!$B$12*'Underlying Mechanics'!$B$18,0)</x:f>
        <x:v>13500.000000000007</x:v>
      </x:c>
      <x:c r="V155" t="n">
        <x:f>((IF(V$1-'Underlying Mechanics'!$B$8&lt;0,0,'Underlying Mechanics'!$B$22*'Underlying Mechanics'!$B$15*INDEX('Underlying Mechanics'!$B$31:$B$51,V$1-'Underlying Mechanics'!$B$8+1)*'Underlying Mechanics'!$B$5))*(1-$A155))-IF(V$1=0,'Underlying Mechanics'!$B$23*(1-$B155),0)-IF(V$1&gt;0,'Underlying Mechanics'!$B$22*'Underlying Mechanics'!$B$17,0)-IF(V$1&gt;0,'Underlying Mechanics'!$B$12*'Underlying Mechanics'!$B$18,0)</x:f>
        <x:v>13500.000000000007</x:v>
      </x:c>
      <x:c r="W155" t="n">
        <x:f>((IF(W$1-'Underlying Mechanics'!$B$8&lt;0,0,'Underlying Mechanics'!$B$22*'Underlying Mechanics'!$B$15*INDEX('Underlying Mechanics'!$B$31:$B$51,W$1-'Underlying Mechanics'!$B$8+1)*'Underlying Mechanics'!$B$5))*(1-$A155))-IF(W$1=0,'Underlying Mechanics'!$B$23*(1-$B155),0)-IF(W$1&gt;0,'Underlying Mechanics'!$B$22*'Underlying Mechanics'!$B$17,0)-IF(W$1&gt;0,'Underlying Mechanics'!$B$12*'Underlying Mechanics'!$B$18,0)</x:f>
        <x:v>13500.000000000007</x:v>
      </x:c>
      <x:c r="X155" t="n">
        <x:f>IFERROR(IRR(C155:W155),-1)</x:f>
        <x:v>-0.04982618182211747</x:v>
      </x:c>
    </x:row>
    <x:row r="156">
      <x:c r="A156" t="n">
        <x:v>0.7</x:v>
      </x:c>
      <x:c r="B156" t="n">
        <x:v>0.35</x:v>
      </x:c>
      <x:c r="C156" t="n">
        <x:f>((IF(C$1-'Underlying Mechanics'!$B$8&lt;0,0,'Underlying Mechanics'!$B$22*'Underlying Mechanics'!$B$15*INDEX('Underlying Mechanics'!$B$31:$B$51,C$1-'Underlying Mechanics'!$B$8+1)*'Underlying Mechanics'!$B$5))*(1-$A156))-IF(C$1=0,'Underlying Mechanics'!$B$23*(1-$B156),0)-IF(C$1&gt;0,'Underlying Mechanics'!$B$22*'Underlying Mechanics'!$B$17,0)-IF(C$1&gt;0,'Underlying Mechanics'!$B$12*'Underlying Mechanics'!$B$18,0)</x:f>
        <x:v>-97500</x:v>
      </x:c>
      <x:c r="D156" t="n">
        <x:f>((IF(D$1-'Underlying Mechanics'!$B$8&lt;0,0,'Underlying Mechanics'!$B$22*'Underlying Mechanics'!$B$15*INDEX('Underlying Mechanics'!$B$31:$B$51,D$1-'Underlying Mechanics'!$B$8+1)*'Underlying Mechanics'!$B$5))*(1-$A156))-IF(D$1=0,'Underlying Mechanics'!$B$23*(1-$B156),0)-IF(D$1&gt;0,'Underlying Mechanics'!$B$22*'Underlying Mechanics'!$B$17,0)-IF(D$1&gt;0,'Underlying Mechanics'!$B$12*'Underlying Mechanics'!$B$18,0)</x:f>
        <x:v>-22500</x:v>
      </x:c>
      <x:c r="E156" t="n">
        <x:f>((IF(E$1-'Underlying Mechanics'!$B$8&lt;0,0,'Underlying Mechanics'!$B$22*'Underlying Mechanics'!$B$15*INDEX('Underlying Mechanics'!$B$31:$B$51,E$1-'Underlying Mechanics'!$B$8+1)*'Underlying Mechanics'!$B$5))*(1-$A156))-IF(E$1=0,'Underlying Mechanics'!$B$23*(1-$B156),0)-IF(E$1&gt;0,'Underlying Mechanics'!$B$22*'Underlying Mechanics'!$B$17,0)-IF(E$1&gt;0,'Underlying Mechanics'!$B$12*'Underlying Mechanics'!$B$18,0)</x:f>
        <x:v>-22500</x:v>
      </x:c>
      <x:c r="F156" t="n">
        <x:f>((IF(F$1-'Underlying Mechanics'!$B$8&lt;0,0,'Underlying Mechanics'!$B$22*'Underlying Mechanics'!$B$15*INDEX('Underlying Mechanics'!$B$31:$B$51,F$1-'Underlying Mechanics'!$B$8+1)*'Underlying Mechanics'!$B$5))*(1-$A156))-IF(F$1=0,'Underlying Mechanics'!$B$23*(1-$B156),0)-IF(F$1&gt;0,'Underlying Mechanics'!$B$22*'Underlying Mechanics'!$B$17,0)-IF(F$1&gt;0,'Underlying Mechanics'!$B$12*'Underlying Mechanics'!$B$18,0)</x:f>
        <x:v>-21780</x:v>
      </x:c>
      <x:c r="G156" t="n">
        <x:f>((IF(G$1-'Underlying Mechanics'!$B$8&lt;0,0,'Underlying Mechanics'!$B$22*'Underlying Mechanics'!$B$15*INDEX('Underlying Mechanics'!$B$31:$B$51,G$1-'Underlying Mechanics'!$B$8+1)*'Underlying Mechanics'!$B$5))*(1-$A156))-IF(G$1=0,'Underlying Mechanics'!$B$23*(1-$B156),0)-IF(G$1&gt;0,'Underlying Mechanics'!$B$22*'Underlying Mechanics'!$B$17,0)-IF(G$1&gt;0,'Underlying Mechanics'!$B$12*'Underlying Mechanics'!$B$18,0)</x:f>
        <x:v>-20700</x:v>
      </x:c>
      <x:c r="H156" t="n">
        <x:f>((IF(H$1-'Underlying Mechanics'!$B$8&lt;0,0,'Underlying Mechanics'!$B$22*'Underlying Mechanics'!$B$15*INDEX('Underlying Mechanics'!$B$31:$B$51,H$1-'Underlying Mechanics'!$B$8+1)*'Underlying Mechanics'!$B$5))*(1-$A156))-IF(H$1=0,'Underlying Mechanics'!$B$23*(1-$B156),0)-IF(H$1&gt;0,'Underlying Mechanics'!$B$22*'Underlying Mechanics'!$B$17,0)-IF(H$1&gt;0,'Underlying Mechanics'!$B$12*'Underlying Mechanics'!$B$18,0)</x:f>
        <x:v>-18900</x:v>
      </x:c>
      <x:c r="I156" t="n">
        <x:f>((IF(I$1-'Underlying Mechanics'!$B$8&lt;0,0,'Underlying Mechanics'!$B$22*'Underlying Mechanics'!$B$15*INDEX('Underlying Mechanics'!$B$31:$B$51,I$1-'Underlying Mechanics'!$B$8+1)*'Underlying Mechanics'!$B$5))*(1-$A156))-IF(I$1=0,'Underlying Mechanics'!$B$23*(1-$B156),0)-IF(I$1&gt;0,'Underlying Mechanics'!$B$22*'Underlying Mechanics'!$B$17,0)-IF(I$1&gt;0,'Underlying Mechanics'!$B$12*'Underlying Mechanics'!$B$18,0)</x:f>
        <x:v>-16020</x:v>
      </x:c>
      <x:c r="J156" t="n">
        <x:f>((IF(J$1-'Underlying Mechanics'!$B$8&lt;0,0,'Underlying Mechanics'!$B$22*'Underlying Mechanics'!$B$15*INDEX('Underlying Mechanics'!$B$31:$B$51,J$1-'Underlying Mechanics'!$B$8+1)*'Underlying Mechanics'!$B$5))*(1-$A156))-IF(J$1=0,'Underlying Mechanics'!$B$23*(1-$B156),0)-IF(J$1&gt;0,'Underlying Mechanics'!$B$22*'Underlying Mechanics'!$B$17,0)-IF(J$1&gt;0,'Underlying Mechanics'!$B$12*'Underlying Mechanics'!$B$18,0)</x:f>
        <x:v>-12419.999999999996</x:v>
      </x:c>
      <x:c r="K156" t="n">
        <x:f>((IF(K$1-'Underlying Mechanics'!$B$8&lt;0,0,'Underlying Mechanics'!$B$22*'Underlying Mechanics'!$B$15*INDEX('Underlying Mechanics'!$B$31:$B$51,K$1-'Underlying Mechanics'!$B$8+1)*'Underlying Mechanics'!$B$5))*(1-$A156))-IF(K$1=0,'Underlying Mechanics'!$B$23*(1-$B156),0)-IF(K$1&gt;0,'Underlying Mechanics'!$B$22*'Underlying Mechanics'!$B$17,0)-IF(K$1&gt;0,'Underlying Mechanics'!$B$12*'Underlying Mechanics'!$B$18,0)</x:f>
        <x:v>-8099.999999999998</x:v>
      </x:c>
      <x:c r="L156" t="n">
        <x:f>((IF(L$1-'Underlying Mechanics'!$B$8&lt;0,0,'Underlying Mechanics'!$B$22*'Underlying Mechanics'!$B$15*INDEX('Underlying Mechanics'!$B$31:$B$51,L$1-'Underlying Mechanics'!$B$8+1)*'Underlying Mechanics'!$B$5))*(1-$A156))-IF(L$1=0,'Underlying Mechanics'!$B$23*(1-$B156),0)-IF(L$1&gt;0,'Underlying Mechanics'!$B$22*'Underlying Mechanics'!$B$17,0)-IF(L$1&gt;0,'Underlying Mechanics'!$B$12*'Underlying Mechanics'!$B$18,0)</x:f>
        <x:v>-3059.9999999999964</x:v>
      </x:c>
      <x:c r="M156" t="n">
        <x:f>((IF(M$1-'Underlying Mechanics'!$B$8&lt;0,0,'Underlying Mechanics'!$B$22*'Underlying Mechanics'!$B$15*INDEX('Underlying Mechanics'!$B$31:$B$51,M$1-'Underlying Mechanics'!$B$8+1)*'Underlying Mechanics'!$B$5))*(1-$A156))-IF(M$1=0,'Underlying Mechanics'!$B$23*(1-$B156),0)-IF(M$1&gt;0,'Underlying Mechanics'!$B$22*'Underlying Mechanics'!$B$17,0)-IF(M$1&gt;0,'Underlying Mechanics'!$B$12*'Underlying Mechanics'!$B$18,0)</x:f>
        <x:v>1980.0000000000073</x:v>
      </x:c>
      <x:c r="N156" t="n">
        <x:f>((IF(N$1-'Underlying Mechanics'!$B$8&lt;0,0,'Underlying Mechanics'!$B$22*'Underlying Mechanics'!$B$15*INDEX('Underlying Mechanics'!$B$31:$B$51,N$1-'Underlying Mechanics'!$B$8+1)*'Underlying Mechanics'!$B$5))*(1-$A156))-IF(N$1=0,'Underlying Mechanics'!$B$23*(1-$B156),0)-IF(N$1&gt;0,'Underlying Mechanics'!$B$22*'Underlying Mechanics'!$B$17,0)-IF(N$1&gt;0,'Underlying Mechanics'!$B$12*'Underlying Mechanics'!$B$18,0)</x:f>
        <x:v>6300.000000000004</x:v>
      </x:c>
      <x:c r="O156" t="n">
        <x:f>((IF(O$1-'Underlying Mechanics'!$B$8&lt;0,0,'Underlying Mechanics'!$B$22*'Underlying Mechanics'!$B$15*INDEX('Underlying Mechanics'!$B$31:$B$51,O$1-'Underlying Mechanics'!$B$8+1)*'Underlying Mechanics'!$B$5))*(1-$A156))-IF(O$1=0,'Underlying Mechanics'!$B$23*(1-$B156),0)-IF(O$1&gt;0,'Underlying Mechanics'!$B$22*'Underlying Mechanics'!$B$17,0)-IF(O$1&gt;0,'Underlying Mechanics'!$B$12*'Underlying Mechanics'!$B$18,0)</x:f>
        <x:v>9900.000000000004</x:v>
      </x:c>
      <x:c r="P156" t="n">
        <x:f>((IF(P$1-'Underlying Mechanics'!$B$8&lt;0,0,'Underlying Mechanics'!$B$22*'Underlying Mechanics'!$B$15*INDEX('Underlying Mechanics'!$B$31:$B$51,P$1-'Underlying Mechanics'!$B$8+1)*'Underlying Mechanics'!$B$5))*(1-$A156))-IF(P$1=0,'Underlying Mechanics'!$B$23*(1-$B156),0)-IF(P$1&gt;0,'Underlying Mechanics'!$B$22*'Underlying Mechanics'!$B$17,0)-IF(P$1&gt;0,'Underlying Mechanics'!$B$12*'Underlying Mechanics'!$B$18,0)</x:f>
        <x:v>13500.000000000007</x:v>
      </x:c>
      <x:c r="Q156" t="n">
        <x:f>((IF(Q$1-'Underlying Mechanics'!$B$8&lt;0,0,'Underlying Mechanics'!$B$22*'Underlying Mechanics'!$B$15*INDEX('Underlying Mechanics'!$B$31:$B$51,Q$1-'Underlying Mechanics'!$B$8+1)*'Underlying Mechanics'!$B$5))*(1-$A156))-IF(Q$1=0,'Underlying Mechanics'!$B$23*(1-$B156),0)-IF(Q$1&gt;0,'Underlying Mechanics'!$B$22*'Underlying Mechanics'!$B$17,0)-IF(Q$1&gt;0,'Underlying Mechanics'!$B$12*'Underlying Mechanics'!$B$18,0)</x:f>
        <x:v>13500.000000000007</x:v>
      </x:c>
      <x:c r="R156" t="n">
        <x:f>((IF(R$1-'Underlying Mechanics'!$B$8&lt;0,0,'Underlying Mechanics'!$B$22*'Underlying Mechanics'!$B$15*INDEX('Underlying Mechanics'!$B$31:$B$51,R$1-'Underlying Mechanics'!$B$8+1)*'Underlying Mechanics'!$B$5))*(1-$A156))-IF(R$1=0,'Underlying Mechanics'!$B$23*(1-$B156),0)-IF(R$1&gt;0,'Underlying Mechanics'!$B$22*'Underlying Mechanics'!$B$17,0)-IF(R$1&gt;0,'Underlying Mechanics'!$B$12*'Underlying Mechanics'!$B$18,0)</x:f>
        <x:v>13500.000000000007</x:v>
      </x:c>
      <x:c r="S156" t="n">
        <x:f>((IF(S$1-'Underlying Mechanics'!$B$8&lt;0,0,'Underlying Mechanics'!$B$22*'Underlying Mechanics'!$B$15*INDEX('Underlying Mechanics'!$B$31:$B$51,S$1-'Underlying Mechanics'!$B$8+1)*'Underlying Mechanics'!$B$5))*(1-$A156))-IF(S$1=0,'Underlying Mechanics'!$B$23*(1-$B156),0)-IF(S$1&gt;0,'Underlying Mechanics'!$B$22*'Underlying Mechanics'!$B$17,0)-IF(S$1&gt;0,'Underlying Mechanics'!$B$12*'Underlying Mechanics'!$B$18,0)</x:f>
        <x:v>13500.000000000007</x:v>
      </x:c>
      <x:c r="T156" t="n">
        <x:f>((IF(T$1-'Underlying Mechanics'!$B$8&lt;0,0,'Underlying Mechanics'!$B$22*'Underlying Mechanics'!$B$15*INDEX('Underlying Mechanics'!$B$31:$B$51,T$1-'Underlying Mechanics'!$B$8+1)*'Underlying Mechanics'!$B$5))*(1-$A156))-IF(T$1=0,'Underlying Mechanics'!$B$23*(1-$B156),0)-IF(T$1&gt;0,'Underlying Mechanics'!$B$22*'Underlying Mechanics'!$B$17,0)-IF(T$1&gt;0,'Underlying Mechanics'!$B$12*'Underlying Mechanics'!$B$18,0)</x:f>
        <x:v>13500.000000000007</x:v>
      </x:c>
      <x:c r="U156" t="n">
        <x:f>((IF(U$1-'Underlying Mechanics'!$B$8&lt;0,0,'Underlying Mechanics'!$B$22*'Underlying Mechanics'!$B$15*INDEX('Underlying Mechanics'!$B$31:$B$51,U$1-'Underlying Mechanics'!$B$8+1)*'Underlying Mechanics'!$B$5))*(1-$A156))-IF(U$1=0,'Underlying Mechanics'!$B$23*(1-$B156),0)-IF(U$1&gt;0,'Underlying Mechanics'!$B$22*'Underlying Mechanics'!$B$17,0)-IF(U$1&gt;0,'Underlying Mechanics'!$B$12*'Underlying Mechanics'!$B$18,0)</x:f>
        <x:v>13500.000000000007</x:v>
      </x:c>
      <x:c r="V156" t="n">
        <x:f>((IF(V$1-'Underlying Mechanics'!$B$8&lt;0,0,'Underlying Mechanics'!$B$22*'Underlying Mechanics'!$B$15*INDEX('Underlying Mechanics'!$B$31:$B$51,V$1-'Underlying Mechanics'!$B$8+1)*'Underlying Mechanics'!$B$5))*(1-$A156))-IF(V$1=0,'Underlying Mechanics'!$B$23*(1-$B156),0)-IF(V$1&gt;0,'Underlying Mechanics'!$B$22*'Underlying Mechanics'!$B$17,0)-IF(V$1&gt;0,'Underlying Mechanics'!$B$12*'Underlying Mechanics'!$B$18,0)</x:f>
        <x:v>13500.000000000007</x:v>
      </x:c>
      <x:c r="W156" t="n">
        <x:f>((IF(W$1-'Underlying Mechanics'!$B$8&lt;0,0,'Underlying Mechanics'!$B$22*'Underlying Mechanics'!$B$15*INDEX('Underlying Mechanics'!$B$31:$B$51,W$1-'Underlying Mechanics'!$B$8+1)*'Underlying Mechanics'!$B$5))*(1-$A156))-IF(W$1=0,'Underlying Mechanics'!$B$23*(1-$B156),0)-IF(W$1&gt;0,'Underlying Mechanics'!$B$22*'Underlying Mechanics'!$B$17,0)-IF(W$1&gt;0,'Underlying Mechanics'!$B$12*'Underlying Mechanics'!$B$18,0)</x:f>
        <x:v>13500.000000000007</x:v>
      </x:c>
      <x:c r="X156" t="n">
        <x:f>IFERROR(IRR(C156:W156),-1)</x:f>
        <x:v>-0.04793449165415971</x:v>
      </x:c>
    </x:row>
    <x:row r="157">
      <x:c r="A157" t="n">
        <x:v>0.7</x:v>
      </x:c>
      <x:c r="B157" t="n">
        <x:v>0.4</x:v>
      </x:c>
      <x:c r="C157" t="n">
        <x:f>((IF(C$1-'Underlying Mechanics'!$B$8&lt;0,0,'Underlying Mechanics'!$B$22*'Underlying Mechanics'!$B$15*INDEX('Underlying Mechanics'!$B$31:$B$51,C$1-'Underlying Mechanics'!$B$8+1)*'Underlying Mechanics'!$B$5))*(1-$A157))-IF(C$1=0,'Underlying Mechanics'!$B$23*(1-$B157),0)-IF(C$1&gt;0,'Underlying Mechanics'!$B$22*'Underlying Mechanics'!$B$17,0)-IF(C$1&gt;0,'Underlying Mechanics'!$B$12*'Underlying Mechanics'!$B$18,0)</x:f>
        <x:v>-90000</x:v>
      </x:c>
      <x:c r="D157" t="n">
        <x:f>((IF(D$1-'Underlying Mechanics'!$B$8&lt;0,0,'Underlying Mechanics'!$B$22*'Underlying Mechanics'!$B$15*INDEX('Underlying Mechanics'!$B$31:$B$51,D$1-'Underlying Mechanics'!$B$8+1)*'Underlying Mechanics'!$B$5))*(1-$A157))-IF(D$1=0,'Underlying Mechanics'!$B$23*(1-$B157),0)-IF(D$1&gt;0,'Underlying Mechanics'!$B$22*'Underlying Mechanics'!$B$17,0)-IF(D$1&gt;0,'Underlying Mechanics'!$B$12*'Underlying Mechanics'!$B$18,0)</x:f>
        <x:v>-22500</x:v>
      </x:c>
      <x:c r="E157" t="n">
        <x:f>((IF(E$1-'Underlying Mechanics'!$B$8&lt;0,0,'Underlying Mechanics'!$B$22*'Underlying Mechanics'!$B$15*INDEX('Underlying Mechanics'!$B$31:$B$51,E$1-'Underlying Mechanics'!$B$8+1)*'Underlying Mechanics'!$B$5))*(1-$A157))-IF(E$1=0,'Underlying Mechanics'!$B$23*(1-$B157),0)-IF(E$1&gt;0,'Underlying Mechanics'!$B$22*'Underlying Mechanics'!$B$17,0)-IF(E$1&gt;0,'Underlying Mechanics'!$B$12*'Underlying Mechanics'!$B$18,0)</x:f>
        <x:v>-22500</x:v>
      </x:c>
      <x:c r="F157" t="n">
        <x:f>((IF(F$1-'Underlying Mechanics'!$B$8&lt;0,0,'Underlying Mechanics'!$B$22*'Underlying Mechanics'!$B$15*INDEX('Underlying Mechanics'!$B$31:$B$51,F$1-'Underlying Mechanics'!$B$8+1)*'Underlying Mechanics'!$B$5))*(1-$A157))-IF(F$1=0,'Underlying Mechanics'!$B$23*(1-$B157),0)-IF(F$1&gt;0,'Underlying Mechanics'!$B$22*'Underlying Mechanics'!$B$17,0)-IF(F$1&gt;0,'Underlying Mechanics'!$B$12*'Underlying Mechanics'!$B$18,0)</x:f>
        <x:v>-21780</x:v>
      </x:c>
      <x:c r="G157" t="n">
        <x:f>((IF(G$1-'Underlying Mechanics'!$B$8&lt;0,0,'Underlying Mechanics'!$B$22*'Underlying Mechanics'!$B$15*INDEX('Underlying Mechanics'!$B$31:$B$51,G$1-'Underlying Mechanics'!$B$8+1)*'Underlying Mechanics'!$B$5))*(1-$A157))-IF(G$1=0,'Underlying Mechanics'!$B$23*(1-$B157),0)-IF(G$1&gt;0,'Underlying Mechanics'!$B$22*'Underlying Mechanics'!$B$17,0)-IF(G$1&gt;0,'Underlying Mechanics'!$B$12*'Underlying Mechanics'!$B$18,0)</x:f>
        <x:v>-20700</x:v>
      </x:c>
      <x:c r="H157" t="n">
        <x:f>((IF(H$1-'Underlying Mechanics'!$B$8&lt;0,0,'Underlying Mechanics'!$B$22*'Underlying Mechanics'!$B$15*INDEX('Underlying Mechanics'!$B$31:$B$51,H$1-'Underlying Mechanics'!$B$8+1)*'Underlying Mechanics'!$B$5))*(1-$A157))-IF(H$1=0,'Underlying Mechanics'!$B$23*(1-$B157),0)-IF(H$1&gt;0,'Underlying Mechanics'!$B$22*'Underlying Mechanics'!$B$17,0)-IF(H$1&gt;0,'Underlying Mechanics'!$B$12*'Underlying Mechanics'!$B$18,0)</x:f>
        <x:v>-18900</x:v>
      </x:c>
      <x:c r="I157" t="n">
        <x:f>((IF(I$1-'Underlying Mechanics'!$B$8&lt;0,0,'Underlying Mechanics'!$B$22*'Underlying Mechanics'!$B$15*INDEX('Underlying Mechanics'!$B$31:$B$51,I$1-'Underlying Mechanics'!$B$8+1)*'Underlying Mechanics'!$B$5))*(1-$A157))-IF(I$1=0,'Underlying Mechanics'!$B$23*(1-$B157),0)-IF(I$1&gt;0,'Underlying Mechanics'!$B$22*'Underlying Mechanics'!$B$17,0)-IF(I$1&gt;0,'Underlying Mechanics'!$B$12*'Underlying Mechanics'!$B$18,0)</x:f>
        <x:v>-16020</x:v>
      </x:c>
      <x:c r="J157" t="n">
        <x:f>((IF(J$1-'Underlying Mechanics'!$B$8&lt;0,0,'Underlying Mechanics'!$B$22*'Underlying Mechanics'!$B$15*INDEX('Underlying Mechanics'!$B$31:$B$51,J$1-'Underlying Mechanics'!$B$8+1)*'Underlying Mechanics'!$B$5))*(1-$A157))-IF(J$1=0,'Underlying Mechanics'!$B$23*(1-$B157),0)-IF(J$1&gt;0,'Underlying Mechanics'!$B$22*'Underlying Mechanics'!$B$17,0)-IF(J$1&gt;0,'Underlying Mechanics'!$B$12*'Underlying Mechanics'!$B$18,0)</x:f>
        <x:v>-12419.999999999996</x:v>
      </x:c>
      <x:c r="K157" t="n">
        <x:f>((IF(K$1-'Underlying Mechanics'!$B$8&lt;0,0,'Underlying Mechanics'!$B$22*'Underlying Mechanics'!$B$15*INDEX('Underlying Mechanics'!$B$31:$B$51,K$1-'Underlying Mechanics'!$B$8+1)*'Underlying Mechanics'!$B$5))*(1-$A157))-IF(K$1=0,'Underlying Mechanics'!$B$23*(1-$B157),0)-IF(K$1&gt;0,'Underlying Mechanics'!$B$22*'Underlying Mechanics'!$B$17,0)-IF(K$1&gt;0,'Underlying Mechanics'!$B$12*'Underlying Mechanics'!$B$18,0)</x:f>
        <x:v>-8099.999999999998</x:v>
      </x:c>
      <x:c r="L157" t="n">
        <x:f>((IF(L$1-'Underlying Mechanics'!$B$8&lt;0,0,'Underlying Mechanics'!$B$22*'Underlying Mechanics'!$B$15*INDEX('Underlying Mechanics'!$B$31:$B$51,L$1-'Underlying Mechanics'!$B$8+1)*'Underlying Mechanics'!$B$5))*(1-$A157))-IF(L$1=0,'Underlying Mechanics'!$B$23*(1-$B157),0)-IF(L$1&gt;0,'Underlying Mechanics'!$B$22*'Underlying Mechanics'!$B$17,0)-IF(L$1&gt;0,'Underlying Mechanics'!$B$12*'Underlying Mechanics'!$B$18,0)</x:f>
        <x:v>-3059.9999999999964</x:v>
      </x:c>
      <x:c r="M157" t="n">
        <x:f>((IF(M$1-'Underlying Mechanics'!$B$8&lt;0,0,'Underlying Mechanics'!$B$22*'Underlying Mechanics'!$B$15*INDEX('Underlying Mechanics'!$B$31:$B$51,M$1-'Underlying Mechanics'!$B$8+1)*'Underlying Mechanics'!$B$5))*(1-$A157))-IF(M$1=0,'Underlying Mechanics'!$B$23*(1-$B157),0)-IF(M$1&gt;0,'Underlying Mechanics'!$B$22*'Underlying Mechanics'!$B$17,0)-IF(M$1&gt;0,'Underlying Mechanics'!$B$12*'Underlying Mechanics'!$B$18,0)</x:f>
        <x:v>1980.0000000000073</x:v>
      </x:c>
      <x:c r="N157" t="n">
        <x:f>((IF(N$1-'Underlying Mechanics'!$B$8&lt;0,0,'Underlying Mechanics'!$B$22*'Underlying Mechanics'!$B$15*INDEX('Underlying Mechanics'!$B$31:$B$51,N$1-'Underlying Mechanics'!$B$8+1)*'Underlying Mechanics'!$B$5))*(1-$A157))-IF(N$1=0,'Underlying Mechanics'!$B$23*(1-$B157),0)-IF(N$1&gt;0,'Underlying Mechanics'!$B$22*'Underlying Mechanics'!$B$17,0)-IF(N$1&gt;0,'Underlying Mechanics'!$B$12*'Underlying Mechanics'!$B$18,0)</x:f>
        <x:v>6300.000000000004</x:v>
      </x:c>
      <x:c r="O157" t="n">
        <x:f>((IF(O$1-'Underlying Mechanics'!$B$8&lt;0,0,'Underlying Mechanics'!$B$22*'Underlying Mechanics'!$B$15*INDEX('Underlying Mechanics'!$B$31:$B$51,O$1-'Underlying Mechanics'!$B$8+1)*'Underlying Mechanics'!$B$5))*(1-$A157))-IF(O$1=0,'Underlying Mechanics'!$B$23*(1-$B157),0)-IF(O$1&gt;0,'Underlying Mechanics'!$B$22*'Underlying Mechanics'!$B$17,0)-IF(O$1&gt;0,'Underlying Mechanics'!$B$12*'Underlying Mechanics'!$B$18,0)</x:f>
        <x:v>9900.000000000004</x:v>
      </x:c>
      <x:c r="P157" t="n">
        <x:f>((IF(P$1-'Underlying Mechanics'!$B$8&lt;0,0,'Underlying Mechanics'!$B$22*'Underlying Mechanics'!$B$15*INDEX('Underlying Mechanics'!$B$31:$B$51,P$1-'Underlying Mechanics'!$B$8+1)*'Underlying Mechanics'!$B$5))*(1-$A157))-IF(P$1=0,'Underlying Mechanics'!$B$23*(1-$B157),0)-IF(P$1&gt;0,'Underlying Mechanics'!$B$22*'Underlying Mechanics'!$B$17,0)-IF(P$1&gt;0,'Underlying Mechanics'!$B$12*'Underlying Mechanics'!$B$18,0)</x:f>
        <x:v>13500.000000000007</x:v>
      </x:c>
      <x:c r="Q157" t="n">
        <x:f>((IF(Q$1-'Underlying Mechanics'!$B$8&lt;0,0,'Underlying Mechanics'!$B$22*'Underlying Mechanics'!$B$15*INDEX('Underlying Mechanics'!$B$31:$B$51,Q$1-'Underlying Mechanics'!$B$8+1)*'Underlying Mechanics'!$B$5))*(1-$A157))-IF(Q$1=0,'Underlying Mechanics'!$B$23*(1-$B157),0)-IF(Q$1&gt;0,'Underlying Mechanics'!$B$22*'Underlying Mechanics'!$B$17,0)-IF(Q$1&gt;0,'Underlying Mechanics'!$B$12*'Underlying Mechanics'!$B$18,0)</x:f>
        <x:v>13500.000000000007</x:v>
      </x:c>
      <x:c r="R157" t="n">
        <x:f>((IF(R$1-'Underlying Mechanics'!$B$8&lt;0,0,'Underlying Mechanics'!$B$22*'Underlying Mechanics'!$B$15*INDEX('Underlying Mechanics'!$B$31:$B$51,R$1-'Underlying Mechanics'!$B$8+1)*'Underlying Mechanics'!$B$5))*(1-$A157))-IF(R$1=0,'Underlying Mechanics'!$B$23*(1-$B157),0)-IF(R$1&gt;0,'Underlying Mechanics'!$B$22*'Underlying Mechanics'!$B$17,0)-IF(R$1&gt;0,'Underlying Mechanics'!$B$12*'Underlying Mechanics'!$B$18,0)</x:f>
        <x:v>13500.000000000007</x:v>
      </x:c>
      <x:c r="S157" t="n">
        <x:f>((IF(S$1-'Underlying Mechanics'!$B$8&lt;0,0,'Underlying Mechanics'!$B$22*'Underlying Mechanics'!$B$15*INDEX('Underlying Mechanics'!$B$31:$B$51,S$1-'Underlying Mechanics'!$B$8+1)*'Underlying Mechanics'!$B$5))*(1-$A157))-IF(S$1=0,'Underlying Mechanics'!$B$23*(1-$B157),0)-IF(S$1&gt;0,'Underlying Mechanics'!$B$22*'Underlying Mechanics'!$B$17,0)-IF(S$1&gt;0,'Underlying Mechanics'!$B$12*'Underlying Mechanics'!$B$18,0)</x:f>
        <x:v>13500.000000000007</x:v>
      </x:c>
      <x:c r="T157" t="n">
        <x:f>((IF(T$1-'Underlying Mechanics'!$B$8&lt;0,0,'Underlying Mechanics'!$B$22*'Underlying Mechanics'!$B$15*INDEX('Underlying Mechanics'!$B$31:$B$51,T$1-'Underlying Mechanics'!$B$8+1)*'Underlying Mechanics'!$B$5))*(1-$A157))-IF(T$1=0,'Underlying Mechanics'!$B$23*(1-$B157),0)-IF(T$1&gt;0,'Underlying Mechanics'!$B$22*'Underlying Mechanics'!$B$17,0)-IF(T$1&gt;0,'Underlying Mechanics'!$B$12*'Underlying Mechanics'!$B$18,0)</x:f>
        <x:v>13500.000000000007</x:v>
      </x:c>
      <x:c r="U157" t="n">
        <x:f>((IF(U$1-'Underlying Mechanics'!$B$8&lt;0,0,'Underlying Mechanics'!$B$22*'Underlying Mechanics'!$B$15*INDEX('Underlying Mechanics'!$B$31:$B$51,U$1-'Underlying Mechanics'!$B$8+1)*'Underlying Mechanics'!$B$5))*(1-$A157))-IF(U$1=0,'Underlying Mechanics'!$B$23*(1-$B157),0)-IF(U$1&gt;0,'Underlying Mechanics'!$B$22*'Underlying Mechanics'!$B$17,0)-IF(U$1&gt;0,'Underlying Mechanics'!$B$12*'Underlying Mechanics'!$B$18,0)</x:f>
        <x:v>13500.000000000007</x:v>
      </x:c>
      <x:c r="V157" t="n">
        <x:f>((IF(V$1-'Underlying Mechanics'!$B$8&lt;0,0,'Underlying Mechanics'!$B$22*'Underlying Mechanics'!$B$15*INDEX('Underlying Mechanics'!$B$31:$B$51,V$1-'Underlying Mechanics'!$B$8+1)*'Underlying Mechanics'!$B$5))*(1-$A157))-IF(V$1=0,'Underlying Mechanics'!$B$23*(1-$B157),0)-IF(V$1&gt;0,'Underlying Mechanics'!$B$22*'Underlying Mechanics'!$B$17,0)-IF(V$1&gt;0,'Underlying Mechanics'!$B$12*'Underlying Mechanics'!$B$18,0)</x:f>
        <x:v>13500.000000000007</x:v>
      </x:c>
      <x:c r="W157" t="n">
        <x:f>((IF(W$1-'Underlying Mechanics'!$B$8&lt;0,0,'Underlying Mechanics'!$B$22*'Underlying Mechanics'!$B$15*INDEX('Underlying Mechanics'!$B$31:$B$51,W$1-'Underlying Mechanics'!$B$8+1)*'Underlying Mechanics'!$B$5))*(1-$A157))-IF(W$1=0,'Underlying Mechanics'!$B$23*(1-$B157),0)-IF(W$1&gt;0,'Underlying Mechanics'!$B$22*'Underlying Mechanics'!$B$17,0)-IF(W$1&gt;0,'Underlying Mechanics'!$B$12*'Underlying Mechanics'!$B$18,0)</x:f>
        <x:v>13500.000000000007</x:v>
      </x:c>
      <x:c r="X157" t="n">
        <x:f>IFERROR(IRR(C157:W157),-1)</x:f>
        <x:v>-0.0459648778643202</x:v>
      </x:c>
    </x:row>
    <x:row r="158">
      <x:c r="A158" t="n">
        <x:v>0.7</x:v>
      </x:c>
      <x:c r="B158" t="n">
        <x:v>0.45</x:v>
      </x:c>
      <x:c r="C158" t="n">
        <x:f>((IF(C$1-'Underlying Mechanics'!$B$8&lt;0,0,'Underlying Mechanics'!$B$22*'Underlying Mechanics'!$B$15*INDEX('Underlying Mechanics'!$B$31:$B$51,C$1-'Underlying Mechanics'!$B$8+1)*'Underlying Mechanics'!$B$5))*(1-$A158))-IF(C$1=0,'Underlying Mechanics'!$B$23*(1-$B158),0)-IF(C$1&gt;0,'Underlying Mechanics'!$B$22*'Underlying Mechanics'!$B$17,0)-IF(C$1&gt;0,'Underlying Mechanics'!$B$12*'Underlying Mechanics'!$B$18,0)</x:f>
        <x:v>-82500</x:v>
      </x:c>
      <x:c r="D158" t="n">
        <x:f>((IF(D$1-'Underlying Mechanics'!$B$8&lt;0,0,'Underlying Mechanics'!$B$22*'Underlying Mechanics'!$B$15*INDEX('Underlying Mechanics'!$B$31:$B$51,D$1-'Underlying Mechanics'!$B$8+1)*'Underlying Mechanics'!$B$5))*(1-$A158))-IF(D$1=0,'Underlying Mechanics'!$B$23*(1-$B158),0)-IF(D$1&gt;0,'Underlying Mechanics'!$B$22*'Underlying Mechanics'!$B$17,0)-IF(D$1&gt;0,'Underlying Mechanics'!$B$12*'Underlying Mechanics'!$B$18,0)</x:f>
        <x:v>-22500</x:v>
      </x:c>
      <x:c r="E158" t="n">
        <x:f>((IF(E$1-'Underlying Mechanics'!$B$8&lt;0,0,'Underlying Mechanics'!$B$22*'Underlying Mechanics'!$B$15*INDEX('Underlying Mechanics'!$B$31:$B$51,E$1-'Underlying Mechanics'!$B$8+1)*'Underlying Mechanics'!$B$5))*(1-$A158))-IF(E$1=0,'Underlying Mechanics'!$B$23*(1-$B158),0)-IF(E$1&gt;0,'Underlying Mechanics'!$B$22*'Underlying Mechanics'!$B$17,0)-IF(E$1&gt;0,'Underlying Mechanics'!$B$12*'Underlying Mechanics'!$B$18,0)</x:f>
        <x:v>-22500</x:v>
      </x:c>
      <x:c r="F158" t="n">
        <x:f>((IF(F$1-'Underlying Mechanics'!$B$8&lt;0,0,'Underlying Mechanics'!$B$22*'Underlying Mechanics'!$B$15*INDEX('Underlying Mechanics'!$B$31:$B$51,F$1-'Underlying Mechanics'!$B$8+1)*'Underlying Mechanics'!$B$5))*(1-$A158))-IF(F$1=0,'Underlying Mechanics'!$B$23*(1-$B158),0)-IF(F$1&gt;0,'Underlying Mechanics'!$B$22*'Underlying Mechanics'!$B$17,0)-IF(F$1&gt;0,'Underlying Mechanics'!$B$12*'Underlying Mechanics'!$B$18,0)</x:f>
        <x:v>-21780</x:v>
      </x:c>
      <x:c r="G158" t="n">
        <x:f>((IF(G$1-'Underlying Mechanics'!$B$8&lt;0,0,'Underlying Mechanics'!$B$22*'Underlying Mechanics'!$B$15*INDEX('Underlying Mechanics'!$B$31:$B$51,G$1-'Underlying Mechanics'!$B$8+1)*'Underlying Mechanics'!$B$5))*(1-$A158))-IF(G$1=0,'Underlying Mechanics'!$B$23*(1-$B158),0)-IF(G$1&gt;0,'Underlying Mechanics'!$B$22*'Underlying Mechanics'!$B$17,0)-IF(G$1&gt;0,'Underlying Mechanics'!$B$12*'Underlying Mechanics'!$B$18,0)</x:f>
        <x:v>-20700</x:v>
      </x:c>
      <x:c r="H158" t="n">
        <x:f>((IF(H$1-'Underlying Mechanics'!$B$8&lt;0,0,'Underlying Mechanics'!$B$22*'Underlying Mechanics'!$B$15*INDEX('Underlying Mechanics'!$B$31:$B$51,H$1-'Underlying Mechanics'!$B$8+1)*'Underlying Mechanics'!$B$5))*(1-$A158))-IF(H$1=0,'Underlying Mechanics'!$B$23*(1-$B158),0)-IF(H$1&gt;0,'Underlying Mechanics'!$B$22*'Underlying Mechanics'!$B$17,0)-IF(H$1&gt;0,'Underlying Mechanics'!$B$12*'Underlying Mechanics'!$B$18,0)</x:f>
        <x:v>-18900</x:v>
      </x:c>
      <x:c r="I158" t="n">
        <x:f>((IF(I$1-'Underlying Mechanics'!$B$8&lt;0,0,'Underlying Mechanics'!$B$22*'Underlying Mechanics'!$B$15*INDEX('Underlying Mechanics'!$B$31:$B$51,I$1-'Underlying Mechanics'!$B$8+1)*'Underlying Mechanics'!$B$5))*(1-$A158))-IF(I$1=0,'Underlying Mechanics'!$B$23*(1-$B158),0)-IF(I$1&gt;0,'Underlying Mechanics'!$B$22*'Underlying Mechanics'!$B$17,0)-IF(I$1&gt;0,'Underlying Mechanics'!$B$12*'Underlying Mechanics'!$B$18,0)</x:f>
        <x:v>-16020</x:v>
      </x:c>
      <x:c r="J158" t="n">
        <x:f>((IF(J$1-'Underlying Mechanics'!$B$8&lt;0,0,'Underlying Mechanics'!$B$22*'Underlying Mechanics'!$B$15*INDEX('Underlying Mechanics'!$B$31:$B$51,J$1-'Underlying Mechanics'!$B$8+1)*'Underlying Mechanics'!$B$5))*(1-$A158))-IF(J$1=0,'Underlying Mechanics'!$B$23*(1-$B158),0)-IF(J$1&gt;0,'Underlying Mechanics'!$B$22*'Underlying Mechanics'!$B$17,0)-IF(J$1&gt;0,'Underlying Mechanics'!$B$12*'Underlying Mechanics'!$B$18,0)</x:f>
        <x:v>-12419.999999999996</x:v>
      </x:c>
      <x:c r="K158" t="n">
        <x:f>((IF(K$1-'Underlying Mechanics'!$B$8&lt;0,0,'Underlying Mechanics'!$B$22*'Underlying Mechanics'!$B$15*INDEX('Underlying Mechanics'!$B$31:$B$51,K$1-'Underlying Mechanics'!$B$8+1)*'Underlying Mechanics'!$B$5))*(1-$A158))-IF(K$1=0,'Underlying Mechanics'!$B$23*(1-$B158),0)-IF(K$1&gt;0,'Underlying Mechanics'!$B$22*'Underlying Mechanics'!$B$17,0)-IF(K$1&gt;0,'Underlying Mechanics'!$B$12*'Underlying Mechanics'!$B$18,0)</x:f>
        <x:v>-8099.999999999998</x:v>
      </x:c>
      <x:c r="L158" t="n">
        <x:f>((IF(L$1-'Underlying Mechanics'!$B$8&lt;0,0,'Underlying Mechanics'!$B$22*'Underlying Mechanics'!$B$15*INDEX('Underlying Mechanics'!$B$31:$B$51,L$1-'Underlying Mechanics'!$B$8+1)*'Underlying Mechanics'!$B$5))*(1-$A158))-IF(L$1=0,'Underlying Mechanics'!$B$23*(1-$B158),0)-IF(L$1&gt;0,'Underlying Mechanics'!$B$22*'Underlying Mechanics'!$B$17,0)-IF(L$1&gt;0,'Underlying Mechanics'!$B$12*'Underlying Mechanics'!$B$18,0)</x:f>
        <x:v>-3059.9999999999964</x:v>
      </x:c>
      <x:c r="M158" t="n">
        <x:f>((IF(M$1-'Underlying Mechanics'!$B$8&lt;0,0,'Underlying Mechanics'!$B$22*'Underlying Mechanics'!$B$15*INDEX('Underlying Mechanics'!$B$31:$B$51,M$1-'Underlying Mechanics'!$B$8+1)*'Underlying Mechanics'!$B$5))*(1-$A158))-IF(M$1=0,'Underlying Mechanics'!$B$23*(1-$B158),0)-IF(M$1&gt;0,'Underlying Mechanics'!$B$22*'Underlying Mechanics'!$B$17,0)-IF(M$1&gt;0,'Underlying Mechanics'!$B$12*'Underlying Mechanics'!$B$18,0)</x:f>
        <x:v>1980.0000000000073</x:v>
      </x:c>
      <x:c r="N158" t="n">
        <x:f>((IF(N$1-'Underlying Mechanics'!$B$8&lt;0,0,'Underlying Mechanics'!$B$22*'Underlying Mechanics'!$B$15*INDEX('Underlying Mechanics'!$B$31:$B$51,N$1-'Underlying Mechanics'!$B$8+1)*'Underlying Mechanics'!$B$5))*(1-$A158))-IF(N$1=0,'Underlying Mechanics'!$B$23*(1-$B158),0)-IF(N$1&gt;0,'Underlying Mechanics'!$B$22*'Underlying Mechanics'!$B$17,0)-IF(N$1&gt;0,'Underlying Mechanics'!$B$12*'Underlying Mechanics'!$B$18,0)</x:f>
        <x:v>6300.000000000004</x:v>
      </x:c>
      <x:c r="O158" t="n">
        <x:f>((IF(O$1-'Underlying Mechanics'!$B$8&lt;0,0,'Underlying Mechanics'!$B$22*'Underlying Mechanics'!$B$15*INDEX('Underlying Mechanics'!$B$31:$B$51,O$1-'Underlying Mechanics'!$B$8+1)*'Underlying Mechanics'!$B$5))*(1-$A158))-IF(O$1=0,'Underlying Mechanics'!$B$23*(1-$B158),0)-IF(O$1&gt;0,'Underlying Mechanics'!$B$22*'Underlying Mechanics'!$B$17,0)-IF(O$1&gt;0,'Underlying Mechanics'!$B$12*'Underlying Mechanics'!$B$18,0)</x:f>
        <x:v>9900.000000000004</x:v>
      </x:c>
      <x:c r="P158" t="n">
        <x:f>((IF(P$1-'Underlying Mechanics'!$B$8&lt;0,0,'Underlying Mechanics'!$B$22*'Underlying Mechanics'!$B$15*INDEX('Underlying Mechanics'!$B$31:$B$51,P$1-'Underlying Mechanics'!$B$8+1)*'Underlying Mechanics'!$B$5))*(1-$A158))-IF(P$1=0,'Underlying Mechanics'!$B$23*(1-$B158),0)-IF(P$1&gt;0,'Underlying Mechanics'!$B$22*'Underlying Mechanics'!$B$17,0)-IF(P$1&gt;0,'Underlying Mechanics'!$B$12*'Underlying Mechanics'!$B$18,0)</x:f>
        <x:v>13500.000000000007</x:v>
      </x:c>
      <x:c r="Q158" t="n">
        <x:f>((IF(Q$1-'Underlying Mechanics'!$B$8&lt;0,0,'Underlying Mechanics'!$B$22*'Underlying Mechanics'!$B$15*INDEX('Underlying Mechanics'!$B$31:$B$51,Q$1-'Underlying Mechanics'!$B$8+1)*'Underlying Mechanics'!$B$5))*(1-$A158))-IF(Q$1=0,'Underlying Mechanics'!$B$23*(1-$B158),0)-IF(Q$1&gt;0,'Underlying Mechanics'!$B$22*'Underlying Mechanics'!$B$17,0)-IF(Q$1&gt;0,'Underlying Mechanics'!$B$12*'Underlying Mechanics'!$B$18,0)</x:f>
        <x:v>13500.000000000007</x:v>
      </x:c>
      <x:c r="R158" t="n">
        <x:f>((IF(R$1-'Underlying Mechanics'!$B$8&lt;0,0,'Underlying Mechanics'!$B$22*'Underlying Mechanics'!$B$15*INDEX('Underlying Mechanics'!$B$31:$B$51,R$1-'Underlying Mechanics'!$B$8+1)*'Underlying Mechanics'!$B$5))*(1-$A158))-IF(R$1=0,'Underlying Mechanics'!$B$23*(1-$B158),0)-IF(R$1&gt;0,'Underlying Mechanics'!$B$22*'Underlying Mechanics'!$B$17,0)-IF(R$1&gt;0,'Underlying Mechanics'!$B$12*'Underlying Mechanics'!$B$18,0)</x:f>
        <x:v>13500.000000000007</x:v>
      </x:c>
      <x:c r="S158" t="n">
        <x:f>((IF(S$1-'Underlying Mechanics'!$B$8&lt;0,0,'Underlying Mechanics'!$B$22*'Underlying Mechanics'!$B$15*INDEX('Underlying Mechanics'!$B$31:$B$51,S$1-'Underlying Mechanics'!$B$8+1)*'Underlying Mechanics'!$B$5))*(1-$A158))-IF(S$1=0,'Underlying Mechanics'!$B$23*(1-$B158),0)-IF(S$1&gt;0,'Underlying Mechanics'!$B$22*'Underlying Mechanics'!$B$17,0)-IF(S$1&gt;0,'Underlying Mechanics'!$B$12*'Underlying Mechanics'!$B$18,0)</x:f>
        <x:v>13500.000000000007</x:v>
      </x:c>
      <x:c r="T158" t="n">
        <x:f>((IF(T$1-'Underlying Mechanics'!$B$8&lt;0,0,'Underlying Mechanics'!$B$22*'Underlying Mechanics'!$B$15*INDEX('Underlying Mechanics'!$B$31:$B$51,T$1-'Underlying Mechanics'!$B$8+1)*'Underlying Mechanics'!$B$5))*(1-$A158))-IF(T$1=0,'Underlying Mechanics'!$B$23*(1-$B158),0)-IF(T$1&gt;0,'Underlying Mechanics'!$B$22*'Underlying Mechanics'!$B$17,0)-IF(T$1&gt;0,'Underlying Mechanics'!$B$12*'Underlying Mechanics'!$B$18,0)</x:f>
        <x:v>13500.000000000007</x:v>
      </x:c>
      <x:c r="U158" t="n">
        <x:f>((IF(U$1-'Underlying Mechanics'!$B$8&lt;0,0,'Underlying Mechanics'!$B$22*'Underlying Mechanics'!$B$15*INDEX('Underlying Mechanics'!$B$31:$B$51,U$1-'Underlying Mechanics'!$B$8+1)*'Underlying Mechanics'!$B$5))*(1-$A158))-IF(U$1=0,'Underlying Mechanics'!$B$23*(1-$B158),0)-IF(U$1&gt;0,'Underlying Mechanics'!$B$22*'Underlying Mechanics'!$B$17,0)-IF(U$1&gt;0,'Underlying Mechanics'!$B$12*'Underlying Mechanics'!$B$18,0)</x:f>
        <x:v>13500.000000000007</x:v>
      </x:c>
      <x:c r="V158" t="n">
        <x:f>((IF(V$1-'Underlying Mechanics'!$B$8&lt;0,0,'Underlying Mechanics'!$B$22*'Underlying Mechanics'!$B$15*INDEX('Underlying Mechanics'!$B$31:$B$51,V$1-'Underlying Mechanics'!$B$8+1)*'Underlying Mechanics'!$B$5))*(1-$A158))-IF(V$1=0,'Underlying Mechanics'!$B$23*(1-$B158),0)-IF(V$1&gt;0,'Underlying Mechanics'!$B$22*'Underlying Mechanics'!$B$17,0)-IF(V$1&gt;0,'Underlying Mechanics'!$B$12*'Underlying Mechanics'!$B$18,0)</x:f>
        <x:v>13500.000000000007</x:v>
      </x:c>
      <x:c r="W158" t="n">
        <x:f>((IF(W$1-'Underlying Mechanics'!$B$8&lt;0,0,'Underlying Mechanics'!$B$22*'Underlying Mechanics'!$B$15*INDEX('Underlying Mechanics'!$B$31:$B$51,W$1-'Underlying Mechanics'!$B$8+1)*'Underlying Mechanics'!$B$5))*(1-$A158))-IF(W$1=0,'Underlying Mechanics'!$B$23*(1-$B158),0)-IF(W$1&gt;0,'Underlying Mechanics'!$B$22*'Underlying Mechanics'!$B$17,0)-IF(W$1&gt;0,'Underlying Mechanics'!$B$12*'Underlying Mechanics'!$B$18,0)</x:f>
        <x:v>13500.000000000007</x:v>
      </x:c>
      <x:c r="X158" t="n">
        <x:f>IFERROR(IRR(C158:W158),-1)</x:f>
        <x:v>-0.043910607557579195</x:v>
      </x:c>
    </x:row>
    <x:row r="159">
      <x:c r="A159" t="n">
        <x:v>0.7</x:v>
      </x:c>
      <x:c r="B159" t="n">
        <x:v>0.5</x:v>
      </x:c>
      <x:c r="C159" t="n">
        <x:f>((IF(C$1-'Underlying Mechanics'!$B$8&lt;0,0,'Underlying Mechanics'!$B$22*'Underlying Mechanics'!$B$15*INDEX('Underlying Mechanics'!$B$31:$B$51,C$1-'Underlying Mechanics'!$B$8+1)*'Underlying Mechanics'!$B$5))*(1-$A159))-IF(C$1=0,'Underlying Mechanics'!$B$23*(1-$B159),0)-IF(C$1&gt;0,'Underlying Mechanics'!$B$22*'Underlying Mechanics'!$B$17,0)-IF(C$1&gt;0,'Underlying Mechanics'!$B$12*'Underlying Mechanics'!$B$18,0)</x:f>
        <x:v>-75000</x:v>
      </x:c>
      <x:c r="D159" t="n">
        <x:f>((IF(D$1-'Underlying Mechanics'!$B$8&lt;0,0,'Underlying Mechanics'!$B$22*'Underlying Mechanics'!$B$15*INDEX('Underlying Mechanics'!$B$31:$B$51,D$1-'Underlying Mechanics'!$B$8+1)*'Underlying Mechanics'!$B$5))*(1-$A159))-IF(D$1=0,'Underlying Mechanics'!$B$23*(1-$B159),0)-IF(D$1&gt;0,'Underlying Mechanics'!$B$22*'Underlying Mechanics'!$B$17,0)-IF(D$1&gt;0,'Underlying Mechanics'!$B$12*'Underlying Mechanics'!$B$18,0)</x:f>
        <x:v>-22500</x:v>
      </x:c>
      <x:c r="E159" t="n">
        <x:f>((IF(E$1-'Underlying Mechanics'!$B$8&lt;0,0,'Underlying Mechanics'!$B$22*'Underlying Mechanics'!$B$15*INDEX('Underlying Mechanics'!$B$31:$B$51,E$1-'Underlying Mechanics'!$B$8+1)*'Underlying Mechanics'!$B$5))*(1-$A159))-IF(E$1=0,'Underlying Mechanics'!$B$23*(1-$B159),0)-IF(E$1&gt;0,'Underlying Mechanics'!$B$22*'Underlying Mechanics'!$B$17,0)-IF(E$1&gt;0,'Underlying Mechanics'!$B$12*'Underlying Mechanics'!$B$18,0)</x:f>
        <x:v>-22500</x:v>
      </x:c>
      <x:c r="F159" t="n">
        <x:f>((IF(F$1-'Underlying Mechanics'!$B$8&lt;0,0,'Underlying Mechanics'!$B$22*'Underlying Mechanics'!$B$15*INDEX('Underlying Mechanics'!$B$31:$B$51,F$1-'Underlying Mechanics'!$B$8+1)*'Underlying Mechanics'!$B$5))*(1-$A159))-IF(F$1=0,'Underlying Mechanics'!$B$23*(1-$B159),0)-IF(F$1&gt;0,'Underlying Mechanics'!$B$22*'Underlying Mechanics'!$B$17,0)-IF(F$1&gt;0,'Underlying Mechanics'!$B$12*'Underlying Mechanics'!$B$18,0)</x:f>
        <x:v>-21780</x:v>
      </x:c>
      <x:c r="G159" t="n">
        <x:f>((IF(G$1-'Underlying Mechanics'!$B$8&lt;0,0,'Underlying Mechanics'!$B$22*'Underlying Mechanics'!$B$15*INDEX('Underlying Mechanics'!$B$31:$B$51,G$1-'Underlying Mechanics'!$B$8+1)*'Underlying Mechanics'!$B$5))*(1-$A159))-IF(G$1=0,'Underlying Mechanics'!$B$23*(1-$B159),0)-IF(G$1&gt;0,'Underlying Mechanics'!$B$22*'Underlying Mechanics'!$B$17,0)-IF(G$1&gt;0,'Underlying Mechanics'!$B$12*'Underlying Mechanics'!$B$18,0)</x:f>
        <x:v>-20700</x:v>
      </x:c>
      <x:c r="H159" t="n">
        <x:f>((IF(H$1-'Underlying Mechanics'!$B$8&lt;0,0,'Underlying Mechanics'!$B$22*'Underlying Mechanics'!$B$15*INDEX('Underlying Mechanics'!$B$31:$B$51,H$1-'Underlying Mechanics'!$B$8+1)*'Underlying Mechanics'!$B$5))*(1-$A159))-IF(H$1=0,'Underlying Mechanics'!$B$23*(1-$B159),0)-IF(H$1&gt;0,'Underlying Mechanics'!$B$22*'Underlying Mechanics'!$B$17,0)-IF(H$1&gt;0,'Underlying Mechanics'!$B$12*'Underlying Mechanics'!$B$18,0)</x:f>
        <x:v>-18900</x:v>
      </x:c>
      <x:c r="I159" t="n">
        <x:f>((IF(I$1-'Underlying Mechanics'!$B$8&lt;0,0,'Underlying Mechanics'!$B$22*'Underlying Mechanics'!$B$15*INDEX('Underlying Mechanics'!$B$31:$B$51,I$1-'Underlying Mechanics'!$B$8+1)*'Underlying Mechanics'!$B$5))*(1-$A159))-IF(I$1=0,'Underlying Mechanics'!$B$23*(1-$B159),0)-IF(I$1&gt;0,'Underlying Mechanics'!$B$22*'Underlying Mechanics'!$B$17,0)-IF(I$1&gt;0,'Underlying Mechanics'!$B$12*'Underlying Mechanics'!$B$18,0)</x:f>
        <x:v>-16020</x:v>
      </x:c>
      <x:c r="J159" t="n">
        <x:f>((IF(J$1-'Underlying Mechanics'!$B$8&lt;0,0,'Underlying Mechanics'!$B$22*'Underlying Mechanics'!$B$15*INDEX('Underlying Mechanics'!$B$31:$B$51,J$1-'Underlying Mechanics'!$B$8+1)*'Underlying Mechanics'!$B$5))*(1-$A159))-IF(J$1=0,'Underlying Mechanics'!$B$23*(1-$B159),0)-IF(J$1&gt;0,'Underlying Mechanics'!$B$22*'Underlying Mechanics'!$B$17,0)-IF(J$1&gt;0,'Underlying Mechanics'!$B$12*'Underlying Mechanics'!$B$18,0)</x:f>
        <x:v>-12419.999999999996</x:v>
      </x:c>
      <x:c r="K159" t="n">
        <x:f>((IF(K$1-'Underlying Mechanics'!$B$8&lt;0,0,'Underlying Mechanics'!$B$22*'Underlying Mechanics'!$B$15*INDEX('Underlying Mechanics'!$B$31:$B$51,K$1-'Underlying Mechanics'!$B$8+1)*'Underlying Mechanics'!$B$5))*(1-$A159))-IF(K$1=0,'Underlying Mechanics'!$B$23*(1-$B159),0)-IF(K$1&gt;0,'Underlying Mechanics'!$B$22*'Underlying Mechanics'!$B$17,0)-IF(K$1&gt;0,'Underlying Mechanics'!$B$12*'Underlying Mechanics'!$B$18,0)</x:f>
        <x:v>-8099.999999999998</x:v>
      </x:c>
      <x:c r="L159" t="n">
        <x:f>((IF(L$1-'Underlying Mechanics'!$B$8&lt;0,0,'Underlying Mechanics'!$B$22*'Underlying Mechanics'!$B$15*INDEX('Underlying Mechanics'!$B$31:$B$51,L$1-'Underlying Mechanics'!$B$8+1)*'Underlying Mechanics'!$B$5))*(1-$A159))-IF(L$1=0,'Underlying Mechanics'!$B$23*(1-$B159),0)-IF(L$1&gt;0,'Underlying Mechanics'!$B$22*'Underlying Mechanics'!$B$17,0)-IF(L$1&gt;0,'Underlying Mechanics'!$B$12*'Underlying Mechanics'!$B$18,0)</x:f>
        <x:v>-3059.9999999999964</x:v>
      </x:c>
      <x:c r="M159" t="n">
        <x:f>((IF(M$1-'Underlying Mechanics'!$B$8&lt;0,0,'Underlying Mechanics'!$B$22*'Underlying Mechanics'!$B$15*INDEX('Underlying Mechanics'!$B$31:$B$51,M$1-'Underlying Mechanics'!$B$8+1)*'Underlying Mechanics'!$B$5))*(1-$A159))-IF(M$1=0,'Underlying Mechanics'!$B$23*(1-$B159),0)-IF(M$1&gt;0,'Underlying Mechanics'!$B$22*'Underlying Mechanics'!$B$17,0)-IF(M$1&gt;0,'Underlying Mechanics'!$B$12*'Underlying Mechanics'!$B$18,0)</x:f>
        <x:v>1980.0000000000073</x:v>
      </x:c>
      <x:c r="N159" t="n">
        <x:f>((IF(N$1-'Underlying Mechanics'!$B$8&lt;0,0,'Underlying Mechanics'!$B$22*'Underlying Mechanics'!$B$15*INDEX('Underlying Mechanics'!$B$31:$B$51,N$1-'Underlying Mechanics'!$B$8+1)*'Underlying Mechanics'!$B$5))*(1-$A159))-IF(N$1=0,'Underlying Mechanics'!$B$23*(1-$B159),0)-IF(N$1&gt;0,'Underlying Mechanics'!$B$22*'Underlying Mechanics'!$B$17,0)-IF(N$1&gt;0,'Underlying Mechanics'!$B$12*'Underlying Mechanics'!$B$18,0)</x:f>
        <x:v>6300.000000000004</x:v>
      </x:c>
      <x:c r="O159" t="n">
        <x:f>((IF(O$1-'Underlying Mechanics'!$B$8&lt;0,0,'Underlying Mechanics'!$B$22*'Underlying Mechanics'!$B$15*INDEX('Underlying Mechanics'!$B$31:$B$51,O$1-'Underlying Mechanics'!$B$8+1)*'Underlying Mechanics'!$B$5))*(1-$A159))-IF(O$1=0,'Underlying Mechanics'!$B$23*(1-$B159),0)-IF(O$1&gt;0,'Underlying Mechanics'!$B$22*'Underlying Mechanics'!$B$17,0)-IF(O$1&gt;0,'Underlying Mechanics'!$B$12*'Underlying Mechanics'!$B$18,0)</x:f>
        <x:v>9900.000000000004</x:v>
      </x:c>
      <x:c r="P159" t="n">
        <x:f>((IF(P$1-'Underlying Mechanics'!$B$8&lt;0,0,'Underlying Mechanics'!$B$22*'Underlying Mechanics'!$B$15*INDEX('Underlying Mechanics'!$B$31:$B$51,P$1-'Underlying Mechanics'!$B$8+1)*'Underlying Mechanics'!$B$5))*(1-$A159))-IF(P$1=0,'Underlying Mechanics'!$B$23*(1-$B159),0)-IF(P$1&gt;0,'Underlying Mechanics'!$B$22*'Underlying Mechanics'!$B$17,0)-IF(P$1&gt;0,'Underlying Mechanics'!$B$12*'Underlying Mechanics'!$B$18,0)</x:f>
        <x:v>13500.000000000007</x:v>
      </x:c>
      <x:c r="Q159" t="n">
        <x:f>((IF(Q$1-'Underlying Mechanics'!$B$8&lt;0,0,'Underlying Mechanics'!$B$22*'Underlying Mechanics'!$B$15*INDEX('Underlying Mechanics'!$B$31:$B$51,Q$1-'Underlying Mechanics'!$B$8+1)*'Underlying Mechanics'!$B$5))*(1-$A159))-IF(Q$1=0,'Underlying Mechanics'!$B$23*(1-$B159),0)-IF(Q$1&gt;0,'Underlying Mechanics'!$B$22*'Underlying Mechanics'!$B$17,0)-IF(Q$1&gt;0,'Underlying Mechanics'!$B$12*'Underlying Mechanics'!$B$18,0)</x:f>
        <x:v>13500.000000000007</x:v>
      </x:c>
      <x:c r="R159" t="n">
        <x:f>((IF(R$1-'Underlying Mechanics'!$B$8&lt;0,0,'Underlying Mechanics'!$B$22*'Underlying Mechanics'!$B$15*INDEX('Underlying Mechanics'!$B$31:$B$51,R$1-'Underlying Mechanics'!$B$8+1)*'Underlying Mechanics'!$B$5))*(1-$A159))-IF(R$1=0,'Underlying Mechanics'!$B$23*(1-$B159),0)-IF(R$1&gt;0,'Underlying Mechanics'!$B$22*'Underlying Mechanics'!$B$17,0)-IF(R$1&gt;0,'Underlying Mechanics'!$B$12*'Underlying Mechanics'!$B$18,0)</x:f>
        <x:v>13500.000000000007</x:v>
      </x:c>
      <x:c r="S159" t="n">
        <x:f>((IF(S$1-'Underlying Mechanics'!$B$8&lt;0,0,'Underlying Mechanics'!$B$22*'Underlying Mechanics'!$B$15*INDEX('Underlying Mechanics'!$B$31:$B$51,S$1-'Underlying Mechanics'!$B$8+1)*'Underlying Mechanics'!$B$5))*(1-$A159))-IF(S$1=0,'Underlying Mechanics'!$B$23*(1-$B159),0)-IF(S$1&gt;0,'Underlying Mechanics'!$B$22*'Underlying Mechanics'!$B$17,0)-IF(S$1&gt;0,'Underlying Mechanics'!$B$12*'Underlying Mechanics'!$B$18,0)</x:f>
        <x:v>13500.000000000007</x:v>
      </x:c>
      <x:c r="T159" t="n">
        <x:f>((IF(T$1-'Underlying Mechanics'!$B$8&lt;0,0,'Underlying Mechanics'!$B$22*'Underlying Mechanics'!$B$15*INDEX('Underlying Mechanics'!$B$31:$B$51,T$1-'Underlying Mechanics'!$B$8+1)*'Underlying Mechanics'!$B$5))*(1-$A159))-IF(T$1=0,'Underlying Mechanics'!$B$23*(1-$B159),0)-IF(T$1&gt;0,'Underlying Mechanics'!$B$22*'Underlying Mechanics'!$B$17,0)-IF(T$1&gt;0,'Underlying Mechanics'!$B$12*'Underlying Mechanics'!$B$18,0)</x:f>
        <x:v>13500.000000000007</x:v>
      </x:c>
      <x:c r="U159" t="n">
        <x:f>((IF(U$1-'Underlying Mechanics'!$B$8&lt;0,0,'Underlying Mechanics'!$B$22*'Underlying Mechanics'!$B$15*INDEX('Underlying Mechanics'!$B$31:$B$51,U$1-'Underlying Mechanics'!$B$8+1)*'Underlying Mechanics'!$B$5))*(1-$A159))-IF(U$1=0,'Underlying Mechanics'!$B$23*(1-$B159),0)-IF(U$1&gt;0,'Underlying Mechanics'!$B$22*'Underlying Mechanics'!$B$17,0)-IF(U$1&gt;0,'Underlying Mechanics'!$B$12*'Underlying Mechanics'!$B$18,0)</x:f>
        <x:v>13500.000000000007</x:v>
      </x:c>
      <x:c r="V159" t="n">
        <x:f>((IF(V$1-'Underlying Mechanics'!$B$8&lt;0,0,'Underlying Mechanics'!$B$22*'Underlying Mechanics'!$B$15*INDEX('Underlying Mechanics'!$B$31:$B$51,V$1-'Underlying Mechanics'!$B$8+1)*'Underlying Mechanics'!$B$5))*(1-$A159))-IF(V$1=0,'Underlying Mechanics'!$B$23*(1-$B159),0)-IF(V$1&gt;0,'Underlying Mechanics'!$B$22*'Underlying Mechanics'!$B$17,0)-IF(V$1&gt;0,'Underlying Mechanics'!$B$12*'Underlying Mechanics'!$B$18,0)</x:f>
        <x:v>13500.000000000007</x:v>
      </x:c>
      <x:c r="W159" t="n">
        <x:f>((IF(W$1-'Underlying Mechanics'!$B$8&lt;0,0,'Underlying Mechanics'!$B$22*'Underlying Mechanics'!$B$15*INDEX('Underlying Mechanics'!$B$31:$B$51,W$1-'Underlying Mechanics'!$B$8+1)*'Underlying Mechanics'!$B$5))*(1-$A159))-IF(W$1=0,'Underlying Mechanics'!$B$23*(1-$B159),0)-IF(W$1&gt;0,'Underlying Mechanics'!$B$22*'Underlying Mechanics'!$B$17,0)-IF(W$1&gt;0,'Underlying Mechanics'!$B$12*'Underlying Mechanics'!$B$18,0)</x:f>
        <x:v>13500.000000000007</x:v>
      </x:c>
      <x:c r="X159" t="n">
        <x:f>IFERROR(IRR(C159:W159),-1)</x:f>
        <x:v>-0.041764024310169484</x:v>
      </x:c>
    </x:row>
    <x:row r="160">
      <x:c r="A160" t="n">
        <x:v>0.7</x:v>
      </x:c>
      <x:c r="B160" t="n">
        <x:v>0.55</x:v>
      </x:c>
      <x:c r="C160" t="n">
        <x:f>((IF(C$1-'Underlying Mechanics'!$B$8&lt;0,0,'Underlying Mechanics'!$B$22*'Underlying Mechanics'!$B$15*INDEX('Underlying Mechanics'!$B$31:$B$51,C$1-'Underlying Mechanics'!$B$8+1)*'Underlying Mechanics'!$B$5))*(1-$A160))-IF(C$1=0,'Underlying Mechanics'!$B$23*(1-$B160),0)-IF(C$1&gt;0,'Underlying Mechanics'!$B$22*'Underlying Mechanics'!$B$17,0)-IF(C$1&gt;0,'Underlying Mechanics'!$B$12*'Underlying Mechanics'!$B$18,0)</x:f>
        <x:v>-67500</x:v>
      </x:c>
      <x:c r="D160" t="n">
        <x:f>((IF(D$1-'Underlying Mechanics'!$B$8&lt;0,0,'Underlying Mechanics'!$B$22*'Underlying Mechanics'!$B$15*INDEX('Underlying Mechanics'!$B$31:$B$51,D$1-'Underlying Mechanics'!$B$8+1)*'Underlying Mechanics'!$B$5))*(1-$A160))-IF(D$1=0,'Underlying Mechanics'!$B$23*(1-$B160),0)-IF(D$1&gt;0,'Underlying Mechanics'!$B$22*'Underlying Mechanics'!$B$17,0)-IF(D$1&gt;0,'Underlying Mechanics'!$B$12*'Underlying Mechanics'!$B$18,0)</x:f>
        <x:v>-22500</x:v>
      </x:c>
      <x:c r="E160" t="n">
        <x:f>((IF(E$1-'Underlying Mechanics'!$B$8&lt;0,0,'Underlying Mechanics'!$B$22*'Underlying Mechanics'!$B$15*INDEX('Underlying Mechanics'!$B$31:$B$51,E$1-'Underlying Mechanics'!$B$8+1)*'Underlying Mechanics'!$B$5))*(1-$A160))-IF(E$1=0,'Underlying Mechanics'!$B$23*(1-$B160),0)-IF(E$1&gt;0,'Underlying Mechanics'!$B$22*'Underlying Mechanics'!$B$17,0)-IF(E$1&gt;0,'Underlying Mechanics'!$B$12*'Underlying Mechanics'!$B$18,0)</x:f>
        <x:v>-22500</x:v>
      </x:c>
      <x:c r="F160" t="n">
        <x:f>((IF(F$1-'Underlying Mechanics'!$B$8&lt;0,0,'Underlying Mechanics'!$B$22*'Underlying Mechanics'!$B$15*INDEX('Underlying Mechanics'!$B$31:$B$51,F$1-'Underlying Mechanics'!$B$8+1)*'Underlying Mechanics'!$B$5))*(1-$A160))-IF(F$1=0,'Underlying Mechanics'!$B$23*(1-$B160),0)-IF(F$1&gt;0,'Underlying Mechanics'!$B$22*'Underlying Mechanics'!$B$17,0)-IF(F$1&gt;0,'Underlying Mechanics'!$B$12*'Underlying Mechanics'!$B$18,0)</x:f>
        <x:v>-21780</x:v>
      </x:c>
      <x:c r="G160" t="n">
        <x:f>((IF(G$1-'Underlying Mechanics'!$B$8&lt;0,0,'Underlying Mechanics'!$B$22*'Underlying Mechanics'!$B$15*INDEX('Underlying Mechanics'!$B$31:$B$51,G$1-'Underlying Mechanics'!$B$8+1)*'Underlying Mechanics'!$B$5))*(1-$A160))-IF(G$1=0,'Underlying Mechanics'!$B$23*(1-$B160),0)-IF(G$1&gt;0,'Underlying Mechanics'!$B$22*'Underlying Mechanics'!$B$17,0)-IF(G$1&gt;0,'Underlying Mechanics'!$B$12*'Underlying Mechanics'!$B$18,0)</x:f>
        <x:v>-20700</x:v>
      </x:c>
      <x:c r="H160" t="n">
        <x:f>((IF(H$1-'Underlying Mechanics'!$B$8&lt;0,0,'Underlying Mechanics'!$B$22*'Underlying Mechanics'!$B$15*INDEX('Underlying Mechanics'!$B$31:$B$51,H$1-'Underlying Mechanics'!$B$8+1)*'Underlying Mechanics'!$B$5))*(1-$A160))-IF(H$1=0,'Underlying Mechanics'!$B$23*(1-$B160),0)-IF(H$1&gt;0,'Underlying Mechanics'!$B$22*'Underlying Mechanics'!$B$17,0)-IF(H$1&gt;0,'Underlying Mechanics'!$B$12*'Underlying Mechanics'!$B$18,0)</x:f>
        <x:v>-18900</x:v>
      </x:c>
      <x:c r="I160" t="n">
        <x:f>((IF(I$1-'Underlying Mechanics'!$B$8&lt;0,0,'Underlying Mechanics'!$B$22*'Underlying Mechanics'!$B$15*INDEX('Underlying Mechanics'!$B$31:$B$51,I$1-'Underlying Mechanics'!$B$8+1)*'Underlying Mechanics'!$B$5))*(1-$A160))-IF(I$1=0,'Underlying Mechanics'!$B$23*(1-$B160),0)-IF(I$1&gt;0,'Underlying Mechanics'!$B$22*'Underlying Mechanics'!$B$17,0)-IF(I$1&gt;0,'Underlying Mechanics'!$B$12*'Underlying Mechanics'!$B$18,0)</x:f>
        <x:v>-16020</x:v>
      </x:c>
      <x:c r="J160" t="n">
        <x:f>((IF(J$1-'Underlying Mechanics'!$B$8&lt;0,0,'Underlying Mechanics'!$B$22*'Underlying Mechanics'!$B$15*INDEX('Underlying Mechanics'!$B$31:$B$51,J$1-'Underlying Mechanics'!$B$8+1)*'Underlying Mechanics'!$B$5))*(1-$A160))-IF(J$1=0,'Underlying Mechanics'!$B$23*(1-$B160),0)-IF(J$1&gt;0,'Underlying Mechanics'!$B$22*'Underlying Mechanics'!$B$17,0)-IF(J$1&gt;0,'Underlying Mechanics'!$B$12*'Underlying Mechanics'!$B$18,0)</x:f>
        <x:v>-12419.999999999996</x:v>
      </x:c>
      <x:c r="K160" t="n">
        <x:f>((IF(K$1-'Underlying Mechanics'!$B$8&lt;0,0,'Underlying Mechanics'!$B$22*'Underlying Mechanics'!$B$15*INDEX('Underlying Mechanics'!$B$31:$B$51,K$1-'Underlying Mechanics'!$B$8+1)*'Underlying Mechanics'!$B$5))*(1-$A160))-IF(K$1=0,'Underlying Mechanics'!$B$23*(1-$B160),0)-IF(K$1&gt;0,'Underlying Mechanics'!$B$22*'Underlying Mechanics'!$B$17,0)-IF(K$1&gt;0,'Underlying Mechanics'!$B$12*'Underlying Mechanics'!$B$18,0)</x:f>
        <x:v>-8099.999999999998</x:v>
      </x:c>
      <x:c r="L160" t="n">
        <x:f>((IF(L$1-'Underlying Mechanics'!$B$8&lt;0,0,'Underlying Mechanics'!$B$22*'Underlying Mechanics'!$B$15*INDEX('Underlying Mechanics'!$B$31:$B$51,L$1-'Underlying Mechanics'!$B$8+1)*'Underlying Mechanics'!$B$5))*(1-$A160))-IF(L$1=0,'Underlying Mechanics'!$B$23*(1-$B160),0)-IF(L$1&gt;0,'Underlying Mechanics'!$B$22*'Underlying Mechanics'!$B$17,0)-IF(L$1&gt;0,'Underlying Mechanics'!$B$12*'Underlying Mechanics'!$B$18,0)</x:f>
        <x:v>-3059.9999999999964</x:v>
      </x:c>
      <x:c r="M160" t="n">
        <x:f>((IF(M$1-'Underlying Mechanics'!$B$8&lt;0,0,'Underlying Mechanics'!$B$22*'Underlying Mechanics'!$B$15*INDEX('Underlying Mechanics'!$B$31:$B$51,M$1-'Underlying Mechanics'!$B$8+1)*'Underlying Mechanics'!$B$5))*(1-$A160))-IF(M$1=0,'Underlying Mechanics'!$B$23*(1-$B160),0)-IF(M$1&gt;0,'Underlying Mechanics'!$B$22*'Underlying Mechanics'!$B$17,0)-IF(M$1&gt;0,'Underlying Mechanics'!$B$12*'Underlying Mechanics'!$B$18,0)</x:f>
        <x:v>1980.0000000000073</x:v>
      </x:c>
      <x:c r="N160" t="n">
        <x:f>((IF(N$1-'Underlying Mechanics'!$B$8&lt;0,0,'Underlying Mechanics'!$B$22*'Underlying Mechanics'!$B$15*INDEX('Underlying Mechanics'!$B$31:$B$51,N$1-'Underlying Mechanics'!$B$8+1)*'Underlying Mechanics'!$B$5))*(1-$A160))-IF(N$1=0,'Underlying Mechanics'!$B$23*(1-$B160),0)-IF(N$1&gt;0,'Underlying Mechanics'!$B$22*'Underlying Mechanics'!$B$17,0)-IF(N$1&gt;0,'Underlying Mechanics'!$B$12*'Underlying Mechanics'!$B$18,0)</x:f>
        <x:v>6300.000000000004</x:v>
      </x:c>
      <x:c r="O160" t="n">
        <x:f>((IF(O$1-'Underlying Mechanics'!$B$8&lt;0,0,'Underlying Mechanics'!$B$22*'Underlying Mechanics'!$B$15*INDEX('Underlying Mechanics'!$B$31:$B$51,O$1-'Underlying Mechanics'!$B$8+1)*'Underlying Mechanics'!$B$5))*(1-$A160))-IF(O$1=0,'Underlying Mechanics'!$B$23*(1-$B160),0)-IF(O$1&gt;0,'Underlying Mechanics'!$B$22*'Underlying Mechanics'!$B$17,0)-IF(O$1&gt;0,'Underlying Mechanics'!$B$12*'Underlying Mechanics'!$B$18,0)</x:f>
        <x:v>9900.000000000004</x:v>
      </x:c>
      <x:c r="P160" t="n">
        <x:f>((IF(P$1-'Underlying Mechanics'!$B$8&lt;0,0,'Underlying Mechanics'!$B$22*'Underlying Mechanics'!$B$15*INDEX('Underlying Mechanics'!$B$31:$B$51,P$1-'Underlying Mechanics'!$B$8+1)*'Underlying Mechanics'!$B$5))*(1-$A160))-IF(P$1=0,'Underlying Mechanics'!$B$23*(1-$B160),0)-IF(P$1&gt;0,'Underlying Mechanics'!$B$22*'Underlying Mechanics'!$B$17,0)-IF(P$1&gt;0,'Underlying Mechanics'!$B$12*'Underlying Mechanics'!$B$18,0)</x:f>
        <x:v>13500.000000000007</x:v>
      </x:c>
      <x:c r="Q160" t="n">
        <x:f>((IF(Q$1-'Underlying Mechanics'!$B$8&lt;0,0,'Underlying Mechanics'!$B$22*'Underlying Mechanics'!$B$15*INDEX('Underlying Mechanics'!$B$31:$B$51,Q$1-'Underlying Mechanics'!$B$8+1)*'Underlying Mechanics'!$B$5))*(1-$A160))-IF(Q$1=0,'Underlying Mechanics'!$B$23*(1-$B160),0)-IF(Q$1&gt;0,'Underlying Mechanics'!$B$22*'Underlying Mechanics'!$B$17,0)-IF(Q$1&gt;0,'Underlying Mechanics'!$B$12*'Underlying Mechanics'!$B$18,0)</x:f>
        <x:v>13500.000000000007</x:v>
      </x:c>
      <x:c r="R160" t="n">
        <x:f>((IF(R$1-'Underlying Mechanics'!$B$8&lt;0,0,'Underlying Mechanics'!$B$22*'Underlying Mechanics'!$B$15*INDEX('Underlying Mechanics'!$B$31:$B$51,R$1-'Underlying Mechanics'!$B$8+1)*'Underlying Mechanics'!$B$5))*(1-$A160))-IF(R$1=0,'Underlying Mechanics'!$B$23*(1-$B160),0)-IF(R$1&gt;0,'Underlying Mechanics'!$B$22*'Underlying Mechanics'!$B$17,0)-IF(R$1&gt;0,'Underlying Mechanics'!$B$12*'Underlying Mechanics'!$B$18,0)</x:f>
        <x:v>13500.000000000007</x:v>
      </x:c>
      <x:c r="S160" t="n">
        <x:f>((IF(S$1-'Underlying Mechanics'!$B$8&lt;0,0,'Underlying Mechanics'!$B$22*'Underlying Mechanics'!$B$15*INDEX('Underlying Mechanics'!$B$31:$B$51,S$1-'Underlying Mechanics'!$B$8+1)*'Underlying Mechanics'!$B$5))*(1-$A160))-IF(S$1=0,'Underlying Mechanics'!$B$23*(1-$B160),0)-IF(S$1&gt;0,'Underlying Mechanics'!$B$22*'Underlying Mechanics'!$B$17,0)-IF(S$1&gt;0,'Underlying Mechanics'!$B$12*'Underlying Mechanics'!$B$18,0)</x:f>
        <x:v>13500.000000000007</x:v>
      </x:c>
      <x:c r="T160" t="n">
        <x:f>((IF(T$1-'Underlying Mechanics'!$B$8&lt;0,0,'Underlying Mechanics'!$B$22*'Underlying Mechanics'!$B$15*INDEX('Underlying Mechanics'!$B$31:$B$51,T$1-'Underlying Mechanics'!$B$8+1)*'Underlying Mechanics'!$B$5))*(1-$A160))-IF(T$1=0,'Underlying Mechanics'!$B$23*(1-$B160),0)-IF(T$1&gt;0,'Underlying Mechanics'!$B$22*'Underlying Mechanics'!$B$17,0)-IF(T$1&gt;0,'Underlying Mechanics'!$B$12*'Underlying Mechanics'!$B$18,0)</x:f>
        <x:v>13500.000000000007</x:v>
      </x:c>
      <x:c r="U160" t="n">
        <x:f>((IF(U$1-'Underlying Mechanics'!$B$8&lt;0,0,'Underlying Mechanics'!$B$22*'Underlying Mechanics'!$B$15*INDEX('Underlying Mechanics'!$B$31:$B$51,U$1-'Underlying Mechanics'!$B$8+1)*'Underlying Mechanics'!$B$5))*(1-$A160))-IF(U$1=0,'Underlying Mechanics'!$B$23*(1-$B160),0)-IF(U$1&gt;0,'Underlying Mechanics'!$B$22*'Underlying Mechanics'!$B$17,0)-IF(U$1&gt;0,'Underlying Mechanics'!$B$12*'Underlying Mechanics'!$B$18,0)</x:f>
        <x:v>13500.000000000007</x:v>
      </x:c>
      <x:c r="V160" t="n">
        <x:f>((IF(V$1-'Underlying Mechanics'!$B$8&lt;0,0,'Underlying Mechanics'!$B$22*'Underlying Mechanics'!$B$15*INDEX('Underlying Mechanics'!$B$31:$B$51,V$1-'Underlying Mechanics'!$B$8+1)*'Underlying Mechanics'!$B$5))*(1-$A160))-IF(V$1=0,'Underlying Mechanics'!$B$23*(1-$B160),0)-IF(V$1&gt;0,'Underlying Mechanics'!$B$22*'Underlying Mechanics'!$B$17,0)-IF(V$1&gt;0,'Underlying Mechanics'!$B$12*'Underlying Mechanics'!$B$18,0)</x:f>
        <x:v>13500.000000000007</x:v>
      </x:c>
      <x:c r="W160" t="n">
        <x:f>((IF(W$1-'Underlying Mechanics'!$B$8&lt;0,0,'Underlying Mechanics'!$B$22*'Underlying Mechanics'!$B$15*INDEX('Underlying Mechanics'!$B$31:$B$51,W$1-'Underlying Mechanics'!$B$8+1)*'Underlying Mechanics'!$B$5))*(1-$A160))-IF(W$1=0,'Underlying Mechanics'!$B$23*(1-$B160),0)-IF(W$1&gt;0,'Underlying Mechanics'!$B$22*'Underlying Mechanics'!$B$17,0)-IF(W$1&gt;0,'Underlying Mechanics'!$B$12*'Underlying Mechanics'!$B$18,0)</x:f>
        <x:v>13500.000000000007</x:v>
      </x:c>
      <x:c r="X160" t="n">
        <x:f>IFERROR(IRR(C160:W160),-1)</x:f>
        <x:v>-0.039516369326774534</x:v>
      </x:c>
    </x:row>
    <x:row r="161">
      <x:c r="A161" t="n">
        <x:v>0.7</x:v>
      </x:c>
      <x:c r="B161" t="n">
        <x:v>0.6</x:v>
      </x:c>
      <x:c r="C161" t="n">
        <x:f>((IF(C$1-'Underlying Mechanics'!$B$8&lt;0,0,'Underlying Mechanics'!$B$22*'Underlying Mechanics'!$B$15*INDEX('Underlying Mechanics'!$B$31:$B$51,C$1-'Underlying Mechanics'!$B$8+1)*'Underlying Mechanics'!$B$5))*(1-$A161))-IF(C$1=0,'Underlying Mechanics'!$B$23*(1-$B161),0)-IF(C$1&gt;0,'Underlying Mechanics'!$B$22*'Underlying Mechanics'!$B$17,0)-IF(C$1&gt;0,'Underlying Mechanics'!$B$12*'Underlying Mechanics'!$B$18,0)</x:f>
        <x:v>-60000</x:v>
      </x:c>
      <x:c r="D161" t="n">
        <x:f>((IF(D$1-'Underlying Mechanics'!$B$8&lt;0,0,'Underlying Mechanics'!$B$22*'Underlying Mechanics'!$B$15*INDEX('Underlying Mechanics'!$B$31:$B$51,D$1-'Underlying Mechanics'!$B$8+1)*'Underlying Mechanics'!$B$5))*(1-$A161))-IF(D$1=0,'Underlying Mechanics'!$B$23*(1-$B161),0)-IF(D$1&gt;0,'Underlying Mechanics'!$B$22*'Underlying Mechanics'!$B$17,0)-IF(D$1&gt;0,'Underlying Mechanics'!$B$12*'Underlying Mechanics'!$B$18,0)</x:f>
        <x:v>-22500</x:v>
      </x:c>
      <x:c r="E161" t="n">
        <x:f>((IF(E$1-'Underlying Mechanics'!$B$8&lt;0,0,'Underlying Mechanics'!$B$22*'Underlying Mechanics'!$B$15*INDEX('Underlying Mechanics'!$B$31:$B$51,E$1-'Underlying Mechanics'!$B$8+1)*'Underlying Mechanics'!$B$5))*(1-$A161))-IF(E$1=0,'Underlying Mechanics'!$B$23*(1-$B161),0)-IF(E$1&gt;0,'Underlying Mechanics'!$B$22*'Underlying Mechanics'!$B$17,0)-IF(E$1&gt;0,'Underlying Mechanics'!$B$12*'Underlying Mechanics'!$B$18,0)</x:f>
        <x:v>-22500</x:v>
      </x:c>
      <x:c r="F161" t="n">
        <x:f>((IF(F$1-'Underlying Mechanics'!$B$8&lt;0,0,'Underlying Mechanics'!$B$22*'Underlying Mechanics'!$B$15*INDEX('Underlying Mechanics'!$B$31:$B$51,F$1-'Underlying Mechanics'!$B$8+1)*'Underlying Mechanics'!$B$5))*(1-$A161))-IF(F$1=0,'Underlying Mechanics'!$B$23*(1-$B161),0)-IF(F$1&gt;0,'Underlying Mechanics'!$B$22*'Underlying Mechanics'!$B$17,0)-IF(F$1&gt;0,'Underlying Mechanics'!$B$12*'Underlying Mechanics'!$B$18,0)</x:f>
        <x:v>-21780</x:v>
      </x:c>
      <x:c r="G161" t="n">
        <x:f>((IF(G$1-'Underlying Mechanics'!$B$8&lt;0,0,'Underlying Mechanics'!$B$22*'Underlying Mechanics'!$B$15*INDEX('Underlying Mechanics'!$B$31:$B$51,G$1-'Underlying Mechanics'!$B$8+1)*'Underlying Mechanics'!$B$5))*(1-$A161))-IF(G$1=0,'Underlying Mechanics'!$B$23*(1-$B161),0)-IF(G$1&gt;0,'Underlying Mechanics'!$B$22*'Underlying Mechanics'!$B$17,0)-IF(G$1&gt;0,'Underlying Mechanics'!$B$12*'Underlying Mechanics'!$B$18,0)</x:f>
        <x:v>-20700</x:v>
      </x:c>
      <x:c r="H161" t="n">
        <x:f>((IF(H$1-'Underlying Mechanics'!$B$8&lt;0,0,'Underlying Mechanics'!$B$22*'Underlying Mechanics'!$B$15*INDEX('Underlying Mechanics'!$B$31:$B$51,H$1-'Underlying Mechanics'!$B$8+1)*'Underlying Mechanics'!$B$5))*(1-$A161))-IF(H$1=0,'Underlying Mechanics'!$B$23*(1-$B161),0)-IF(H$1&gt;0,'Underlying Mechanics'!$B$22*'Underlying Mechanics'!$B$17,0)-IF(H$1&gt;0,'Underlying Mechanics'!$B$12*'Underlying Mechanics'!$B$18,0)</x:f>
        <x:v>-18900</x:v>
      </x:c>
      <x:c r="I161" t="n">
        <x:f>((IF(I$1-'Underlying Mechanics'!$B$8&lt;0,0,'Underlying Mechanics'!$B$22*'Underlying Mechanics'!$B$15*INDEX('Underlying Mechanics'!$B$31:$B$51,I$1-'Underlying Mechanics'!$B$8+1)*'Underlying Mechanics'!$B$5))*(1-$A161))-IF(I$1=0,'Underlying Mechanics'!$B$23*(1-$B161),0)-IF(I$1&gt;0,'Underlying Mechanics'!$B$22*'Underlying Mechanics'!$B$17,0)-IF(I$1&gt;0,'Underlying Mechanics'!$B$12*'Underlying Mechanics'!$B$18,0)</x:f>
        <x:v>-16020</x:v>
      </x:c>
      <x:c r="J161" t="n">
        <x:f>((IF(J$1-'Underlying Mechanics'!$B$8&lt;0,0,'Underlying Mechanics'!$B$22*'Underlying Mechanics'!$B$15*INDEX('Underlying Mechanics'!$B$31:$B$51,J$1-'Underlying Mechanics'!$B$8+1)*'Underlying Mechanics'!$B$5))*(1-$A161))-IF(J$1=0,'Underlying Mechanics'!$B$23*(1-$B161),0)-IF(J$1&gt;0,'Underlying Mechanics'!$B$22*'Underlying Mechanics'!$B$17,0)-IF(J$1&gt;0,'Underlying Mechanics'!$B$12*'Underlying Mechanics'!$B$18,0)</x:f>
        <x:v>-12419.999999999996</x:v>
      </x:c>
      <x:c r="K161" t="n">
        <x:f>((IF(K$1-'Underlying Mechanics'!$B$8&lt;0,0,'Underlying Mechanics'!$B$22*'Underlying Mechanics'!$B$15*INDEX('Underlying Mechanics'!$B$31:$B$51,K$1-'Underlying Mechanics'!$B$8+1)*'Underlying Mechanics'!$B$5))*(1-$A161))-IF(K$1=0,'Underlying Mechanics'!$B$23*(1-$B161),0)-IF(K$1&gt;0,'Underlying Mechanics'!$B$22*'Underlying Mechanics'!$B$17,0)-IF(K$1&gt;0,'Underlying Mechanics'!$B$12*'Underlying Mechanics'!$B$18,0)</x:f>
        <x:v>-8099.999999999998</x:v>
      </x:c>
      <x:c r="L161" t="n">
        <x:f>((IF(L$1-'Underlying Mechanics'!$B$8&lt;0,0,'Underlying Mechanics'!$B$22*'Underlying Mechanics'!$B$15*INDEX('Underlying Mechanics'!$B$31:$B$51,L$1-'Underlying Mechanics'!$B$8+1)*'Underlying Mechanics'!$B$5))*(1-$A161))-IF(L$1=0,'Underlying Mechanics'!$B$23*(1-$B161),0)-IF(L$1&gt;0,'Underlying Mechanics'!$B$22*'Underlying Mechanics'!$B$17,0)-IF(L$1&gt;0,'Underlying Mechanics'!$B$12*'Underlying Mechanics'!$B$18,0)</x:f>
        <x:v>-3059.9999999999964</x:v>
      </x:c>
      <x:c r="M161" t="n">
        <x:f>((IF(M$1-'Underlying Mechanics'!$B$8&lt;0,0,'Underlying Mechanics'!$B$22*'Underlying Mechanics'!$B$15*INDEX('Underlying Mechanics'!$B$31:$B$51,M$1-'Underlying Mechanics'!$B$8+1)*'Underlying Mechanics'!$B$5))*(1-$A161))-IF(M$1=0,'Underlying Mechanics'!$B$23*(1-$B161),0)-IF(M$1&gt;0,'Underlying Mechanics'!$B$22*'Underlying Mechanics'!$B$17,0)-IF(M$1&gt;0,'Underlying Mechanics'!$B$12*'Underlying Mechanics'!$B$18,0)</x:f>
        <x:v>1980.0000000000073</x:v>
      </x:c>
      <x:c r="N161" t="n">
        <x:f>((IF(N$1-'Underlying Mechanics'!$B$8&lt;0,0,'Underlying Mechanics'!$B$22*'Underlying Mechanics'!$B$15*INDEX('Underlying Mechanics'!$B$31:$B$51,N$1-'Underlying Mechanics'!$B$8+1)*'Underlying Mechanics'!$B$5))*(1-$A161))-IF(N$1=0,'Underlying Mechanics'!$B$23*(1-$B161),0)-IF(N$1&gt;0,'Underlying Mechanics'!$B$22*'Underlying Mechanics'!$B$17,0)-IF(N$1&gt;0,'Underlying Mechanics'!$B$12*'Underlying Mechanics'!$B$18,0)</x:f>
        <x:v>6300.000000000004</x:v>
      </x:c>
      <x:c r="O161" t="n">
        <x:f>((IF(O$1-'Underlying Mechanics'!$B$8&lt;0,0,'Underlying Mechanics'!$B$22*'Underlying Mechanics'!$B$15*INDEX('Underlying Mechanics'!$B$31:$B$51,O$1-'Underlying Mechanics'!$B$8+1)*'Underlying Mechanics'!$B$5))*(1-$A161))-IF(O$1=0,'Underlying Mechanics'!$B$23*(1-$B161),0)-IF(O$1&gt;0,'Underlying Mechanics'!$B$22*'Underlying Mechanics'!$B$17,0)-IF(O$1&gt;0,'Underlying Mechanics'!$B$12*'Underlying Mechanics'!$B$18,0)</x:f>
        <x:v>9900.000000000004</x:v>
      </x:c>
      <x:c r="P161" t="n">
        <x:f>((IF(P$1-'Underlying Mechanics'!$B$8&lt;0,0,'Underlying Mechanics'!$B$22*'Underlying Mechanics'!$B$15*INDEX('Underlying Mechanics'!$B$31:$B$51,P$1-'Underlying Mechanics'!$B$8+1)*'Underlying Mechanics'!$B$5))*(1-$A161))-IF(P$1=0,'Underlying Mechanics'!$B$23*(1-$B161),0)-IF(P$1&gt;0,'Underlying Mechanics'!$B$22*'Underlying Mechanics'!$B$17,0)-IF(P$1&gt;0,'Underlying Mechanics'!$B$12*'Underlying Mechanics'!$B$18,0)</x:f>
        <x:v>13500.000000000007</x:v>
      </x:c>
      <x:c r="Q161" t="n">
        <x:f>((IF(Q$1-'Underlying Mechanics'!$B$8&lt;0,0,'Underlying Mechanics'!$B$22*'Underlying Mechanics'!$B$15*INDEX('Underlying Mechanics'!$B$31:$B$51,Q$1-'Underlying Mechanics'!$B$8+1)*'Underlying Mechanics'!$B$5))*(1-$A161))-IF(Q$1=0,'Underlying Mechanics'!$B$23*(1-$B161),0)-IF(Q$1&gt;0,'Underlying Mechanics'!$B$22*'Underlying Mechanics'!$B$17,0)-IF(Q$1&gt;0,'Underlying Mechanics'!$B$12*'Underlying Mechanics'!$B$18,0)</x:f>
        <x:v>13500.000000000007</x:v>
      </x:c>
      <x:c r="R161" t="n">
        <x:f>((IF(R$1-'Underlying Mechanics'!$B$8&lt;0,0,'Underlying Mechanics'!$B$22*'Underlying Mechanics'!$B$15*INDEX('Underlying Mechanics'!$B$31:$B$51,R$1-'Underlying Mechanics'!$B$8+1)*'Underlying Mechanics'!$B$5))*(1-$A161))-IF(R$1=0,'Underlying Mechanics'!$B$23*(1-$B161),0)-IF(R$1&gt;0,'Underlying Mechanics'!$B$22*'Underlying Mechanics'!$B$17,0)-IF(R$1&gt;0,'Underlying Mechanics'!$B$12*'Underlying Mechanics'!$B$18,0)</x:f>
        <x:v>13500.000000000007</x:v>
      </x:c>
      <x:c r="S161" t="n">
        <x:f>((IF(S$1-'Underlying Mechanics'!$B$8&lt;0,0,'Underlying Mechanics'!$B$22*'Underlying Mechanics'!$B$15*INDEX('Underlying Mechanics'!$B$31:$B$51,S$1-'Underlying Mechanics'!$B$8+1)*'Underlying Mechanics'!$B$5))*(1-$A161))-IF(S$1=0,'Underlying Mechanics'!$B$23*(1-$B161),0)-IF(S$1&gt;0,'Underlying Mechanics'!$B$22*'Underlying Mechanics'!$B$17,0)-IF(S$1&gt;0,'Underlying Mechanics'!$B$12*'Underlying Mechanics'!$B$18,0)</x:f>
        <x:v>13500.000000000007</x:v>
      </x:c>
      <x:c r="T161" t="n">
        <x:f>((IF(T$1-'Underlying Mechanics'!$B$8&lt;0,0,'Underlying Mechanics'!$B$22*'Underlying Mechanics'!$B$15*INDEX('Underlying Mechanics'!$B$31:$B$51,T$1-'Underlying Mechanics'!$B$8+1)*'Underlying Mechanics'!$B$5))*(1-$A161))-IF(T$1=0,'Underlying Mechanics'!$B$23*(1-$B161),0)-IF(T$1&gt;0,'Underlying Mechanics'!$B$22*'Underlying Mechanics'!$B$17,0)-IF(T$1&gt;0,'Underlying Mechanics'!$B$12*'Underlying Mechanics'!$B$18,0)</x:f>
        <x:v>13500.000000000007</x:v>
      </x:c>
      <x:c r="U161" t="n">
        <x:f>((IF(U$1-'Underlying Mechanics'!$B$8&lt;0,0,'Underlying Mechanics'!$B$22*'Underlying Mechanics'!$B$15*INDEX('Underlying Mechanics'!$B$31:$B$51,U$1-'Underlying Mechanics'!$B$8+1)*'Underlying Mechanics'!$B$5))*(1-$A161))-IF(U$1=0,'Underlying Mechanics'!$B$23*(1-$B161),0)-IF(U$1&gt;0,'Underlying Mechanics'!$B$22*'Underlying Mechanics'!$B$17,0)-IF(U$1&gt;0,'Underlying Mechanics'!$B$12*'Underlying Mechanics'!$B$18,0)</x:f>
        <x:v>13500.000000000007</x:v>
      </x:c>
      <x:c r="V161" t="n">
        <x:f>((IF(V$1-'Underlying Mechanics'!$B$8&lt;0,0,'Underlying Mechanics'!$B$22*'Underlying Mechanics'!$B$15*INDEX('Underlying Mechanics'!$B$31:$B$51,V$1-'Underlying Mechanics'!$B$8+1)*'Underlying Mechanics'!$B$5))*(1-$A161))-IF(V$1=0,'Underlying Mechanics'!$B$23*(1-$B161),0)-IF(V$1&gt;0,'Underlying Mechanics'!$B$22*'Underlying Mechanics'!$B$17,0)-IF(V$1&gt;0,'Underlying Mechanics'!$B$12*'Underlying Mechanics'!$B$18,0)</x:f>
        <x:v>13500.000000000007</x:v>
      </x:c>
      <x:c r="W161" t="n">
        <x:f>((IF(W$1-'Underlying Mechanics'!$B$8&lt;0,0,'Underlying Mechanics'!$B$22*'Underlying Mechanics'!$B$15*INDEX('Underlying Mechanics'!$B$31:$B$51,W$1-'Underlying Mechanics'!$B$8+1)*'Underlying Mechanics'!$B$5))*(1-$A161))-IF(W$1=0,'Underlying Mechanics'!$B$23*(1-$B161),0)-IF(W$1&gt;0,'Underlying Mechanics'!$B$22*'Underlying Mechanics'!$B$17,0)-IF(W$1&gt;0,'Underlying Mechanics'!$B$12*'Underlying Mechanics'!$B$18,0)</x:f>
        <x:v>13500.000000000007</x:v>
      </x:c>
      <x:c r="X161" t="n">
        <x:f>IFERROR(IRR(C161:W161),-1)</x:f>
        <x:v>-0.037157555760670605</x:v>
      </x:c>
    </x:row>
    <x:row r="162">
      <x:c r="A162" t="n">
        <x:v>0.7</x:v>
      </x:c>
      <x:c r="B162" t="n">
        <x:v>0.65</x:v>
      </x:c>
      <x:c r="C162" t="n">
        <x:f>((IF(C$1-'Underlying Mechanics'!$B$8&lt;0,0,'Underlying Mechanics'!$B$22*'Underlying Mechanics'!$B$15*INDEX('Underlying Mechanics'!$B$31:$B$51,C$1-'Underlying Mechanics'!$B$8+1)*'Underlying Mechanics'!$B$5))*(1-$A162))-IF(C$1=0,'Underlying Mechanics'!$B$23*(1-$B162),0)-IF(C$1&gt;0,'Underlying Mechanics'!$B$22*'Underlying Mechanics'!$B$17,0)-IF(C$1&gt;0,'Underlying Mechanics'!$B$12*'Underlying Mechanics'!$B$18,0)</x:f>
        <x:v>-52500</x:v>
      </x:c>
      <x:c r="D162" t="n">
        <x:f>((IF(D$1-'Underlying Mechanics'!$B$8&lt;0,0,'Underlying Mechanics'!$B$22*'Underlying Mechanics'!$B$15*INDEX('Underlying Mechanics'!$B$31:$B$51,D$1-'Underlying Mechanics'!$B$8+1)*'Underlying Mechanics'!$B$5))*(1-$A162))-IF(D$1=0,'Underlying Mechanics'!$B$23*(1-$B162),0)-IF(D$1&gt;0,'Underlying Mechanics'!$B$22*'Underlying Mechanics'!$B$17,0)-IF(D$1&gt;0,'Underlying Mechanics'!$B$12*'Underlying Mechanics'!$B$18,0)</x:f>
        <x:v>-22500</x:v>
      </x:c>
      <x:c r="E162" t="n">
        <x:f>((IF(E$1-'Underlying Mechanics'!$B$8&lt;0,0,'Underlying Mechanics'!$B$22*'Underlying Mechanics'!$B$15*INDEX('Underlying Mechanics'!$B$31:$B$51,E$1-'Underlying Mechanics'!$B$8+1)*'Underlying Mechanics'!$B$5))*(1-$A162))-IF(E$1=0,'Underlying Mechanics'!$B$23*(1-$B162),0)-IF(E$1&gt;0,'Underlying Mechanics'!$B$22*'Underlying Mechanics'!$B$17,0)-IF(E$1&gt;0,'Underlying Mechanics'!$B$12*'Underlying Mechanics'!$B$18,0)</x:f>
        <x:v>-22500</x:v>
      </x:c>
      <x:c r="F162" t="n">
        <x:f>((IF(F$1-'Underlying Mechanics'!$B$8&lt;0,0,'Underlying Mechanics'!$B$22*'Underlying Mechanics'!$B$15*INDEX('Underlying Mechanics'!$B$31:$B$51,F$1-'Underlying Mechanics'!$B$8+1)*'Underlying Mechanics'!$B$5))*(1-$A162))-IF(F$1=0,'Underlying Mechanics'!$B$23*(1-$B162),0)-IF(F$1&gt;0,'Underlying Mechanics'!$B$22*'Underlying Mechanics'!$B$17,0)-IF(F$1&gt;0,'Underlying Mechanics'!$B$12*'Underlying Mechanics'!$B$18,0)</x:f>
        <x:v>-21780</x:v>
      </x:c>
      <x:c r="G162" t="n">
        <x:f>((IF(G$1-'Underlying Mechanics'!$B$8&lt;0,0,'Underlying Mechanics'!$B$22*'Underlying Mechanics'!$B$15*INDEX('Underlying Mechanics'!$B$31:$B$51,G$1-'Underlying Mechanics'!$B$8+1)*'Underlying Mechanics'!$B$5))*(1-$A162))-IF(G$1=0,'Underlying Mechanics'!$B$23*(1-$B162),0)-IF(G$1&gt;0,'Underlying Mechanics'!$B$22*'Underlying Mechanics'!$B$17,0)-IF(G$1&gt;0,'Underlying Mechanics'!$B$12*'Underlying Mechanics'!$B$18,0)</x:f>
        <x:v>-20700</x:v>
      </x:c>
      <x:c r="H162" t="n">
        <x:f>((IF(H$1-'Underlying Mechanics'!$B$8&lt;0,0,'Underlying Mechanics'!$B$22*'Underlying Mechanics'!$B$15*INDEX('Underlying Mechanics'!$B$31:$B$51,H$1-'Underlying Mechanics'!$B$8+1)*'Underlying Mechanics'!$B$5))*(1-$A162))-IF(H$1=0,'Underlying Mechanics'!$B$23*(1-$B162),0)-IF(H$1&gt;0,'Underlying Mechanics'!$B$22*'Underlying Mechanics'!$B$17,0)-IF(H$1&gt;0,'Underlying Mechanics'!$B$12*'Underlying Mechanics'!$B$18,0)</x:f>
        <x:v>-18900</x:v>
      </x:c>
      <x:c r="I162" t="n">
        <x:f>((IF(I$1-'Underlying Mechanics'!$B$8&lt;0,0,'Underlying Mechanics'!$B$22*'Underlying Mechanics'!$B$15*INDEX('Underlying Mechanics'!$B$31:$B$51,I$1-'Underlying Mechanics'!$B$8+1)*'Underlying Mechanics'!$B$5))*(1-$A162))-IF(I$1=0,'Underlying Mechanics'!$B$23*(1-$B162),0)-IF(I$1&gt;0,'Underlying Mechanics'!$B$22*'Underlying Mechanics'!$B$17,0)-IF(I$1&gt;0,'Underlying Mechanics'!$B$12*'Underlying Mechanics'!$B$18,0)</x:f>
        <x:v>-16020</x:v>
      </x:c>
      <x:c r="J162" t="n">
        <x:f>((IF(J$1-'Underlying Mechanics'!$B$8&lt;0,0,'Underlying Mechanics'!$B$22*'Underlying Mechanics'!$B$15*INDEX('Underlying Mechanics'!$B$31:$B$51,J$1-'Underlying Mechanics'!$B$8+1)*'Underlying Mechanics'!$B$5))*(1-$A162))-IF(J$1=0,'Underlying Mechanics'!$B$23*(1-$B162),0)-IF(J$1&gt;0,'Underlying Mechanics'!$B$22*'Underlying Mechanics'!$B$17,0)-IF(J$1&gt;0,'Underlying Mechanics'!$B$12*'Underlying Mechanics'!$B$18,0)</x:f>
        <x:v>-12419.999999999996</x:v>
      </x:c>
      <x:c r="K162" t="n">
        <x:f>((IF(K$1-'Underlying Mechanics'!$B$8&lt;0,0,'Underlying Mechanics'!$B$22*'Underlying Mechanics'!$B$15*INDEX('Underlying Mechanics'!$B$31:$B$51,K$1-'Underlying Mechanics'!$B$8+1)*'Underlying Mechanics'!$B$5))*(1-$A162))-IF(K$1=0,'Underlying Mechanics'!$B$23*(1-$B162),0)-IF(K$1&gt;0,'Underlying Mechanics'!$B$22*'Underlying Mechanics'!$B$17,0)-IF(K$1&gt;0,'Underlying Mechanics'!$B$12*'Underlying Mechanics'!$B$18,0)</x:f>
        <x:v>-8099.999999999998</x:v>
      </x:c>
      <x:c r="L162" t="n">
        <x:f>((IF(L$1-'Underlying Mechanics'!$B$8&lt;0,0,'Underlying Mechanics'!$B$22*'Underlying Mechanics'!$B$15*INDEX('Underlying Mechanics'!$B$31:$B$51,L$1-'Underlying Mechanics'!$B$8+1)*'Underlying Mechanics'!$B$5))*(1-$A162))-IF(L$1=0,'Underlying Mechanics'!$B$23*(1-$B162),0)-IF(L$1&gt;0,'Underlying Mechanics'!$B$22*'Underlying Mechanics'!$B$17,0)-IF(L$1&gt;0,'Underlying Mechanics'!$B$12*'Underlying Mechanics'!$B$18,0)</x:f>
        <x:v>-3059.9999999999964</x:v>
      </x:c>
      <x:c r="M162" t="n">
        <x:f>((IF(M$1-'Underlying Mechanics'!$B$8&lt;0,0,'Underlying Mechanics'!$B$22*'Underlying Mechanics'!$B$15*INDEX('Underlying Mechanics'!$B$31:$B$51,M$1-'Underlying Mechanics'!$B$8+1)*'Underlying Mechanics'!$B$5))*(1-$A162))-IF(M$1=0,'Underlying Mechanics'!$B$23*(1-$B162),0)-IF(M$1&gt;0,'Underlying Mechanics'!$B$22*'Underlying Mechanics'!$B$17,0)-IF(M$1&gt;0,'Underlying Mechanics'!$B$12*'Underlying Mechanics'!$B$18,0)</x:f>
        <x:v>1980.0000000000073</x:v>
      </x:c>
      <x:c r="N162" t="n">
        <x:f>((IF(N$1-'Underlying Mechanics'!$B$8&lt;0,0,'Underlying Mechanics'!$B$22*'Underlying Mechanics'!$B$15*INDEX('Underlying Mechanics'!$B$31:$B$51,N$1-'Underlying Mechanics'!$B$8+1)*'Underlying Mechanics'!$B$5))*(1-$A162))-IF(N$1=0,'Underlying Mechanics'!$B$23*(1-$B162),0)-IF(N$1&gt;0,'Underlying Mechanics'!$B$22*'Underlying Mechanics'!$B$17,0)-IF(N$1&gt;0,'Underlying Mechanics'!$B$12*'Underlying Mechanics'!$B$18,0)</x:f>
        <x:v>6300.000000000004</x:v>
      </x:c>
      <x:c r="O162" t="n">
        <x:f>((IF(O$1-'Underlying Mechanics'!$B$8&lt;0,0,'Underlying Mechanics'!$B$22*'Underlying Mechanics'!$B$15*INDEX('Underlying Mechanics'!$B$31:$B$51,O$1-'Underlying Mechanics'!$B$8+1)*'Underlying Mechanics'!$B$5))*(1-$A162))-IF(O$1=0,'Underlying Mechanics'!$B$23*(1-$B162),0)-IF(O$1&gt;0,'Underlying Mechanics'!$B$22*'Underlying Mechanics'!$B$17,0)-IF(O$1&gt;0,'Underlying Mechanics'!$B$12*'Underlying Mechanics'!$B$18,0)</x:f>
        <x:v>9900.000000000004</x:v>
      </x:c>
      <x:c r="P162" t="n">
        <x:f>((IF(P$1-'Underlying Mechanics'!$B$8&lt;0,0,'Underlying Mechanics'!$B$22*'Underlying Mechanics'!$B$15*INDEX('Underlying Mechanics'!$B$31:$B$51,P$1-'Underlying Mechanics'!$B$8+1)*'Underlying Mechanics'!$B$5))*(1-$A162))-IF(P$1=0,'Underlying Mechanics'!$B$23*(1-$B162),0)-IF(P$1&gt;0,'Underlying Mechanics'!$B$22*'Underlying Mechanics'!$B$17,0)-IF(P$1&gt;0,'Underlying Mechanics'!$B$12*'Underlying Mechanics'!$B$18,0)</x:f>
        <x:v>13500.000000000007</x:v>
      </x:c>
      <x:c r="Q162" t="n">
        <x:f>((IF(Q$1-'Underlying Mechanics'!$B$8&lt;0,0,'Underlying Mechanics'!$B$22*'Underlying Mechanics'!$B$15*INDEX('Underlying Mechanics'!$B$31:$B$51,Q$1-'Underlying Mechanics'!$B$8+1)*'Underlying Mechanics'!$B$5))*(1-$A162))-IF(Q$1=0,'Underlying Mechanics'!$B$23*(1-$B162),0)-IF(Q$1&gt;0,'Underlying Mechanics'!$B$22*'Underlying Mechanics'!$B$17,0)-IF(Q$1&gt;0,'Underlying Mechanics'!$B$12*'Underlying Mechanics'!$B$18,0)</x:f>
        <x:v>13500.000000000007</x:v>
      </x:c>
      <x:c r="R162" t="n">
        <x:f>((IF(R$1-'Underlying Mechanics'!$B$8&lt;0,0,'Underlying Mechanics'!$B$22*'Underlying Mechanics'!$B$15*INDEX('Underlying Mechanics'!$B$31:$B$51,R$1-'Underlying Mechanics'!$B$8+1)*'Underlying Mechanics'!$B$5))*(1-$A162))-IF(R$1=0,'Underlying Mechanics'!$B$23*(1-$B162),0)-IF(R$1&gt;0,'Underlying Mechanics'!$B$22*'Underlying Mechanics'!$B$17,0)-IF(R$1&gt;0,'Underlying Mechanics'!$B$12*'Underlying Mechanics'!$B$18,0)</x:f>
        <x:v>13500.000000000007</x:v>
      </x:c>
      <x:c r="S162" t="n">
        <x:f>((IF(S$1-'Underlying Mechanics'!$B$8&lt;0,0,'Underlying Mechanics'!$B$22*'Underlying Mechanics'!$B$15*INDEX('Underlying Mechanics'!$B$31:$B$51,S$1-'Underlying Mechanics'!$B$8+1)*'Underlying Mechanics'!$B$5))*(1-$A162))-IF(S$1=0,'Underlying Mechanics'!$B$23*(1-$B162),0)-IF(S$1&gt;0,'Underlying Mechanics'!$B$22*'Underlying Mechanics'!$B$17,0)-IF(S$1&gt;0,'Underlying Mechanics'!$B$12*'Underlying Mechanics'!$B$18,0)</x:f>
        <x:v>13500.000000000007</x:v>
      </x:c>
      <x:c r="T162" t="n">
        <x:f>((IF(T$1-'Underlying Mechanics'!$B$8&lt;0,0,'Underlying Mechanics'!$B$22*'Underlying Mechanics'!$B$15*INDEX('Underlying Mechanics'!$B$31:$B$51,T$1-'Underlying Mechanics'!$B$8+1)*'Underlying Mechanics'!$B$5))*(1-$A162))-IF(T$1=0,'Underlying Mechanics'!$B$23*(1-$B162),0)-IF(T$1&gt;0,'Underlying Mechanics'!$B$22*'Underlying Mechanics'!$B$17,0)-IF(T$1&gt;0,'Underlying Mechanics'!$B$12*'Underlying Mechanics'!$B$18,0)</x:f>
        <x:v>13500.000000000007</x:v>
      </x:c>
      <x:c r="U162" t="n">
        <x:f>((IF(U$1-'Underlying Mechanics'!$B$8&lt;0,0,'Underlying Mechanics'!$B$22*'Underlying Mechanics'!$B$15*INDEX('Underlying Mechanics'!$B$31:$B$51,U$1-'Underlying Mechanics'!$B$8+1)*'Underlying Mechanics'!$B$5))*(1-$A162))-IF(U$1=0,'Underlying Mechanics'!$B$23*(1-$B162),0)-IF(U$1&gt;0,'Underlying Mechanics'!$B$22*'Underlying Mechanics'!$B$17,0)-IF(U$1&gt;0,'Underlying Mechanics'!$B$12*'Underlying Mechanics'!$B$18,0)</x:f>
        <x:v>13500.000000000007</x:v>
      </x:c>
      <x:c r="V162" t="n">
        <x:f>((IF(V$1-'Underlying Mechanics'!$B$8&lt;0,0,'Underlying Mechanics'!$B$22*'Underlying Mechanics'!$B$15*INDEX('Underlying Mechanics'!$B$31:$B$51,V$1-'Underlying Mechanics'!$B$8+1)*'Underlying Mechanics'!$B$5))*(1-$A162))-IF(V$1=0,'Underlying Mechanics'!$B$23*(1-$B162),0)-IF(V$1&gt;0,'Underlying Mechanics'!$B$22*'Underlying Mechanics'!$B$17,0)-IF(V$1&gt;0,'Underlying Mechanics'!$B$12*'Underlying Mechanics'!$B$18,0)</x:f>
        <x:v>13500.000000000007</x:v>
      </x:c>
      <x:c r="W162" t="n">
        <x:f>((IF(W$1-'Underlying Mechanics'!$B$8&lt;0,0,'Underlying Mechanics'!$B$22*'Underlying Mechanics'!$B$15*INDEX('Underlying Mechanics'!$B$31:$B$51,W$1-'Underlying Mechanics'!$B$8+1)*'Underlying Mechanics'!$B$5))*(1-$A162))-IF(W$1=0,'Underlying Mechanics'!$B$23*(1-$B162),0)-IF(W$1&gt;0,'Underlying Mechanics'!$B$22*'Underlying Mechanics'!$B$17,0)-IF(W$1&gt;0,'Underlying Mechanics'!$B$12*'Underlying Mechanics'!$B$18,0)</x:f>
        <x:v>13500.000000000007</x:v>
      </x:c>
      <x:c r="X162" t="n">
        <x:f>IFERROR(IRR(C162:W162),-1)</x:f>
        <x:v>-0.03467588348517854</x:v>
      </x:c>
    </x:row>
    <x:row r="163">
      <x:c r="A163" t="n">
        <x:v>0.7</x:v>
      </x:c>
      <x:c r="B163" t="n">
        <x:v>0.7</x:v>
      </x:c>
      <x:c r="C163" t="n">
        <x:f>((IF(C$1-'Underlying Mechanics'!$B$8&lt;0,0,'Underlying Mechanics'!$B$22*'Underlying Mechanics'!$B$15*INDEX('Underlying Mechanics'!$B$31:$B$51,C$1-'Underlying Mechanics'!$B$8+1)*'Underlying Mechanics'!$B$5))*(1-$A163))-IF(C$1=0,'Underlying Mechanics'!$B$23*(1-$B163),0)-IF(C$1&gt;0,'Underlying Mechanics'!$B$22*'Underlying Mechanics'!$B$17,0)-IF(C$1&gt;0,'Underlying Mechanics'!$B$12*'Underlying Mechanics'!$B$18,0)</x:f>
        <x:v>-45000.00000000001</x:v>
      </x:c>
      <x:c r="D163" t="n">
        <x:f>((IF(D$1-'Underlying Mechanics'!$B$8&lt;0,0,'Underlying Mechanics'!$B$22*'Underlying Mechanics'!$B$15*INDEX('Underlying Mechanics'!$B$31:$B$51,D$1-'Underlying Mechanics'!$B$8+1)*'Underlying Mechanics'!$B$5))*(1-$A163))-IF(D$1=0,'Underlying Mechanics'!$B$23*(1-$B163),0)-IF(D$1&gt;0,'Underlying Mechanics'!$B$22*'Underlying Mechanics'!$B$17,0)-IF(D$1&gt;0,'Underlying Mechanics'!$B$12*'Underlying Mechanics'!$B$18,0)</x:f>
        <x:v>-22500</x:v>
      </x:c>
      <x:c r="E163" t="n">
        <x:f>((IF(E$1-'Underlying Mechanics'!$B$8&lt;0,0,'Underlying Mechanics'!$B$22*'Underlying Mechanics'!$B$15*INDEX('Underlying Mechanics'!$B$31:$B$51,E$1-'Underlying Mechanics'!$B$8+1)*'Underlying Mechanics'!$B$5))*(1-$A163))-IF(E$1=0,'Underlying Mechanics'!$B$23*(1-$B163),0)-IF(E$1&gt;0,'Underlying Mechanics'!$B$22*'Underlying Mechanics'!$B$17,0)-IF(E$1&gt;0,'Underlying Mechanics'!$B$12*'Underlying Mechanics'!$B$18,0)</x:f>
        <x:v>-22500</x:v>
      </x:c>
      <x:c r="F163" t="n">
        <x:f>((IF(F$1-'Underlying Mechanics'!$B$8&lt;0,0,'Underlying Mechanics'!$B$22*'Underlying Mechanics'!$B$15*INDEX('Underlying Mechanics'!$B$31:$B$51,F$1-'Underlying Mechanics'!$B$8+1)*'Underlying Mechanics'!$B$5))*(1-$A163))-IF(F$1=0,'Underlying Mechanics'!$B$23*(1-$B163),0)-IF(F$1&gt;0,'Underlying Mechanics'!$B$22*'Underlying Mechanics'!$B$17,0)-IF(F$1&gt;0,'Underlying Mechanics'!$B$12*'Underlying Mechanics'!$B$18,0)</x:f>
        <x:v>-21780</x:v>
      </x:c>
      <x:c r="G163" t="n">
        <x:f>((IF(G$1-'Underlying Mechanics'!$B$8&lt;0,0,'Underlying Mechanics'!$B$22*'Underlying Mechanics'!$B$15*INDEX('Underlying Mechanics'!$B$31:$B$51,G$1-'Underlying Mechanics'!$B$8+1)*'Underlying Mechanics'!$B$5))*(1-$A163))-IF(G$1=0,'Underlying Mechanics'!$B$23*(1-$B163),0)-IF(G$1&gt;0,'Underlying Mechanics'!$B$22*'Underlying Mechanics'!$B$17,0)-IF(G$1&gt;0,'Underlying Mechanics'!$B$12*'Underlying Mechanics'!$B$18,0)</x:f>
        <x:v>-20700</x:v>
      </x:c>
      <x:c r="H163" t="n">
        <x:f>((IF(H$1-'Underlying Mechanics'!$B$8&lt;0,0,'Underlying Mechanics'!$B$22*'Underlying Mechanics'!$B$15*INDEX('Underlying Mechanics'!$B$31:$B$51,H$1-'Underlying Mechanics'!$B$8+1)*'Underlying Mechanics'!$B$5))*(1-$A163))-IF(H$1=0,'Underlying Mechanics'!$B$23*(1-$B163),0)-IF(H$1&gt;0,'Underlying Mechanics'!$B$22*'Underlying Mechanics'!$B$17,0)-IF(H$1&gt;0,'Underlying Mechanics'!$B$12*'Underlying Mechanics'!$B$18,0)</x:f>
        <x:v>-18900</x:v>
      </x:c>
      <x:c r="I163" t="n">
        <x:f>((IF(I$1-'Underlying Mechanics'!$B$8&lt;0,0,'Underlying Mechanics'!$B$22*'Underlying Mechanics'!$B$15*INDEX('Underlying Mechanics'!$B$31:$B$51,I$1-'Underlying Mechanics'!$B$8+1)*'Underlying Mechanics'!$B$5))*(1-$A163))-IF(I$1=0,'Underlying Mechanics'!$B$23*(1-$B163),0)-IF(I$1&gt;0,'Underlying Mechanics'!$B$22*'Underlying Mechanics'!$B$17,0)-IF(I$1&gt;0,'Underlying Mechanics'!$B$12*'Underlying Mechanics'!$B$18,0)</x:f>
        <x:v>-16020</x:v>
      </x:c>
      <x:c r="J163" t="n">
        <x:f>((IF(J$1-'Underlying Mechanics'!$B$8&lt;0,0,'Underlying Mechanics'!$B$22*'Underlying Mechanics'!$B$15*INDEX('Underlying Mechanics'!$B$31:$B$51,J$1-'Underlying Mechanics'!$B$8+1)*'Underlying Mechanics'!$B$5))*(1-$A163))-IF(J$1=0,'Underlying Mechanics'!$B$23*(1-$B163),0)-IF(J$1&gt;0,'Underlying Mechanics'!$B$22*'Underlying Mechanics'!$B$17,0)-IF(J$1&gt;0,'Underlying Mechanics'!$B$12*'Underlying Mechanics'!$B$18,0)</x:f>
        <x:v>-12419.999999999996</x:v>
      </x:c>
      <x:c r="K163" t="n">
        <x:f>((IF(K$1-'Underlying Mechanics'!$B$8&lt;0,0,'Underlying Mechanics'!$B$22*'Underlying Mechanics'!$B$15*INDEX('Underlying Mechanics'!$B$31:$B$51,K$1-'Underlying Mechanics'!$B$8+1)*'Underlying Mechanics'!$B$5))*(1-$A163))-IF(K$1=0,'Underlying Mechanics'!$B$23*(1-$B163),0)-IF(K$1&gt;0,'Underlying Mechanics'!$B$22*'Underlying Mechanics'!$B$17,0)-IF(K$1&gt;0,'Underlying Mechanics'!$B$12*'Underlying Mechanics'!$B$18,0)</x:f>
        <x:v>-8099.999999999998</x:v>
      </x:c>
      <x:c r="L163" t="n">
        <x:f>((IF(L$1-'Underlying Mechanics'!$B$8&lt;0,0,'Underlying Mechanics'!$B$22*'Underlying Mechanics'!$B$15*INDEX('Underlying Mechanics'!$B$31:$B$51,L$1-'Underlying Mechanics'!$B$8+1)*'Underlying Mechanics'!$B$5))*(1-$A163))-IF(L$1=0,'Underlying Mechanics'!$B$23*(1-$B163),0)-IF(L$1&gt;0,'Underlying Mechanics'!$B$22*'Underlying Mechanics'!$B$17,0)-IF(L$1&gt;0,'Underlying Mechanics'!$B$12*'Underlying Mechanics'!$B$18,0)</x:f>
        <x:v>-3059.9999999999964</x:v>
      </x:c>
      <x:c r="M163" t="n">
        <x:f>((IF(M$1-'Underlying Mechanics'!$B$8&lt;0,0,'Underlying Mechanics'!$B$22*'Underlying Mechanics'!$B$15*INDEX('Underlying Mechanics'!$B$31:$B$51,M$1-'Underlying Mechanics'!$B$8+1)*'Underlying Mechanics'!$B$5))*(1-$A163))-IF(M$1=0,'Underlying Mechanics'!$B$23*(1-$B163),0)-IF(M$1&gt;0,'Underlying Mechanics'!$B$22*'Underlying Mechanics'!$B$17,0)-IF(M$1&gt;0,'Underlying Mechanics'!$B$12*'Underlying Mechanics'!$B$18,0)</x:f>
        <x:v>1980.0000000000073</x:v>
      </x:c>
      <x:c r="N163" t="n">
        <x:f>((IF(N$1-'Underlying Mechanics'!$B$8&lt;0,0,'Underlying Mechanics'!$B$22*'Underlying Mechanics'!$B$15*INDEX('Underlying Mechanics'!$B$31:$B$51,N$1-'Underlying Mechanics'!$B$8+1)*'Underlying Mechanics'!$B$5))*(1-$A163))-IF(N$1=0,'Underlying Mechanics'!$B$23*(1-$B163),0)-IF(N$1&gt;0,'Underlying Mechanics'!$B$22*'Underlying Mechanics'!$B$17,0)-IF(N$1&gt;0,'Underlying Mechanics'!$B$12*'Underlying Mechanics'!$B$18,0)</x:f>
        <x:v>6300.000000000004</x:v>
      </x:c>
      <x:c r="O163" t="n">
        <x:f>((IF(O$1-'Underlying Mechanics'!$B$8&lt;0,0,'Underlying Mechanics'!$B$22*'Underlying Mechanics'!$B$15*INDEX('Underlying Mechanics'!$B$31:$B$51,O$1-'Underlying Mechanics'!$B$8+1)*'Underlying Mechanics'!$B$5))*(1-$A163))-IF(O$1=0,'Underlying Mechanics'!$B$23*(1-$B163),0)-IF(O$1&gt;0,'Underlying Mechanics'!$B$22*'Underlying Mechanics'!$B$17,0)-IF(O$1&gt;0,'Underlying Mechanics'!$B$12*'Underlying Mechanics'!$B$18,0)</x:f>
        <x:v>9900.000000000004</x:v>
      </x:c>
      <x:c r="P163" t="n">
        <x:f>((IF(P$1-'Underlying Mechanics'!$B$8&lt;0,0,'Underlying Mechanics'!$B$22*'Underlying Mechanics'!$B$15*INDEX('Underlying Mechanics'!$B$31:$B$51,P$1-'Underlying Mechanics'!$B$8+1)*'Underlying Mechanics'!$B$5))*(1-$A163))-IF(P$1=0,'Underlying Mechanics'!$B$23*(1-$B163),0)-IF(P$1&gt;0,'Underlying Mechanics'!$B$22*'Underlying Mechanics'!$B$17,0)-IF(P$1&gt;0,'Underlying Mechanics'!$B$12*'Underlying Mechanics'!$B$18,0)</x:f>
        <x:v>13500.000000000007</x:v>
      </x:c>
      <x:c r="Q163" t="n">
        <x:f>((IF(Q$1-'Underlying Mechanics'!$B$8&lt;0,0,'Underlying Mechanics'!$B$22*'Underlying Mechanics'!$B$15*INDEX('Underlying Mechanics'!$B$31:$B$51,Q$1-'Underlying Mechanics'!$B$8+1)*'Underlying Mechanics'!$B$5))*(1-$A163))-IF(Q$1=0,'Underlying Mechanics'!$B$23*(1-$B163),0)-IF(Q$1&gt;0,'Underlying Mechanics'!$B$22*'Underlying Mechanics'!$B$17,0)-IF(Q$1&gt;0,'Underlying Mechanics'!$B$12*'Underlying Mechanics'!$B$18,0)</x:f>
        <x:v>13500.000000000007</x:v>
      </x:c>
      <x:c r="R163" t="n">
        <x:f>((IF(R$1-'Underlying Mechanics'!$B$8&lt;0,0,'Underlying Mechanics'!$B$22*'Underlying Mechanics'!$B$15*INDEX('Underlying Mechanics'!$B$31:$B$51,R$1-'Underlying Mechanics'!$B$8+1)*'Underlying Mechanics'!$B$5))*(1-$A163))-IF(R$1=0,'Underlying Mechanics'!$B$23*(1-$B163),0)-IF(R$1&gt;0,'Underlying Mechanics'!$B$22*'Underlying Mechanics'!$B$17,0)-IF(R$1&gt;0,'Underlying Mechanics'!$B$12*'Underlying Mechanics'!$B$18,0)</x:f>
        <x:v>13500.000000000007</x:v>
      </x:c>
      <x:c r="S163" t="n">
        <x:f>((IF(S$1-'Underlying Mechanics'!$B$8&lt;0,0,'Underlying Mechanics'!$B$22*'Underlying Mechanics'!$B$15*INDEX('Underlying Mechanics'!$B$31:$B$51,S$1-'Underlying Mechanics'!$B$8+1)*'Underlying Mechanics'!$B$5))*(1-$A163))-IF(S$1=0,'Underlying Mechanics'!$B$23*(1-$B163),0)-IF(S$1&gt;0,'Underlying Mechanics'!$B$22*'Underlying Mechanics'!$B$17,0)-IF(S$1&gt;0,'Underlying Mechanics'!$B$12*'Underlying Mechanics'!$B$18,0)</x:f>
        <x:v>13500.000000000007</x:v>
      </x:c>
      <x:c r="T163" t="n">
        <x:f>((IF(T$1-'Underlying Mechanics'!$B$8&lt;0,0,'Underlying Mechanics'!$B$22*'Underlying Mechanics'!$B$15*INDEX('Underlying Mechanics'!$B$31:$B$51,T$1-'Underlying Mechanics'!$B$8+1)*'Underlying Mechanics'!$B$5))*(1-$A163))-IF(T$1=0,'Underlying Mechanics'!$B$23*(1-$B163),0)-IF(T$1&gt;0,'Underlying Mechanics'!$B$22*'Underlying Mechanics'!$B$17,0)-IF(T$1&gt;0,'Underlying Mechanics'!$B$12*'Underlying Mechanics'!$B$18,0)</x:f>
        <x:v>13500.000000000007</x:v>
      </x:c>
      <x:c r="U163" t="n">
        <x:f>((IF(U$1-'Underlying Mechanics'!$B$8&lt;0,0,'Underlying Mechanics'!$B$22*'Underlying Mechanics'!$B$15*INDEX('Underlying Mechanics'!$B$31:$B$51,U$1-'Underlying Mechanics'!$B$8+1)*'Underlying Mechanics'!$B$5))*(1-$A163))-IF(U$1=0,'Underlying Mechanics'!$B$23*(1-$B163),0)-IF(U$1&gt;0,'Underlying Mechanics'!$B$22*'Underlying Mechanics'!$B$17,0)-IF(U$1&gt;0,'Underlying Mechanics'!$B$12*'Underlying Mechanics'!$B$18,0)</x:f>
        <x:v>13500.000000000007</x:v>
      </x:c>
      <x:c r="V163" t="n">
        <x:f>((IF(V$1-'Underlying Mechanics'!$B$8&lt;0,0,'Underlying Mechanics'!$B$22*'Underlying Mechanics'!$B$15*INDEX('Underlying Mechanics'!$B$31:$B$51,V$1-'Underlying Mechanics'!$B$8+1)*'Underlying Mechanics'!$B$5))*(1-$A163))-IF(V$1=0,'Underlying Mechanics'!$B$23*(1-$B163),0)-IF(V$1&gt;0,'Underlying Mechanics'!$B$22*'Underlying Mechanics'!$B$17,0)-IF(V$1&gt;0,'Underlying Mechanics'!$B$12*'Underlying Mechanics'!$B$18,0)</x:f>
        <x:v>13500.000000000007</x:v>
      </x:c>
      <x:c r="W163" t="n">
        <x:f>((IF(W$1-'Underlying Mechanics'!$B$8&lt;0,0,'Underlying Mechanics'!$B$22*'Underlying Mechanics'!$B$15*INDEX('Underlying Mechanics'!$B$31:$B$51,W$1-'Underlying Mechanics'!$B$8+1)*'Underlying Mechanics'!$B$5))*(1-$A163))-IF(W$1=0,'Underlying Mechanics'!$B$23*(1-$B163),0)-IF(W$1&gt;0,'Underlying Mechanics'!$B$22*'Underlying Mechanics'!$B$17,0)-IF(W$1&gt;0,'Underlying Mechanics'!$B$12*'Underlying Mechanics'!$B$18,0)</x:f>
        <x:v>13500.000000000007</x:v>
      </x:c>
      <x:c r="X163" t="n">
        <x:f>IFERROR(IRR(C163:W163),-1)</x:f>
        <x:v>-0.032057669924116086</x:v>
      </x:c>
    </x:row>
    <x:row r="164">
      <x:c r="A164" t="n">
        <x:v>0.7</x:v>
      </x:c>
      <x:c r="B164" t="n">
        <x:v>0.75</x:v>
      </x:c>
      <x:c r="C164" t="n">
        <x:f>((IF(C$1-'Underlying Mechanics'!$B$8&lt;0,0,'Underlying Mechanics'!$B$22*'Underlying Mechanics'!$B$15*INDEX('Underlying Mechanics'!$B$31:$B$51,C$1-'Underlying Mechanics'!$B$8+1)*'Underlying Mechanics'!$B$5))*(1-$A164))-IF(C$1=0,'Underlying Mechanics'!$B$23*(1-$B164),0)-IF(C$1&gt;0,'Underlying Mechanics'!$B$22*'Underlying Mechanics'!$B$17,0)-IF(C$1&gt;0,'Underlying Mechanics'!$B$12*'Underlying Mechanics'!$B$18,0)</x:f>
        <x:v>-37500</x:v>
      </x:c>
      <x:c r="D164" t="n">
        <x:f>((IF(D$1-'Underlying Mechanics'!$B$8&lt;0,0,'Underlying Mechanics'!$B$22*'Underlying Mechanics'!$B$15*INDEX('Underlying Mechanics'!$B$31:$B$51,D$1-'Underlying Mechanics'!$B$8+1)*'Underlying Mechanics'!$B$5))*(1-$A164))-IF(D$1=0,'Underlying Mechanics'!$B$23*(1-$B164),0)-IF(D$1&gt;0,'Underlying Mechanics'!$B$22*'Underlying Mechanics'!$B$17,0)-IF(D$1&gt;0,'Underlying Mechanics'!$B$12*'Underlying Mechanics'!$B$18,0)</x:f>
        <x:v>-22500</x:v>
      </x:c>
      <x:c r="E164" t="n">
        <x:f>((IF(E$1-'Underlying Mechanics'!$B$8&lt;0,0,'Underlying Mechanics'!$B$22*'Underlying Mechanics'!$B$15*INDEX('Underlying Mechanics'!$B$31:$B$51,E$1-'Underlying Mechanics'!$B$8+1)*'Underlying Mechanics'!$B$5))*(1-$A164))-IF(E$1=0,'Underlying Mechanics'!$B$23*(1-$B164),0)-IF(E$1&gt;0,'Underlying Mechanics'!$B$22*'Underlying Mechanics'!$B$17,0)-IF(E$1&gt;0,'Underlying Mechanics'!$B$12*'Underlying Mechanics'!$B$18,0)</x:f>
        <x:v>-22500</x:v>
      </x:c>
      <x:c r="F164" t="n">
        <x:f>((IF(F$1-'Underlying Mechanics'!$B$8&lt;0,0,'Underlying Mechanics'!$B$22*'Underlying Mechanics'!$B$15*INDEX('Underlying Mechanics'!$B$31:$B$51,F$1-'Underlying Mechanics'!$B$8+1)*'Underlying Mechanics'!$B$5))*(1-$A164))-IF(F$1=0,'Underlying Mechanics'!$B$23*(1-$B164),0)-IF(F$1&gt;0,'Underlying Mechanics'!$B$22*'Underlying Mechanics'!$B$17,0)-IF(F$1&gt;0,'Underlying Mechanics'!$B$12*'Underlying Mechanics'!$B$18,0)</x:f>
        <x:v>-21780</x:v>
      </x:c>
      <x:c r="G164" t="n">
        <x:f>((IF(G$1-'Underlying Mechanics'!$B$8&lt;0,0,'Underlying Mechanics'!$B$22*'Underlying Mechanics'!$B$15*INDEX('Underlying Mechanics'!$B$31:$B$51,G$1-'Underlying Mechanics'!$B$8+1)*'Underlying Mechanics'!$B$5))*(1-$A164))-IF(G$1=0,'Underlying Mechanics'!$B$23*(1-$B164),0)-IF(G$1&gt;0,'Underlying Mechanics'!$B$22*'Underlying Mechanics'!$B$17,0)-IF(G$1&gt;0,'Underlying Mechanics'!$B$12*'Underlying Mechanics'!$B$18,0)</x:f>
        <x:v>-20700</x:v>
      </x:c>
      <x:c r="H164" t="n">
        <x:f>((IF(H$1-'Underlying Mechanics'!$B$8&lt;0,0,'Underlying Mechanics'!$B$22*'Underlying Mechanics'!$B$15*INDEX('Underlying Mechanics'!$B$31:$B$51,H$1-'Underlying Mechanics'!$B$8+1)*'Underlying Mechanics'!$B$5))*(1-$A164))-IF(H$1=0,'Underlying Mechanics'!$B$23*(1-$B164),0)-IF(H$1&gt;0,'Underlying Mechanics'!$B$22*'Underlying Mechanics'!$B$17,0)-IF(H$1&gt;0,'Underlying Mechanics'!$B$12*'Underlying Mechanics'!$B$18,0)</x:f>
        <x:v>-18900</x:v>
      </x:c>
      <x:c r="I164" t="n">
        <x:f>((IF(I$1-'Underlying Mechanics'!$B$8&lt;0,0,'Underlying Mechanics'!$B$22*'Underlying Mechanics'!$B$15*INDEX('Underlying Mechanics'!$B$31:$B$51,I$1-'Underlying Mechanics'!$B$8+1)*'Underlying Mechanics'!$B$5))*(1-$A164))-IF(I$1=0,'Underlying Mechanics'!$B$23*(1-$B164),0)-IF(I$1&gt;0,'Underlying Mechanics'!$B$22*'Underlying Mechanics'!$B$17,0)-IF(I$1&gt;0,'Underlying Mechanics'!$B$12*'Underlying Mechanics'!$B$18,0)</x:f>
        <x:v>-16020</x:v>
      </x:c>
      <x:c r="J164" t="n">
        <x:f>((IF(J$1-'Underlying Mechanics'!$B$8&lt;0,0,'Underlying Mechanics'!$B$22*'Underlying Mechanics'!$B$15*INDEX('Underlying Mechanics'!$B$31:$B$51,J$1-'Underlying Mechanics'!$B$8+1)*'Underlying Mechanics'!$B$5))*(1-$A164))-IF(J$1=0,'Underlying Mechanics'!$B$23*(1-$B164),0)-IF(J$1&gt;0,'Underlying Mechanics'!$B$22*'Underlying Mechanics'!$B$17,0)-IF(J$1&gt;0,'Underlying Mechanics'!$B$12*'Underlying Mechanics'!$B$18,0)</x:f>
        <x:v>-12419.999999999996</x:v>
      </x:c>
      <x:c r="K164" t="n">
        <x:f>((IF(K$1-'Underlying Mechanics'!$B$8&lt;0,0,'Underlying Mechanics'!$B$22*'Underlying Mechanics'!$B$15*INDEX('Underlying Mechanics'!$B$31:$B$51,K$1-'Underlying Mechanics'!$B$8+1)*'Underlying Mechanics'!$B$5))*(1-$A164))-IF(K$1=0,'Underlying Mechanics'!$B$23*(1-$B164),0)-IF(K$1&gt;0,'Underlying Mechanics'!$B$22*'Underlying Mechanics'!$B$17,0)-IF(K$1&gt;0,'Underlying Mechanics'!$B$12*'Underlying Mechanics'!$B$18,0)</x:f>
        <x:v>-8099.999999999998</x:v>
      </x:c>
      <x:c r="L164" t="n">
        <x:f>((IF(L$1-'Underlying Mechanics'!$B$8&lt;0,0,'Underlying Mechanics'!$B$22*'Underlying Mechanics'!$B$15*INDEX('Underlying Mechanics'!$B$31:$B$51,L$1-'Underlying Mechanics'!$B$8+1)*'Underlying Mechanics'!$B$5))*(1-$A164))-IF(L$1=0,'Underlying Mechanics'!$B$23*(1-$B164),0)-IF(L$1&gt;0,'Underlying Mechanics'!$B$22*'Underlying Mechanics'!$B$17,0)-IF(L$1&gt;0,'Underlying Mechanics'!$B$12*'Underlying Mechanics'!$B$18,0)</x:f>
        <x:v>-3059.9999999999964</x:v>
      </x:c>
      <x:c r="M164" t="n">
        <x:f>((IF(M$1-'Underlying Mechanics'!$B$8&lt;0,0,'Underlying Mechanics'!$B$22*'Underlying Mechanics'!$B$15*INDEX('Underlying Mechanics'!$B$31:$B$51,M$1-'Underlying Mechanics'!$B$8+1)*'Underlying Mechanics'!$B$5))*(1-$A164))-IF(M$1=0,'Underlying Mechanics'!$B$23*(1-$B164),0)-IF(M$1&gt;0,'Underlying Mechanics'!$B$22*'Underlying Mechanics'!$B$17,0)-IF(M$1&gt;0,'Underlying Mechanics'!$B$12*'Underlying Mechanics'!$B$18,0)</x:f>
        <x:v>1980.0000000000073</x:v>
      </x:c>
      <x:c r="N164" t="n">
        <x:f>((IF(N$1-'Underlying Mechanics'!$B$8&lt;0,0,'Underlying Mechanics'!$B$22*'Underlying Mechanics'!$B$15*INDEX('Underlying Mechanics'!$B$31:$B$51,N$1-'Underlying Mechanics'!$B$8+1)*'Underlying Mechanics'!$B$5))*(1-$A164))-IF(N$1=0,'Underlying Mechanics'!$B$23*(1-$B164),0)-IF(N$1&gt;0,'Underlying Mechanics'!$B$22*'Underlying Mechanics'!$B$17,0)-IF(N$1&gt;0,'Underlying Mechanics'!$B$12*'Underlying Mechanics'!$B$18,0)</x:f>
        <x:v>6300.000000000004</x:v>
      </x:c>
      <x:c r="O164" t="n">
        <x:f>((IF(O$1-'Underlying Mechanics'!$B$8&lt;0,0,'Underlying Mechanics'!$B$22*'Underlying Mechanics'!$B$15*INDEX('Underlying Mechanics'!$B$31:$B$51,O$1-'Underlying Mechanics'!$B$8+1)*'Underlying Mechanics'!$B$5))*(1-$A164))-IF(O$1=0,'Underlying Mechanics'!$B$23*(1-$B164),0)-IF(O$1&gt;0,'Underlying Mechanics'!$B$22*'Underlying Mechanics'!$B$17,0)-IF(O$1&gt;0,'Underlying Mechanics'!$B$12*'Underlying Mechanics'!$B$18,0)</x:f>
        <x:v>9900.000000000004</x:v>
      </x:c>
      <x:c r="P164" t="n">
        <x:f>((IF(P$1-'Underlying Mechanics'!$B$8&lt;0,0,'Underlying Mechanics'!$B$22*'Underlying Mechanics'!$B$15*INDEX('Underlying Mechanics'!$B$31:$B$51,P$1-'Underlying Mechanics'!$B$8+1)*'Underlying Mechanics'!$B$5))*(1-$A164))-IF(P$1=0,'Underlying Mechanics'!$B$23*(1-$B164),0)-IF(P$1&gt;0,'Underlying Mechanics'!$B$22*'Underlying Mechanics'!$B$17,0)-IF(P$1&gt;0,'Underlying Mechanics'!$B$12*'Underlying Mechanics'!$B$18,0)</x:f>
        <x:v>13500.000000000007</x:v>
      </x:c>
      <x:c r="Q164" t="n">
        <x:f>((IF(Q$1-'Underlying Mechanics'!$B$8&lt;0,0,'Underlying Mechanics'!$B$22*'Underlying Mechanics'!$B$15*INDEX('Underlying Mechanics'!$B$31:$B$51,Q$1-'Underlying Mechanics'!$B$8+1)*'Underlying Mechanics'!$B$5))*(1-$A164))-IF(Q$1=0,'Underlying Mechanics'!$B$23*(1-$B164),0)-IF(Q$1&gt;0,'Underlying Mechanics'!$B$22*'Underlying Mechanics'!$B$17,0)-IF(Q$1&gt;0,'Underlying Mechanics'!$B$12*'Underlying Mechanics'!$B$18,0)</x:f>
        <x:v>13500.000000000007</x:v>
      </x:c>
      <x:c r="R164" t="n">
        <x:f>((IF(R$1-'Underlying Mechanics'!$B$8&lt;0,0,'Underlying Mechanics'!$B$22*'Underlying Mechanics'!$B$15*INDEX('Underlying Mechanics'!$B$31:$B$51,R$1-'Underlying Mechanics'!$B$8+1)*'Underlying Mechanics'!$B$5))*(1-$A164))-IF(R$1=0,'Underlying Mechanics'!$B$23*(1-$B164),0)-IF(R$1&gt;0,'Underlying Mechanics'!$B$22*'Underlying Mechanics'!$B$17,0)-IF(R$1&gt;0,'Underlying Mechanics'!$B$12*'Underlying Mechanics'!$B$18,0)</x:f>
        <x:v>13500.000000000007</x:v>
      </x:c>
      <x:c r="S164" t="n">
        <x:f>((IF(S$1-'Underlying Mechanics'!$B$8&lt;0,0,'Underlying Mechanics'!$B$22*'Underlying Mechanics'!$B$15*INDEX('Underlying Mechanics'!$B$31:$B$51,S$1-'Underlying Mechanics'!$B$8+1)*'Underlying Mechanics'!$B$5))*(1-$A164))-IF(S$1=0,'Underlying Mechanics'!$B$23*(1-$B164),0)-IF(S$1&gt;0,'Underlying Mechanics'!$B$22*'Underlying Mechanics'!$B$17,0)-IF(S$1&gt;0,'Underlying Mechanics'!$B$12*'Underlying Mechanics'!$B$18,0)</x:f>
        <x:v>13500.000000000007</x:v>
      </x:c>
      <x:c r="T164" t="n">
        <x:f>((IF(T$1-'Underlying Mechanics'!$B$8&lt;0,0,'Underlying Mechanics'!$B$22*'Underlying Mechanics'!$B$15*INDEX('Underlying Mechanics'!$B$31:$B$51,T$1-'Underlying Mechanics'!$B$8+1)*'Underlying Mechanics'!$B$5))*(1-$A164))-IF(T$1=0,'Underlying Mechanics'!$B$23*(1-$B164),0)-IF(T$1&gt;0,'Underlying Mechanics'!$B$22*'Underlying Mechanics'!$B$17,0)-IF(T$1&gt;0,'Underlying Mechanics'!$B$12*'Underlying Mechanics'!$B$18,0)</x:f>
        <x:v>13500.000000000007</x:v>
      </x:c>
      <x:c r="U164" t="n">
        <x:f>((IF(U$1-'Underlying Mechanics'!$B$8&lt;0,0,'Underlying Mechanics'!$B$22*'Underlying Mechanics'!$B$15*INDEX('Underlying Mechanics'!$B$31:$B$51,U$1-'Underlying Mechanics'!$B$8+1)*'Underlying Mechanics'!$B$5))*(1-$A164))-IF(U$1=0,'Underlying Mechanics'!$B$23*(1-$B164),0)-IF(U$1&gt;0,'Underlying Mechanics'!$B$22*'Underlying Mechanics'!$B$17,0)-IF(U$1&gt;0,'Underlying Mechanics'!$B$12*'Underlying Mechanics'!$B$18,0)</x:f>
        <x:v>13500.000000000007</x:v>
      </x:c>
      <x:c r="V164" t="n">
        <x:f>((IF(V$1-'Underlying Mechanics'!$B$8&lt;0,0,'Underlying Mechanics'!$B$22*'Underlying Mechanics'!$B$15*INDEX('Underlying Mechanics'!$B$31:$B$51,V$1-'Underlying Mechanics'!$B$8+1)*'Underlying Mechanics'!$B$5))*(1-$A164))-IF(V$1=0,'Underlying Mechanics'!$B$23*(1-$B164),0)-IF(V$1&gt;0,'Underlying Mechanics'!$B$22*'Underlying Mechanics'!$B$17,0)-IF(V$1&gt;0,'Underlying Mechanics'!$B$12*'Underlying Mechanics'!$B$18,0)</x:f>
        <x:v>13500.000000000007</x:v>
      </x:c>
      <x:c r="W164" t="n">
        <x:f>((IF(W$1-'Underlying Mechanics'!$B$8&lt;0,0,'Underlying Mechanics'!$B$22*'Underlying Mechanics'!$B$15*INDEX('Underlying Mechanics'!$B$31:$B$51,W$1-'Underlying Mechanics'!$B$8+1)*'Underlying Mechanics'!$B$5))*(1-$A164))-IF(W$1=0,'Underlying Mechanics'!$B$23*(1-$B164),0)-IF(W$1&gt;0,'Underlying Mechanics'!$B$22*'Underlying Mechanics'!$B$17,0)-IF(W$1&gt;0,'Underlying Mechanics'!$B$12*'Underlying Mechanics'!$B$18,0)</x:f>
        <x:v>13500.000000000007</x:v>
      </x:c>
      <x:c r="X164" t="n">
        <x:f>IFERROR(IRR(C164:W164),-1)</x:f>
        <x:v>-0.029286769548805845</x:v>
      </x:c>
    </x:row>
    <x:row r="165">
      <x:c r="A165" t="n">
        <x:v>0.7</x:v>
      </x:c>
      <x:c r="B165" t="n">
        <x:v>0.8</x:v>
      </x:c>
      <x:c r="C165" t="n">
        <x:f>((IF(C$1-'Underlying Mechanics'!$B$8&lt;0,0,'Underlying Mechanics'!$B$22*'Underlying Mechanics'!$B$15*INDEX('Underlying Mechanics'!$B$31:$B$51,C$1-'Underlying Mechanics'!$B$8+1)*'Underlying Mechanics'!$B$5))*(1-$A165))-IF(C$1=0,'Underlying Mechanics'!$B$23*(1-$B165),0)-IF(C$1&gt;0,'Underlying Mechanics'!$B$22*'Underlying Mechanics'!$B$17,0)-IF(C$1&gt;0,'Underlying Mechanics'!$B$12*'Underlying Mechanics'!$B$18,0)</x:f>
        <x:v>-29999.999999999993</x:v>
      </x:c>
      <x:c r="D165" t="n">
        <x:f>((IF(D$1-'Underlying Mechanics'!$B$8&lt;0,0,'Underlying Mechanics'!$B$22*'Underlying Mechanics'!$B$15*INDEX('Underlying Mechanics'!$B$31:$B$51,D$1-'Underlying Mechanics'!$B$8+1)*'Underlying Mechanics'!$B$5))*(1-$A165))-IF(D$1=0,'Underlying Mechanics'!$B$23*(1-$B165),0)-IF(D$1&gt;0,'Underlying Mechanics'!$B$22*'Underlying Mechanics'!$B$17,0)-IF(D$1&gt;0,'Underlying Mechanics'!$B$12*'Underlying Mechanics'!$B$18,0)</x:f>
        <x:v>-22500</x:v>
      </x:c>
      <x:c r="E165" t="n">
        <x:f>((IF(E$1-'Underlying Mechanics'!$B$8&lt;0,0,'Underlying Mechanics'!$B$22*'Underlying Mechanics'!$B$15*INDEX('Underlying Mechanics'!$B$31:$B$51,E$1-'Underlying Mechanics'!$B$8+1)*'Underlying Mechanics'!$B$5))*(1-$A165))-IF(E$1=0,'Underlying Mechanics'!$B$23*(1-$B165),0)-IF(E$1&gt;0,'Underlying Mechanics'!$B$22*'Underlying Mechanics'!$B$17,0)-IF(E$1&gt;0,'Underlying Mechanics'!$B$12*'Underlying Mechanics'!$B$18,0)</x:f>
        <x:v>-22500</x:v>
      </x:c>
      <x:c r="F165" t="n">
        <x:f>((IF(F$1-'Underlying Mechanics'!$B$8&lt;0,0,'Underlying Mechanics'!$B$22*'Underlying Mechanics'!$B$15*INDEX('Underlying Mechanics'!$B$31:$B$51,F$1-'Underlying Mechanics'!$B$8+1)*'Underlying Mechanics'!$B$5))*(1-$A165))-IF(F$1=0,'Underlying Mechanics'!$B$23*(1-$B165),0)-IF(F$1&gt;0,'Underlying Mechanics'!$B$22*'Underlying Mechanics'!$B$17,0)-IF(F$1&gt;0,'Underlying Mechanics'!$B$12*'Underlying Mechanics'!$B$18,0)</x:f>
        <x:v>-21780</x:v>
      </x:c>
      <x:c r="G165" t="n">
        <x:f>((IF(G$1-'Underlying Mechanics'!$B$8&lt;0,0,'Underlying Mechanics'!$B$22*'Underlying Mechanics'!$B$15*INDEX('Underlying Mechanics'!$B$31:$B$51,G$1-'Underlying Mechanics'!$B$8+1)*'Underlying Mechanics'!$B$5))*(1-$A165))-IF(G$1=0,'Underlying Mechanics'!$B$23*(1-$B165),0)-IF(G$1&gt;0,'Underlying Mechanics'!$B$22*'Underlying Mechanics'!$B$17,0)-IF(G$1&gt;0,'Underlying Mechanics'!$B$12*'Underlying Mechanics'!$B$18,0)</x:f>
        <x:v>-20700</x:v>
      </x:c>
      <x:c r="H165" t="n">
        <x:f>((IF(H$1-'Underlying Mechanics'!$B$8&lt;0,0,'Underlying Mechanics'!$B$22*'Underlying Mechanics'!$B$15*INDEX('Underlying Mechanics'!$B$31:$B$51,H$1-'Underlying Mechanics'!$B$8+1)*'Underlying Mechanics'!$B$5))*(1-$A165))-IF(H$1=0,'Underlying Mechanics'!$B$23*(1-$B165),0)-IF(H$1&gt;0,'Underlying Mechanics'!$B$22*'Underlying Mechanics'!$B$17,0)-IF(H$1&gt;0,'Underlying Mechanics'!$B$12*'Underlying Mechanics'!$B$18,0)</x:f>
        <x:v>-18900</x:v>
      </x:c>
      <x:c r="I165" t="n">
        <x:f>((IF(I$1-'Underlying Mechanics'!$B$8&lt;0,0,'Underlying Mechanics'!$B$22*'Underlying Mechanics'!$B$15*INDEX('Underlying Mechanics'!$B$31:$B$51,I$1-'Underlying Mechanics'!$B$8+1)*'Underlying Mechanics'!$B$5))*(1-$A165))-IF(I$1=0,'Underlying Mechanics'!$B$23*(1-$B165),0)-IF(I$1&gt;0,'Underlying Mechanics'!$B$22*'Underlying Mechanics'!$B$17,0)-IF(I$1&gt;0,'Underlying Mechanics'!$B$12*'Underlying Mechanics'!$B$18,0)</x:f>
        <x:v>-16020</x:v>
      </x:c>
      <x:c r="J165" t="n">
        <x:f>((IF(J$1-'Underlying Mechanics'!$B$8&lt;0,0,'Underlying Mechanics'!$B$22*'Underlying Mechanics'!$B$15*INDEX('Underlying Mechanics'!$B$31:$B$51,J$1-'Underlying Mechanics'!$B$8+1)*'Underlying Mechanics'!$B$5))*(1-$A165))-IF(J$1=0,'Underlying Mechanics'!$B$23*(1-$B165),0)-IF(J$1&gt;0,'Underlying Mechanics'!$B$22*'Underlying Mechanics'!$B$17,0)-IF(J$1&gt;0,'Underlying Mechanics'!$B$12*'Underlying Mechanics'!$B$18,0)</x:f>
        <x:v>-12419.999999999996</x:v>
      </x:c>
      <x:c r="K165" t="n">
        <x:f>((IF(K$1-'Underlying Mechanics'!$B$8&lt;0,0,'Underlying Mechanics'!$B$22*'Underlying Mechanics'!$B$15*INDEX('Underlying Mechanics'!$B$31:$B$51,K$1-'Underlying Mechanics'!$B$8+1)*'Underlying Mechanics'!$B$5))*(1-$A165))-IF(K$1=0,'Underlying Mechanics'!$B$23*(1-$B165),0)-IF(K$1&gt;0,'Underlying Mechanics'!$B$22*'Underlying Mechanics'!$B$17,0)-IF(K$1&gt;0,'Underlying Mechanics'!$B$12*'Underlying Mechanics'!$B$18,0)</x:f>
        <x:v>-8099.999999999998</x:v>
      </x:c>
      <x:c r="L165" t="n">
        <x:f>((IF(L$1-'Underlying Mechanics'!$B$8&lt;0,0,'Underlying Mechanics'!$B$22*'Underlying Mechanics'!$B$15*INDEX('Underlying Mechanics'!$B$31:$B$51,L$1-'Underlying Mechanics'!$B$8+1)*'Underlying Mechanics'!$B$5))*(1-$A165))-IF(L$1=0,'Underlying Mechanics'!$B$23*(1-$B165),0)-IF(L$1&gt;0,'Underlying Mechanics'!$B$22*'Underlying Mechanics'!$B$17,0)-IF(L$1&gt;0,'Underlying Mechanics'!$B$12*'Underlying Mechanics'!$B$18,0)</x:f>
        <x:v>-3059.9999999999964</x:v>
      </x:c>
      <x:c r="M165" t="n">
        <x:f>((IF(M$1-'Underlying Mechanics'!$B$8&lt;0,0,'Underlying Mechanics'!$B$22*'Underlying Mechanics'!$B$15*INDEX('Underlying Mechanics'!$B$31:$B$51,M$1-'Underlying Mechanics'!$B$8+1)*'Underlying Mechanics'!$B$5))*(1-$A165))-IF(M$1=0,'Underlying Mechanics'!$B$23*(1-$B165),0)-IF(M$1&gt;0,'Underlying Mechanics'!$B$22*'Underlying Mechanics'!$B$17,0)-IF(M$1&gt;0,'Underlying Mechanics'!$B$12*'Underlying Mechanics'!$B$18,0)</x:f>
        <x:v>1980.0000000000073</x:v>
      </x:c>
      <x:c r="N165" t="n">
        <x:f>((IF(N$1-'Underlying Mechanics'!$B$8&lt;0,0,'Underlying Mechanics'!$B$22*'Underlying Mechanics'!$B$15*INDEX('Underlying Mechanics'!$B$31:$B$51,N$1-'Underlying Mechanics'!$B$8+1)*'Underlying Mechanics'!$B$5))*(1-$A165))-IF(N$1=0,'Underlying Mechanics'!$B$23*(1-$B165),0)-IF(N$1&gt;0,'Underlying Mechanics'!$B$22*'Underlying Mechanics'!$B$17,0)-IF(N$1&gt;0,'Underlying Mechanics'!$B$12*'Underlying Mechanics'!$B$18,0)</x:f>
        <x:v>6300.000000000004</x:v>
      </x:c>
      <x:c r="O165" t="n">
        <x:f>((IF(O$1-'Underlying Mechanics'!$B$8&lt;0,0,'Underlying Mechanics'!$B$22*'Underlying Mechanics'!$B$15*INDEX('Underlying Mechanics'!$B$31:$B$51,O$1-'Underlying Mechanics'!$B$8+1)*'Underlying Mechanics'!$B$5))*(1-$A165))-IF(O$1=0,'Underlying Mechanics'!$B$23*(1-$B165),0)-IF(O$1&gt;0,'Underlying Mechanics'!$B$22*'Underlying Mechanics'!$B$17,0)-IF(O$1&gt;0,'Underlying Mechanics'!$B$12*'Underlying Mechanics'!$B$18,0)</x:f>
        <x:v>9900.000000000004</x:v>
      </x:c>
      <x:c r="P165" t="n">
        <x:f>((IF(P$1-'Underlying Mechanics'!$B$8&lt;0,0,'Underlying Mechanics'!$B$22*'Underlying Mechanics'!$B$15*INDEX('Underlying Mechanics'!$B$31:$B$51,P$1-'Underlying Mechanics'!$B$8+1)*'Underlying Mechanics'!$B$5))*(1-$A165))-IF(P$1=0,'Underlying Mechanics'!$B$23*(1-$B165),0)-IF(P$1&gt;0,'Underlying Mechanics'!$B$22*'Underlying Mechanics'!$B$17,0)-IF(P$1&gt;0,'Underlying Mechanics'!$B$12*'Underlying Mechanics'!$B$18,0)</x:f>
        <x:v>13500.000000000007</x:v>
      </x:c>
      <x:c r="Q165" t="n">
        <x:f>((IF(Q$1-'Underlying Mechanics'!$B$8&lt;0,0,'Underlying Mechanics'!$B$22*'Underlying Mechanics'!$B$15*INDEX('Underlying Mechanics'!$B$31:$B$51,Q$1-'Underlying Mechanics'!$B$8+1)*'Underlying Mechanics'!$B$5))*(1-$A165))-IF(Q$1=0,'Underlying Mechanics'!$B$23*(1-$B165),0)-IF(Q$1&gt;0,'Underlying Mechanics'!$B$22*'Underlying Mechanics'!$B$17,0)-IF(Q$1&gt;0,'Underlying Mechanics'!$B$12*'Underlying Mechanics'!$B$18,0)</x:f>
        <x:v>13500.000000000007</x:v>
      </x:c>
      <x:c r="R165" t="n">
        <x:f>((IF(R$1-'Underlying Mechanics'!$B$8&lt;0,0,'Underlying Mechanics'!$B$22*'Underlying Mechanics'!$B$15*INDEX('Underlying Mechanics'!$B$31:$B$51,R$1-'Underlying Mechanics'!$B$8+1)*'Underlying Mechanics'!$B$5))*(1-$A165))-IF(R$1=0,'Underlying Mechanics'!$B$23*(1-$B165),0)-IF(R$1&gt;0,'Underlying Mechanics'!$B$22*'Underlying Mechanics'!$B$17,0)-IF(R$1&gt;0,'Underlying Mechanics'!$B$12*'Underlying Mechanics'!$B$18,0)</x:f>
        <x:v>13500.000000000007</x:v>
      </x:c>
      <x:c r="S165" t="n">
        <x:f>((IF(S$1-'Underlying Mechanics'!$B$8&lt;0,0,'Underlying Mechanics'!$B$22*'Underlying Mechanics'!$B$15*INDEX('Underlying Mechanics'!$B$31:$B$51,S$1-'Underlying Mechanics'!$B$8+1)*'Underlying Mechanics'!$B$5))*(1-$A165))-IF(S$1=0,'Underlying Mechanics'!$B$23*(1-$B165),0)-IF(S$1&gt;0,'Underlying Mechanics'!$B$22*'Underlying Mechanics'!$B$17,0)-IF(S$1&gt;0,'Underlying Mechanics'!$B$12*'Underlying Mechanics'!$B$18,0)</x:f>
        <x:v>13500.000000000007</x:v>
      </x:c>
      <x:c r="T165" t="n">
        <x:f>((IF(T$1-'Underlying Mechanics'!$B$8&lt;0,0,'Underlying Mechanics'!$B$22*'Underlying Mechanics'!$B$15*INDEX('Underlying Mechanics'!$B$31:$B$51,T$1-'Underlying Mechanics'!$B$8+1)*'Underlying Mechanics'!$B$5))*(1-$A165))-IF(T$1=0,'Underlying Mechanics'!$B$23*(1-$B165),0)-IF(T$1&gt;0,'Underlying Mechanics'!$B$22*'Underlying Mechanics'!$B$17,0)-IF(T$1&gt;0,'Underlying Mechanics'!$B$12*'Underlying Mechanics'!$B$18,0)</x:f>
        <x:v>13500.000000000007</x:v>
      </x:c>
      <x:c r="U165" t="n">
        <x:f>((IF(U$1-'Underlying Mechanics'!$B$8&lt;0,0,'Underlying Mechanics'!$B$22*'Underlying Mechanics'!$B$15*INDEX('Underlying Mechanics'!$B$31:$B$51,U$1-'Underlying Mechanics'!$B$8+1)*'Underlying Mechanics'!$B$5))*(1-$A165))-IF(U$1=0,'Underlying Mechanics'!$B$23*(1-$B165),0)-IF(U$1&gt;0,'Underlying Mechanics'!$B$22*'Underlying Mechanics'!$B$17,0)-IF(U$1&gt;0,'Underlying Mechanics'!$B$12*'Underlying Mechanics'!$B$18,0)</x:f>
        <x:v>13500.000000000007</x:v>
      </x:c>
      <x:c r="V165" t="n">
        <x:f>((IF(V$1-'Underlying Mechanics'!$B$8&lt;0,0,'Underlying Mechanics'!$B$22*'Underlying Mechanics'!$B$15*INDEX('Underlying Mechanics'!$B$31:$B$51,V$1-'Underlying Mechanics'!$B$8+1)*'Underlying Mechanics'!$B$5))*(1-$A165))-IF(V$1=0,'Underlying Mechanics'!$B$23*(1-$B165),0)-IF(V$1&gt;0,'Underlying Mechanics'!$B$22*'Underlying Mechanics'!$B$17,0)-IF(V$1&gt;0,'Underlying Mechanics'!$B$12*'Underlying Mechanics'!$B$18,0)</x:f>
        <x:v>13500.000000000007</x:v>
      </x:c>
      <x:c r="W165" t="n">
        <x:f>((IF(W$1-'Underlying Mechanics'!$B$8&lt;0,0,'Underlying Mechanics'!$B$22*'Underlying Mechanics'!$B$15*INDEX('Underlying Mechanics'!$B$31:$B$51,W$1-'Underlying Mechanics'!$B$8+1)*'Underlying Mechanics'!$B$5))*(1-$A165))-IF(W$1=0,'Underlying Mechanics'!$B$23*(1-$B165),0)-IF(W$1&gt;0,'Underlying Mechanics'!$B$22*'Underlying Mechanics'!$B$17,0)-IF(W$1&gt;0,'Underlying Mechanics'!$B$12*'Underlying Mechanics'!$B$18,0)</x:f>
        <x:v>13500.000000000007</x:v>
      </x:c>
      <x:c r="X165" t="n">
        <x:f>IFERROR(IRR(C165:W165),-1)</x:f>
        <x:v>-0.02634393451453775</x:v>
      </x:c>
    </x:row>
    <x:row r="166">
      <x:c r="A166" t="n">
        <x:v>0.7</x:v>
      </x:c>
      <x:c r="B166" t="n">
        <x:v>0.85</x:v>
      </x:c>
      <x:c r="C166" t="n">
        <x:f>((IF(C$1-'Underlying Mechanics'!$B$8&lt;0,0,'Underlying Mechanics'!$B$22*'Underlying Mechanics'!$B$15*INDEX('Underlying Mechanics'!$B$31:$B$51,C$1-'Underlying Mechanics'!$B$8+1)*'Underlying Mechanics'!$B$5))*(1-$A166))-IF(C$1=0,'Underlying Mechanics'!$B$23*(1-$B166),0)-IF(C$1&gt;0,'Underlying Mechanics'!$B$22*'Underlying Mechanics'!$B$17,0)-IF(C$1&gt;0,'Underlying Mechanics'!$B$12*'Underlying Mechanics'!$B$18,0)</x:f>
        <x:v>-22500.000000000004</x:v>
      </x:c>
      <x:c r="D166" t="n">
        <x:f>((IF(D$1-'Underlying Mechanics'!$B$8&lt;0,0,'Underlying Mechanics'!$B$22*'Underlying Mechanics'!$B$15*INDEX('Underlying Mechanics'!$B$31:$B$51,D$1-'Underlying Mechanics'!$B$8+1)*'Underlying Mechanics'!$B$5))*(1-$A166))-IF(D$1=0,'Underlying Mechanics'!$B$23*(1-$B166),0)-IF(D$1&gt;0,'Underlying Mechanics'!$B$22*'Underlying Mechanics'!$B$17,0)-IF(D$1&gt;0,'Underlying Mechanics'!$B$12*'Underlying Mechanics'!$B$18,0)</x:f>
        <x:v>-22500</x:v>
      </x:c>
      <x:c r="E166" t="n">
        <x:f>((IF(E$1-'Underlying Mechanics'!$B$8&lt;0,0,'Underlying Mechanics'!$B$22*'Underlying Mechanics'!$B$15*INDEX('Underlying Mechanics'!$B$31:$B$51,E$1-'Underlying Mechanics'!$B$8+1)*'Underlying Mechanics'!$B$5))*(1-$A166))-IF(E$1=0,'Underlying Mechanics'!$B$23*(1-$B166),0)-IF(E$1&gt;0,'Underlying Mechanics'!$B$22*'Underlying Mechanics'!$B$17,0)-IF(E$1&gt;0,'Underlying Mechanics'!$B$12*'Underlying Mechanics'!$B$18,0)</x:f>
        <x:v>-22500</x:v>
      </x:c>
      <x:c r="F166" t="n">
        <x:f>((IF(F$1-'Underlying Mechanics'!$B$8&lt;0,0,'Underlying Mechanics'!$B$22*'Underlying Mechanics'!$B$15*INDEX('Underlying Mechanics'!$B$31:$B$51,F$1-'Underlying Mechanics'!$B$8+1)*'Underlying Mechanics'!$B$5))*(1-$A166))-IF(F$1=0,'Underlying Mechanics'!$B$23*(1-$B166),0)-IF(F$1&gt;0,'Underlying Mechanics'!$B$22*'Underlying Mechanics'!$B$17,0)-IF(F$1&gt;0,'Underlying Mechanics'!$B$12*'Underlying Mechanics'!$B$18,0)</x:f>
        <x:v>-21780</x:v>
      </x:c>
      <x:c r="G166" t="n">
        <x:f>((IF(G$1-'Underlying Mechanics'!$B$8&lt;0,0,'Underlying Mechanics'!$B$22*'Underlying Mechanics'!$B$15*INDEX('Underlying Mechanics'!$B$31:$B$51,G$1-'Underlying Mechanics'!$B$8+1)*'Underlying Mechanics'!$B$5))*(1-$A166))-IF(G$1=0,'Underlying Mechanics'!$B$23*(1-$B166),0)-IF(G$1&gt;0,'Underlying Mechanics'!$B$22*'Underlying Mechanics'!$B$17,0)-IF(G$1&gt;0,'Underlying Mechanics'!$B$12*'Underlying Mechanics'!$B$18,0)</x:f>
        <x:v>-20700</x:v>
      </x:c>
      <x:c r="H166" t="n">
        <x:f>((IF(H$1-'Underlying Mechanics'!$B$8&lt;0,0,'Underlying Mechanics'!$B$22*'Underlying Mechanics'!$B$15*INDEX('Underlying Mechanics'!$B$31:$B$51,H$1-'Underlying Mechanics'!$B$8+1)*'Underlying Mechanics'!$B$5))*(1-$A166))-IF(H$1=0,'Underlying Mechanics'!$B$23*(1-$B166),0)-IF(H$1&gt;0,'Underlying Mechanics'!$B$22*'Underlying Mechanics'!$B$17,0)-IF(H$1&gt;0,'Underlying Mechanics'!$B$12*'Underlying Mechanics'!$B$18,0)</x:f>
        <x:v>-18900</x:v>
      </x:c>
      <x:c r="I166" t="n">
        <x:f>((IF(I$1-'Underlying Mechanics'!$B$8&lt;0,0,'Underlying Mechanics'!$B$22*'Underlying Mechanics'!$B$15*INDEX('Underlying Mechanics'!$B$31:$B$51,I$1-'Underlying Mechanics'!$B$8+1)*'Underlying Mechanics'!$B$5))*(1-$A166))-IF(I$1=0,'Underlying Mechanics'!$B$23*(1-$B166),0)-IF(I$1&gt;0,'Underlying Mechanics'!$B$22*'Underlying Mechanics'!$B$17,0)-IF(I$1&gt;0,'Underlying Mechanics'!$B$12*'Underlying Mechanics'!$B$18,0)</x:f>
        <x:v>-16020</x:v>
      </x:c>
      <x:c r="J166" t="n">
        <x:f>((IF(J$1-'Underlying Mechanics'!$B$8&lt;0,0,'Underlying Mechanics'!$B$22*'Underlying Mechanics'!$B$15*INDEX('Underlying Mechanics'!$B$31:$B$51,J$1-'Underlying Mechanics'!$B$8+1)*'Underlying Mechanics'!$B$5))*(1-$A166))-IF(J$1=0,'Underlying Mechanics'!$B$23*(1-$B166),0)-IF(J$1&gt;0,'Underlying Mechanics'!$B$22*'Underlying Mechanics'!$B$17,0)-IF(J$1&gt;0,'Underlying Mechanics'!$B$12*'Underlying Mechanics'!$B$18,0)</x:f>
        <x:v>-12419.999999999996</x:v>
      </x:c>
      <x:c r="K166" t="n">
        <x:f>((IF(K$1-'Underlying Mechanics'!$B$8&lt;0,0,'Underlying Mechanics'!$B$22*'Underlying Mechanics'!$B$15*INDEX('Underlying Mechanics'!$B$31:$B$51,K$1-'Underlying Mechanics'!$B$8+1)*'Underlying Mechanics'!$B$5))*(1-$A166))-IF(K$1=0,'Underlying Mechanics'!$B$23*(1-$B166),0)-IF(K$1&gt;0,'Underlying Mechanics'!$B$22*'Underlying Mechanics'!$B$17,0)-IF(K$1&gt;0,'Underlying Mechanics'!$B$12*'Underlying Mechanics'!$B$18,0)</x:f>
        <x:v>-8099.999999999998</x:v>
      </x:c>
      <x:c r="L166" t="n">
        <x:f>((IF(L$1-'Underlying Mechanics'!$B$8&lt;0,0,'Underlying Mechanics'!$B$22*'Underlying Mechanics'!$B$15*INDEX('Underlying Mechanics'!$B$31:$B$51,L$1-'Underlying Mechanics'!$B$8+1)*'Underlying Mechanics'!$B$5))*(1-$A166))-IF(L$1=0,'Underlying Mechanics'!$B$23*(1-$B166),0)-IF(L$1&gt;0,'Underlying Mechanics'!$B$22*'Underlying Mechanics'!$B$17,0)-IF(L$1&gt;0,'Underlying Mechanics'!$B$12*'Underlying Mechanics'!$B$18,0)</x:f>
        <x:v>-3059.9999999999964</x:v>
      </x:c>
      <x:c r="M166" t="n">
        <x:f>((IF(M$1-'Underlying Mechanics'!$B$8&lt;0,0,'Underlying Mechanics'!$B$22*'Underlying Mechanics'!$B$15*INDEX('Underlying Mechanics'!$B$31:$B$51,M$1-'Underlying Mechanics'!$B$8+1)*'Underlying Mechanics'!$B$5))*(1-$A166))-IF(M$1=0,'Underlying Mechanics'!$B$23*(1-$B166),0)-IF(M$1&gt;0,'Underlying Mechanics'!$B$22*'Underlying Mechanics'!$B$17,0)-IF(M$1&gt;0,'Underlying Mechanics'!$B$12*'Underlying Mechanics'!$B$18,0)</x:f>
        <x:v>1980.0000000000073</x:v>
      </x:c>
      <x:c r="N166" t="n">
        <x:f>((IF(N$1-'Underlying Mechanics'!$B$8&lt;0,0,'Underlying Mechanics'!$B$22*'Underlying Mechanics'!$B$15*INDEX('Underlying Mechanics'!$B$31:$B$51,N$1-'Underlying Mechanics'!$B$8+1)*'Underlying Mechanics'!$B$5))*(1-$A166))-IF(N$1=0,'Underlying Mechanics'!$B$23*(1-$B166),0)-IF(N$1&gt;0,'Underlying Mechanics'!$B$22*'Underlying Mechanics'!$B$17,0)-IF(N$1&gt;0,'Underlying Mechanics'!$B$12*'Underlying Mechanics'!$B$18,0)</x:f>
        <x:v>6300.000000000004</x:v>
      </x:c>
      <x:c r="O166" t="n">
        <x:f>((IF(O$1-'Underlying Mechanics'!$B$8&lt;0,0,'Underlying Mechanics'!$B$22*'Underlying Mechanics'!$B$15*INDEX('Underlying Mechanics'!$B$31:$B$51,O$1-'Underlying Mechanics'!$B$8+1)*'Underlying Mechanics'!$B$5))*(1-$A166))-IF(O$1=0,'Underlying Mechanics'!$B$23*(1-$B166),0)-IF(O$1&gt;0,'Underlying Mechanics'!$B$22*'Underlying Mechanics'!$B$17,0)-IF(O$1&gt;0,'Underlying Mechanics'!$B$12*'Underlying Mechanics'!$B$18,0)</x:f>
        <x:v>9900.000000000004</x:v>
      </x:c>
      <x:c r="P166" t="n">
        <x:f>((IF(P$1-'Underlying Mechanics'!$B$8&lt;0,0,'Underlying Mechanics'!$B$22*'Underlying Mechanics'!$B$15*INDEX('Underlying Mechanics'!$B$31:$B$51,P$1-'Underlying Mechanics'!$B$8+1)*'Underlying Mechanics'!$B$5))*(1-$A166))-IF(P$1=0,'Underlying Mechanics'!$B$23*(1-$B166),0)-IF(P$1&gt;0,'Underlying Mechanics'!$B$22*'Underlying Mechanics'!$B$17,0)-IF(P$1&gt;0,'Underlying Mechanics'!$B$12*'Underlying Mechanics'!$B$18,0)</x:f>
        <x:v>13500.000000000007</x:v>
      </x:c>
      <x:c r="Q166" t="n">
        <x:f>((IF(Q$1-'Underlying Mechanics'!$B$8&lt;0,0,'Underlying Mechanics'!$B$22*'Underlying Mechanics'!$B$15*INDEX('Underlying Mechanics'!$B$31:$B$51,Q$1-'Underlying Mechanics'!$B$8+1)*'Underlying Mechanics'!$B$5))*(1-$A166))-IF(Q$1=0,'Underlying Mechanics'!$B$23*(1-$B166),0)-IF(Q$1&gt;0,'Underlying Mechanics'!$B$22*'Underlying Mechanics'!$B$17,0)-IF(Q$1&gt;0,'Underlying Mechanics'!$B$12*'Underlying Mechanics'!$B$18,0)</x:f>
        <x:v>13500.000000000007</x:v>
      </x:c>
      <x:c r="R166" t="n">
        <x:f>((IF(R$1-'Underlying Mechanics'!$B$8&lt;0,0,'Underlying Mechanics'!$B$22*'Underlying Mechanics'!$B$15*INDEX('Underlying Mechanics'!$B$31:$B$51,R$1-'Underlying Mechanics'!$B$8+1)*'Underlying Mechanics'!$B$5))*(1-$A166))-IF(R$1=0,'Underlying Mechanics'!$B$23*(1-$B166),0)-IF(R$1&gt;0,'Underlying Mechanics'!$B$22*'Underlying Mechanics'!$B$17,0)-IF(R$1&gt;0,'Underlying Mechanics'!$B$12*'Underlying Mechanics'!$B$18,0)</x:f>
        <x:v>13500.000000000007</x:v>
      </x:c>
      <x:c r="S166" t="n">
        <x:f>((IF(S$1-'Underlying Mechanics'!$B$8&lt;0,0,'Underlying Mechanics'!$B$22*'Underlying Mechanics'!$B$15*INDEX('Underlying Mechanics'!$B$31:$B$51,S$1-'Underlying Mechanics'!$B$8+1)*'Underlying Mechanics'!$B$5))*(1-$A166))-IF(S$1=0,'Underlying Mechanics'!$B$23*(1-$B166),0)-IF(S$1&gt;0,'Underlying Mechanics'!$B$22*'Underlying Mechanics'!$B$17,0)-IF(S$1&gt;0,'Underlying Mechanics'!$B$12*'Underlying Mechanics'!$B$18,0)</x:f>
        <x:v>13500.000000000007</x:v>
      </x:c>
      <x:c r="T166" t="n">
        <x:f>((IF(T$1-'Underlying Mechanics'!$B$8&lt;0,0,'Underlying Mechanics'!$B$22*'Underlying Mechanics'!$B$15*INDEX('Underlying Mechanics'!$B$31:$B$51,T$1-'Underlying Mechanics'!$B$8+1)*'Underlying Mechanics'!$B$5))*(1-$A166))-IF(T$1=0,'Underlying Mechanics'!$B$23*(1-$B166),0)-IF(T$1&gt;0,'Underlying Mechanics'!$B$22*'Underlying Mechanics'!$B$17,0)-IF(T$1&gt;0,'Underlying Mechanics'!$B$12*'Underlying Mechanics'!$B$18,0)</x:f>
        <x:v>13500.000000000007</x:v>
      </x:c>
      <x:c r="U166" t="n">
        <x:f>((IF(U$1-'Underlying Mechanics'!$B$8&lt;0,0,'Underlying Mechanics'!$B$22*'Underlying Mechanics'!$B$15*INDEX('Underlying Mechanics'!$B$31:$B$51,U$1-'Underlying Mechanics'!$B$8+1)*'Underlying Mechanics'!$B$5))*(1-$A166))-IF(U$1=0,'Underlying Mechanics'!$B$23*(1-$B166),0)-IF(U$1&gt;0,'Underlying Mechanics'!$B$22*'Underlying Mechanics'!$B$17,0)-IF(U$1&gt;0,'Underlying Mechanics'!$B$12*'Underlying Mechanics'!$B$18,0)</x:f>
        <x:v>13500.000000000007</x:v>
      </x:c>
      <x:c r="V166" t="n">
        <x:f>((IF(V$1-'Underlying Mechanics'!$B$8&lt;0,0,'Underlying Mechanics'!$B$22*'Underlying Mechanics'!$B$15*INDEX('Underlying Mechanics'!$B$31:$B$51,V$1-'Underlying Mechanics'!$B$8+1)*'Underlying Mechanics'!$B$5))*(1-$A166))-IF(V$1=0,'Underlying Mechanics'!$B$23*(1-$B166),0)-IF(V$1&gt;0,'Underlying Mechanics'!$B$22*'Underlying Mechanics'!$B$17,0)-IF(V$1&gt;0,'Underlying Mechanics'!$B$12*'Underlying Mechanics'!$B$18,0)</x:f>
        <x:v>13500.000000000007</x:v>
      </x:c>
      <x:c r="W166" t="n">
        <x:f>((IF(W$1-'Underlying Mechanics'!$B$8&lt;0,0,'Underlying Mechanics'!$B$22*'Underlying Mechanics'!$B$15*INDEX('Underlying Mechanics'!$B$31:$B$51,W$1-'Underlying Mechanics'!$B$8+1)*'Underlying Mechanics'!$B$5))*(1-$A166))-IF(W$1=0,'Underlying Mechanics'!$B$23*(1-$B166),0)-IF(W$1&gt;0,'Underlying Mechanics'!$B$22*'Underlying Mechanics'!$B$17,0)-IF(W$1&gt;0,'Underlying Mechanics'!$B$12*'Underlying Mechanics'!$B$18,0)</x:f>
        <x:v>13500.000000000007</x:v>
      </x:c>
      <x:c r="X166" t="n">
        <x:f>IFERROR(IRR(C166:W166),-1)</x:f>
        <x:v>-0.023205952782345766</x:v>
      </x:c>
    </x:row>
    <x:row r="167">
      <x:c r="A167" t="n">
        <x:v>0.7</x:v>
      </x:c>
      <x:c r="B167" t="n">
        <x:v>0.9</x:v>
      </x:c>
      <x:c r="C167" t="n">
        <x:f>((IF(C$1-'Underlying Mechanics'!$B$8&lt;0,0,'Underlying Mechanics'!$B$22*'Underlying Mechanics'!$B$15*INDEX('Underlying Mechanics'!$B$31:$B$51,C$1-'Underlying Mechanics'!$B$8+1)*'Underlying Mechanics'!$B$5))*(1-$A167))-IF(C$1=0,'Underlying Mechanics'!$B$23*(1-$B167),0)-IF(C$1&gt;0,'Underlying Mechanics'!$B$22*'Underlying Mechanics'!$B$17,0)-IF(C$1&gt;0,'Underlying Mechanics'!$B$12*'Underlying Mechanics'!$B$18,0)</x:f>
        <x:v>-14999.999999999996</x:v>
      </x:c>
      <x:c r="D167" t="n">
        <x:f>((IF(D$1-'Underlying Mechanics'!$B$8&lt;0,0,'Underlying Mechanics'!$B$22*'Underlying Mechanics'!$B$15*INDEX('Underlying Mechanics'!$B$31:$B$51,D$1-'Underlying Mechanics'!$B$8+1)*'Underlying Mechanics'!$B$5))*(1-$A167))-IF(D$1=0,'Underlying Mechanics'!$B$23*(1-$B167),0)-IF(D$1&gt;0,'Underlying Mechanics'!$B$22*'Underlying Mechanics'!$B$17,0)-IF(D$1&gt;0,'Underlying Mechanics'!$B$12*'Underlying Mechanics'!$B$18,0)</x:f>
        <x:v>-22500</x:v>
      </x:c>
      <x:c r="E167" t="n">
        <x:f>((IF(E$1-'Underlying Mechanics'!$B$8&lt;0,0,'Underlying Mechanics'!$B$22*'Underlying Mechanics'!$B$15*INDEX('Underlying Mechanics'!$B$31:$B$51,E$1-'Underlying Mechanics'!$B$8+1)*'Underlying Mechanics'!$B$5))*(1-$A167))-IF(E$1=0,'Underlying Mechanics'!$B$23*(1-$B167),0)-IF(E$1&gt;0,'Underlying Mechanics'!$B$22*'Underlying Mechanics'!$B$17,0)-IF(E$1&gt;0,'Underlying Mechanics'!$B$12*'Underlying Mechanics'!$B$18,0)</x:f>
        <x:v>-22500</x:v>
      </x:c>
      <x:c r="F167" t="n">
        <x:f>((IF(F$1-'Underlying Mechanics'!$B$8&lt;0,0,'Underlying Mechanics'!$B$22*'Underlying Mechanics'!$B$15*INDEX('Underlying Mechanics'!$B$31:$B$51,F$1-'Underlying Mechanics'!$B$8+1)*'Underlying Mechanics'!$B$5))*(1-$A167))-IF(F$1=0,'Underlying Mechanics'!$B$23*(1-$B167),0)-IF(F$1&gt;0,'Underlying Mechanics'!$B$22*'Underlying Mechanics'!$B$17,0)-IF(F$1&gt;0,'Underlying Mechanics'!$B$12*'Underlying Mechanics'!$B$18,0)</x:f>
        <x:v>-21780</x:v>
      </x:c>
      <x:c r="G167" t="n">
        <x:f>((IF(G$1-'Underlying Mechanics'!$B$8&lt;0,0,'Underlying Mechanics'!$B$22*'Underlying Mechanics'!$B$15*INDEX('Underlying Mechanics'!$B$31:$B$51,G$1-'Underlying Mechanics'!$B$8+1)*'Underlying Mechanics'!$B$5))*(1-$A167))-IF(G$1=0,'Underlying Mechanics'!$B$23*(1-$B167),0)-IF(G$1&gt;0,'Underlying Mechanics'!$B$22*'Underlying Mechanics'!$B$17,0)-IF(G$1&gt;0,'Underlying Mechanics'!$B$12*'Underlying Mechanics'!$B$18,0)</x:f>
        <x:v>-20700</x:v>
      </x:c>
      <x:c r="H167" t="n">
        <x:f>((IF(H$1-'Underlying Mechanics'!$B$8&lt;0,0,'Underlying Mechanics'!$B$22*'Underlying Mechanics'!$B$15*INDEX('Underlying Mechanics'!$B$31:$B$51,H$1-'Underlying Mechanics'!$B$8+1)*'Underlying Mechanics'!$B$5))*(1-$A167))-IF(H$1=0,'Underlying Mechanics'!$B$23*(1-$B167),0)-IF(H$1&gt;0,'Underlying Mechanics'!$B$22*'Underlying Mechanics'!$B$17,0)-IF(H$1&gt;0,'Underlying Mechanics'!$B$12*'Underlying Mechanics'!$B$18,0)</x:f>
        <x:v>-18900</x:v>
      </x:c>
      <x:c r="I167" t="n">
        <x:f>((IF(I$1-'Underlying Mechanics'!$B$8&lt;0,0,'Underlying Mechanics'!$B$22*'Underlying Mechanics'!$B$15*INDEX('Underlying Mechanics'!$B$31:$B$51,I$1-'Underlying Mechanics'!$B$8+1)*'Underlying Mechanics'!$B$5))*(1-$A167))-IF(I$1=0,'Underlying Mechanics'!$B$23*(1-$B167),0)-IF(I$1&gt;0,'Underlying Mechanics'!$B$22*'Underlying Mechanics'!$B$17,0)-IF(I$1&gt;0,'Underlying Mechanics'!$B$12*'Underlying Mechanics'!$B$18,0)</x:f>
        <x:v>-16020</x:v>
      </x:c>
      <x:c r="J167" t="n">
        <x:f>((IF(J$1-'Underlying Mechanics'!$B$8&lt;0,0,'Underlying Mechanics'!$B$22*'Underlying Mechanics'!$B$15*INDEX('Underlying Mechanics'!$B$31:$B$51,J$1-'Underlying Mechanics'!$B$8+1)*'Underlying Mechanics'!$B$5))*(1-$A167))-IF(J$1=0,'Underlying Mechanics'!$B$23*(1-$B167),0)-IF(J$1&gt;0,'Underlying Mechanics'!$B$22*'Underlying Mechanics'!$B$17,0)-IF(J$1&gt;0,'Underlying Mechanics'!$B$12*'Underlying Mechanics'!$B$18,0)</x:f>
        <x:v>-12419.999999999996</x:v>
      </x:c>
      <x:c r="K167" t="n">
        <x:f>((IF(K$1-'Underlying Mechanics'!$B$8&lt;0,0,'Underlying Mechanics'!$B$22*'Underlying Mechanics'!$B$15*INDEX('Underlying Mechanics'!$B$31:$B$51,K$1-'Underlying Mechanics'!$B$8+1)*'Underlying Mechanics'!$B$5))*(1-$A167))-IF(K$1=0,'Underlying Mechanics'!$B$23*(1-$B167),0)-IF(K$1&gt;0,'Underlying Mechanics'!$B$22*'Underlying Mechanics'!$B$17,0)-IF(K$1&gt;0,'Underlying Mechanics'!$B$12*'Underlying Mechanics'!$B$18,0)</x:f>
        <x:v>-8099.999999999998</x:v>
      </x:c>
      <x:c r="L167" t="n">
        <x:f>((IF(L$1-'Underlying Mechanics'!$B$8&lt;0,0,'Underlying Mechanics'!$B$22*'Underlying Mechanics'!$B$15*INDEX('Underlying Mechanics'!$B$31:$B$51,L$1-'Underlying Mechanics'!$B$8+1)*'Underlying Mechanics'!$B$5))*(1-$A167))-IF(L$1=0,'Underlying Mechanics'!$B$23*(1-$B167),0)-IF(L$1&gt;0,'Underlying Mechanics'!$B$22*'Underlying Mechanics'!$B$17,0)-IF(L$1&gt;0,'Underlying Mechanics'!$B$12*'Underlying Mechanics'!$B$18,0)</x:f>
        <x:v>-3059.9999999999964</x:v>
      </x:c>
      <x:c r="M167" t="n">
        <x:f>((IF(M$1-'Underlying Mechanics'!$B$8&lt;0,0,'Underlying Mechanics'!$B$22*'Underlying Mechanics'!$B$15*INDEX('Underlying Mechanics'!$B$31:$B$51,M$1-'Underlying Mechanics'!$B$8+1)*'Underlying Mechanics'!$B$5))*(1-$A167))-IF(M$1=0,'Underlying Mechanics'!$B$23*(1-$B167),0)-IF(M$1&gt;0,'Underlying Mechanics'!$B$22*'Underlying Mechanics'!$B$17,0)-IF(M$1&gt;0,'Underlying Mechanics'!$B$12*'Underlying Mechanics'!$B$18,0)</x:f>
        <x:v>1980.0000000000073</x:v>
      </x:c>
      <x:c r="N167" t="n">
        <x:f>((IF(N$1-'Underlying Mechanics'!$B$8&lt;0,0,'Underlying Mechanics'!$B$22*'Underlying Mechanics'!$B$15*INDEX('Underlying Mechanics'!$B$31:$B$51,N$1-'Underlying Mechanics'!$B$8+1)*'Underlying Mechanics'!$B$5))*(1-$A167))-IF(N$1=0,'Underlying Mechanics'!$B$23*(1-$B167),0)-IF(N$1&gt;0,'Underlying Mechanics'!$B$22*'Underlying Mechanics'!$B$17,0)-IF(N$1&gt;0,'Underlying Mechanics'!$B$12*'Underlying Mechanics'!$B$18,0)</x:f>
        <x:v>6300.000000000004</x:v>
      </x:c>
      <x:c r="O167" t="n">
        <x:f>((IF(O$1-'Underlying Mechanics'!$B$8&lt;0,0,'Underlying Mechanics'!$B$22*'Underlying Mechanics'!$B$15*INDEX('Underlying Mechanics'!$B$31:$B$51,O$1-'Underlying Mechanics'!$B$8+1)*'Underlying Mechanics'!$B$5))*(1-$A167))-IF(O$1=0,'Underlying Mechanics'!$B$23*(1-$B167),0)-IF(O$1&gt;0,'Underlying Mechanics'!$B$22*'Underlying Mechanics'!$B$17,0)-IF(O$1&gt;0,'Underlying Mechanics'!$B$12*'Underlying Mechanics'!$B$18,0)</x:f>
        <x:v>9900.000000000004</x:v>
      </x:c>
      <x:c r="P167" t="n">
        <x:f>((IF(P$1-'Underlying Mechanics'!$B$8&lt;0,0,'Underlying Mechanics'!$B$22*'Underlying Mechanics'!$B$15*INDEX('Underlying Mechanics'!$B$31:$B$51,P$1-'Underlying Mechanics'!$B$8+1)*'Underlying Mechanics'!$B$5))*(1-$A167))-IF(P$1=0,'Underlying Mechanics'!$B$23*(1-$B167),0)-IF(P$1&gt;0,'Underlying Mechanics'!$B$22*'Underlying Mechanics'!$B$17,0)-IF(P$1&gt;0,'Underlying Mechanics'!$B$12*'Underlying Mechanics'!$B$18,0)</x:f>
        <x:v>13500.000000000007</x:v>
      </x:c>
      <x:c r="Q167" t="n">
        <x:f>((IF(Q$1-'Underlying Mechanics'!$B$8&lt;0,0,'Underlying Mechanics'!$B$22*'Underlying Mechanics'!$B$15*INDEX('Underlying Mechanics'!$B$31:$B$51,Q$1-'Underlying Mechanics'!$B$8+1)*'Underlying Mechanics'!$B$5))*(1-$A167))-IF(Q$1=0,'Underlying Mechanics'!$B$23*(1-$B167),0)-IF(Q$1&gt;0,'Underlying Mechanics'!$B$22*'Underlying Mechanics'!$B$17,0)-IF(Q$1&gt;0,'Underlying Mechanics'!$B$12*'Underlying Mechanics'!$B$18,0)</x:f>
        <x:v>13500.000000000007</x:v>
      </x:c>
      <x:c r="R167" t="n">
        <x:f>((IF(R$1-'Underlying Mechanics'!$B$8&lt;0,0,'Underlying Mechanics'!$B$22*'Underlying Mechanics'!$B$15*INDEX('Underlying Mechanics'!$B$31:$B$51,R$1-'Underlying Mechanics'!$B$8+1)*'Underlying Mechanics'!$B$5))*(1-$A167))-IF(R$1=0,'Underlying Mechanics'!$B$23*(1-$B167),0)-IF(R$1&gt;0,'Underlying Mechanics'!$B$22*'Underlying Mechanics'!$B$17,0)-IF(R$1&gt;0,'Underlying Mechanics'!$B$12*'Underlying Mechanics'!$B$18,0)</x:f>
        <x:v>13500.000000000007</x:v>
      </x:c>
      <x:c r="S167" t="n">
        <x:f>((IF(S$1-'Underlying Mechanics'!$B$8&lt;0,0,'Underlying Mechanics'!$B$22*'Underlying Mechanics'!$B$15*INDEX('Underlying Mechanics'!$B$31:$B$51,S$1-'Underlying Mechanics'!$B$8+1)*'Underlying Mechanics'!$B$5))*(1-$A167))-IF(S$1=0,'Underlying Mechanics'!$B$23*(1-$B167),0)-IF(S$1&gt;0,'Underlying Mechanics'!$B$22*'Underlying Mechanics'!$B$17,0)-IF(S$1&gt;0,'Underlying Mechanics'!$B$12*'Underlying Mechanics'!$B$18,0)</x:f>
        <x:v>13500.000000000007</x:v>
      </x:c>
      <x:c r="T167" t="n">
        <x:f>((IF(T$1-'Underlying Mechanics'!$B$8&lt;0,0,'Underlying Mechanics'!$B$22*'Underlying Mechanics'!$B$15*INDEX('Underlying Mechanics'!$B$31:$B$51,T$1-'Underlying Mechanics'!$B$8+1)*'Underlying Mechanics'!$B$5))*(1-$A167))-IF(T$1=0,'Underlying Mechanics'!$B$23*(1-$B167),0)-IF(T$1&gt;0,'Underlying Mechanics'!$B$22*'Underlying Mechanics'!$B$17,0)-IF(T$1&gt;0,'Underlying Mechanics'!$B$12*'Underlying Mechanics'!$B$18,0)</x:f>
        <x:v>13500.000000000007</x:v>
      </x:c>
      <x:c r="U167" t="n">
        <x:f>((IF(U$1-'Underlying Mechanics'!$B$8&lt;0,0,'Underlying Mechanics'!$B$22*'Underlying Mechanics'!$B$15*INDEX('Underlying Mechanics'!$B$31:$B$51,U$1-'Underlying Mechanics'!$B$8+1)*'Underlying Mechanics'!$B$5))*(1-$A167))-IF(U$1=0,'Underlying Mechanics'!$B$23*(1-$B167),0)-IF(U$1&gt;0,'Underlying Mechanics'!$B$22*'Underlying Mechanics'!$B$17,0)-IF(U$1&gt;0,'Underlying Mechanics'!$B$12*'Underlying Mechanics'!$B$18,0)</x:f>
        <x:v>13500.000000000007</x:v>
      </x:c>
      <x:c r="V167" t="n">
        <x:f>((IF(V$1-'Underlying Mechanics'!$B$8&lt;0,0,'Underlying Mechanics'!$B$22*'Underlying Mechanics'!$B$15*INDEX('Underlying Mechanics'!$B$31:$B$51,V$1-'Underlying Mechanics'!$B$8+1)*'Underlying Mechanics'!$B$5))*(1-$A167))-IF(V$1=0,'Underlying Mechanics'!$B$23*(1-$B167),0)-IF(V$1&gt;0,'Underlying Mechanics'!$B$22*'Underlying Mechanics'!$B$17,0)-IF(V$1&gt;0,'Underlying Mechanics'!$B$12*'Underlying Mechanics'!$B$18,0)</x:f>
        <x:v>13500.000000000007</x:v>
      </x:c>
      <x:c r="W167" t="n">
        <x:f>((IF(W$1-'Underlying Mechanics'!$B$8&lt;0,0,'Underlying Mechanics'!$B$22*'Underlying Mechanics'!$B$15*INDEX('Underlying Mechanics'!$B$31:$B$51,W$1-'Underlying Mechanics'!$B$8+1)*'Underlying Mechanics'!$B$5))*(1-$A167))-IF(W$1=0,'Underlying Mechanics'!$B$23*(1-$B167),0)-IF(W$1&gt;0,'Underlying Mechanics'!$B$22*'Underlying Mechanics'!$B$17,0)-IF(W$1&gt;0,'Underlying Mechanics'!$B$12*'Underlying Mechanics'!$B$18,0)</x:f>
        <x:v>13500.000000000007</x:v>
      </x:c>
      <x:c r="X167" t="n">
        <x:f>IFERROR(IRR(C167:W167),-1)</x:f>
        <x:v>-0.019844458346965424</x:v>
      </x:c>
    </x:row>
    <x:row r="168">
      <x:c r="A168" t="n">
        <x:v>0.7</x:v>
      </x:c>
      <x:c r="B168" t="n">
        <x:v>0.95</x:v>
      </x:c>
      <x:c r="C168" t="n">
        <x:f>((IF(C$1-'Underlying Mechanics'!$B$8&lt;0,0,'Underlying Mechanics'!$B$22*'Underlying Mechanics'!$B$15*INDEX('Underlying Mechanics'!$B$31:$B$51,C$1-'Underlying Mechanics'!$B$8+1)*'Underlying Mechanics'!$B$5))*(1-$A168))-IF(C$1=0,'Underlying Mechanics'!$B$23*(1-$B168),0)-IF(C$1&gt;0,'Underlying Mechanics'!$B$22*'Underlying Mechanics'!$B$17,0)-IF(C$1&gt;0,'Underlying Mechanics'!$B$12*'Underlying Mechanics'!$B$18,0)</x:f>
        <x:v>-7500.000000000006</x:v>
      </x:c>
      <x:c r="D168" t="n">
        <x:f>((IF(D$1-'Underlying Mechanics'!$B$8&lt;0,0,'Underlying Mechanics'!$B$22*'Underlying Mechanics'!$B$15*INDEX('Underlying Mechanics'!$B$31:$B$51,D$1-'Underlying Mechanics'!$B$8+1)*'Underlying Mechanics'!$B$5))*(1-$A168))-IF(D$1=0,'Underlying Mechanics'!$B$23*(1-$B168),0)-IF(D$1&gt;0,'Underlying Mechanics'!$B$22*'Underlying Mechanics'!$B$17,0)-IF(D$1&gt;0,'Underlying Mechanics'!$B$12*'Underlying Mechanics'!$B$18,0)</x:f>
        <x:v>-22500</x:v>
      </x:c>
      <x:c r="E168" t="n">
        <x:f>((IF(E$1-'Underlying Mechanics'!$B$8&lt;0,0,'Underlying Mechanics'!$B$22*'Underlying Mechanics'!$B$15*INDEX('Underlying Mechanics'!$B$31:$B$51,E$1-'Underlying Mechanics'!$B$8+1)*'Underlying Mechanics'!$B$5))*(1-$A168))-IF(E$1=0,'Underlying Mechanics'!$B$23*(1-$B168),0)-IF(E$1&gt;0,'Underlying Mechanics'!$B$22*'Underlying Mechanics'!$B$17,0)-IF(E$1&gt;0,'Underlying Mechanics'!$B$12*'Underlying Mechanics'!$B$18,0)</x:f>
        <x:v>-22500</x:v>
      </x:c>
      <x:c r="F168" t="n">
        <x:f>((IF(F$1-'Underlying Mechanics'!$B$8&lt;0,0,'Underlying Mechanics'!$B$22*'Underlying Mechanics'!$B$15*INDEX('Underlying Mechanics'!$B$31:$B$51,F$1-'Underlying Mechanics'!$B$8+1)*'Underlying Mechanics'!$B$5))*(1-$A168))-IF(F$1=0,'Underlying Mechanics'!$B$23*(1-$B168),0)-IF(F$1&gt;0,'Underlying Mechanics'!$B$22*'Underlying Mechanics'!$B$17,0)-IF(F$1&gt;0,'Underlying Mechanics'!$B$12*'Underlying Mechanics'!$B$18,0)</x:f>
        <x:v>-21780</x:v>
      </x:c>
      <x:c r="G168" t="n">
        <x:f>((IF(G$1-'Underlying Mechanics'!$B$8&lt;0,0,'Underlying Mechanics'!$B$22*'Underlying Mechanics'!$B$15*INDEX('Underlying Mechanics'!$B$31:$B$51,G$1-'Underlying Mechanics'!$B$8+1)*'Underlying Mechanics'!$B$5))*(1-$A168))-IF(G$1=0,'Underlying Mechanics'!$B$23*(1-$B168),0)-IF(G$1&gt;0,'Underlying Mechanics'!$B$22*'Underlying Mechanics'!$B$17,0)-IF(G$1&gt;0,'Underlying Mechanics'!$B$12*'Underlying Mechanics'!$B$18,0)</x:f>
        <x:v>-20700</x:v>
      </x:c>
      <x:c r="H168" t="n">
        <x:f>((IF(H$1-'Underlying Mechanics'!$B$8&lt;0,0,'Underlying Mechanics'!$B$22*'Underlying Mechanics'!$B$15*INDEX('Underlying Mechanics'!$B$31:$B$51,H$1-'Underlying Mechanics'!$B$8+1)*'Underlying Mechanics'!$B$5))*(1-$A168))-IF(H$1=0,'Underlying Mechanics'!$B$23*(1-$B168),0)-IF(H$1&gt;0,'Underlying Mechanics'!$B$22*'Underlying Mechanics'!$B$17,0)-IF(H$1&gt;0,'Underlying Mechanics'!$B$12*'Underlying Mechanics'!$B$18,0)</x:f>
        <x:v>-18900</x:v>
      </x:c>
      <x:c r="I168" t="n">
        <x:f>((IF(I$1-'Underlying Mechanics'!$B$8&lt;0,0,'Underlying Mechanics'!$B$22*'Underlying Mechanics'!$B$15*INDEX('Underlying Mechanics'!$B$31:$B$51,I$1-'Underlying Mechanics'!$B$8+1)*'Underlying Mechanics'!$B$5))*(1-$A168))-IF(I$1=0,'Underlying Mechanics'!$B$23*(1-$B168),0)-IF(I$1&gt;0,'Underlying Mechanics'!$B$22*'Underlying Mechanics'!$B$17,0)-IF(I$1&gt;0,'Underlying Mechanics'!$B$12*'Underlying Mechanics'!$B$18,0)</x:f>
        <x:v>-16020</x:v>
      </x:c>
      <x:c r="J168" t="n">
        <x:f>((IF(J$1-'Underlying Mechanics'!$B$8&lt;0,0,'Underlying Mechanics'!$B$22*'Underlying Mechanics'!$B$15*INDEX('Underlying Mechanics'!$B$31:$B$51,J$1-'Underlying Mechanics'!$B$8+1)*'Underlying Mechanics'!$B$5))*(1-$A168))-IF(J$1=0,'Underlying Mechanics'!$B$23*(1-$B168),0)-IF(J$1&gt;0,'Underlying Mechanics'!$B$22*'Underlying Mechanics'!$B$17,0)-IF(J$1&gt;0,'Underlying Mechanics'!$B$12*'Underlying Mechanics'!$B$18,0)</x:f>
        <x:v>-12419.999999999996</x:v>
      </x:c>
      <x:c r="K168" t="n">
        <x:f>((IF(K$1-'Underlying Mechanics'!$B$8&lt;0,0,'Underlying Mechanics'!$B$22*'Underlying Mechanics'!$B$15*INDEX('Underlying Mechanics'!$B$31:$B$51,K$1-'Underlying Mechanics'!$B$8+1)*'Underlying Mechanics'!$B$5))*(1-$A168))-IF(K$1=0,'Underlying Mechanics'!$B$23*(1-$B168),0)-IF(K$1&gt;0,'Underlying Mechanics'!$B$22*'Underlying Mechanics'!$B$17,0)-IF(K$1&gt;0,'Underlying Mechanics'!$B$12*'Underlying Mechanics'!$B$18,0)</x:f>
        <x:v>-8099.999999999998</x:v>
      </x:c>
      <x:c r="L168" t="n">
        <x:f>((IF(L$1-'Underlying Mechanics'!$B$8&lt;0,0,'Underlying Mechanics'!$B$22*'Underlying Mechanics'!$B$15*INDEX('Underlying Mechanics'!$B$31:$B$51,L$1-'Underlying Mechanics'!$B$8+1)*'Underlying Mechanics'!$B$5))*(1-$A168))-IF(L$1=0,'Underlying Mechanics'!$B$23*(1-$B168),0)-IF(L$1&gt;0,'Underlying Mechanics'!$B$22*'Underlying Mechanics'!$B$17,0)-IF(L$1&gt;0,'Underlying Mechanics'!$B$12*'Underlying Mechanics'!$B$18,0)</x:f>
        <x:v>-3059.9999999999964</x:v>
      </x:c>
      <x:c r="M168" t="n">
        <x:f>((IF(M$1-'Underlying Mechanics'!$B$8&lt;0,0,'Underlying Mechanics'!$B$22*'Underlying Mechanics'!$B$15*INDEX('Underlying Mechanics'!$B$31:$B$51,M$1-'Underlying Mechanics'!$B$8+1)*'Underlying Mechanics'!$B$5))*(1-$A168))-IF(M$1=0,'Underlying Mechanics'!$B$23*(1-$B168),0)-IF(M$1&gt;0,'Underlying Mechanics'!$B$22*'Underlying Mechanics'!$B$17,0)-IF(M$1&gt;0,'Underlying Mechanics'!$B$12*'Underlying Mechanics'!$B$18,0)</x:f>
        <x:v>1980.0000000000073</x:v>
      </x:c>
      <x:c r="N168" t="n">
        <x:f>((IF(N$1-'Underlying Mechanics'!$B$8&lt;0,0,'Underlying Mechanics'!$B$22*'Underlying Mechanics'!$B$15*INDEX('Underlying Mechanics'!$B$31:$B$51,N$1-'Underlying Mechanics'!$B$8+1)*'Underlying Mechanics'!$B$5))*(1-$A168))-IF(N$1=0,'Underlying Mechanics'!$B$23*(1-$B168),0)-IF(N$1&gt;0,'Underlying Mechanics'!$B$22*'Underlying Mechanics'!$B$17,0)-IF(N$1&gt;0,'Underlying Mechanics'!$B$12*'Underlying Mechanics'!$B$18,0)</x:f>
        <x:v>6300.000000000004</x:v>
      </x:c>
      <x:c r="O168" t="n">
        <x:f>((IF(O$1-'Underlying Mechanics'!$B$8&lt;0,0,'Underlying Mechanics'!$B$22*'Underlying Mechanics'!$B$15*INDEX('Underlying Mechanics'!$B$31:$B$51,O$1-'Underlying Mechanics'!$B$8+1)*'Underlying Mechanics'!$B$5))*(1-$A168))-IF(O$1=0,'Underlying Mechanics'!$B$23*(1-$B168),0)-IF(O$1&gt;0,'Underlying Mechanics'!$B$22*'Underlying Mechanics'!$B$17,0)-IF(O$1&gt;0,'Underlying Mechanics'!$B$12*'Underlying Mechanics'!$B$18,0)</x:f>
        <x:v>9900.000000000004</x:v>
      </x:c>
      <x:c r="P168" t="n">
        <x:f>((IF(P$1-'Underlying Mechanics'!$B$8&lt;0,0,'Underlying Mechanics'!$B$22*'Underlying Mechanics'!$B$15*INDEX('Underlying Mechanics'!$B$31:$B$51,P$1-'Underlying Mechanics'!$B$8+1)*'Underlying Mechanics'!$B$5))*(1-$A168))-IF(P$1=0,'Underlying Mechanics'!$B$23*(1-$B168),0)-IF(P$1&gt;0,'Underlying Mechanics'!$B$22*'Underlying Mechanics'!$B$17,0)-IF(P$1&gt;0,'Underlying Mechanics'!$B$12*'Underlying Mechanics'!$B$18,0)</x:f>
        <x:v>13500.000000000007</x:v>
      </x:c>
      <x:c r="Q168" t="n">
        <x:f>((IF(Q$1-'Underlying Mechanics'!$B$8&lt;0,0,'Underlying Mechanics'!$B$22*'Underlying Mechanics'!$B$15*INDEX('Underlying Mechanics'!$B$31:$B$51,Q$1-'Underlying Mechanics'!$B$8+1)*'Underlying Mechanics'!$B$5))*(1-$A168))-IF(Q$1=0,'Underlying Mechanics'!$B$23*(1-$B168),0)-IF(Q$1&gt;0,'Underlying Mechanics'!$B$22*'Underlying Mechanics'!$B$17,0)-IF(Q$1&gt;0,'Underlying Mechanics'!$B$12*'Underlying Mechanics'!$B$18,0)</x:f>
        <x:v>13500.000000000007</x:v>
      </x:c>
      <x:c r="R168" t="n">
        <x:f>((IF(R$1-'Underlying Mechanics'!$B$8&lt;0,0,'Underlying Mechanics'!$B$22*'Underlying Mechanics'!$B$15*INDEX('Underlying Mechanics'!$B$31:$B$51,R$1-'Underlying Mechanics'!$B$8+1)*'Underlying Mechanics'!$B$5))*(1-$A168))-IF(R$1=0,'Underlying Mechanics'!$B$23*(1-$B168),0)-IF(R$1&gt;0,'Underlying Mechanics'!$B$22*'Underlying Mechanics'!$B$17,0)-IF(R$1&gt;0,'Underlying Mechanics'!$B$12*'Underlying Mechanics'!$B$18,0)</x:f>
        <x:v>13500.000000000007</x:v>
      </x:c>
      <x:c r="S168" t="n">
        <x:f>((IF(S$1-'Underlying Mechanics'!$B$8&lt;0,0,'Underlying Mechanics'!$B$22*'Underlying Mechanics'!$B$15*INDEX('Underlying Mechanics'!$B$31:$B$51,S$1-'Underlying Mechanics'!$B$8+1)*'Underlying Mechanics'!$B$5))*(1-$A168))-IF(S$1=0,'Underlying Mechanics'!$B$23*(1-$B168),0)-IF(S$1&gt;0,'Underlying Mechanics'!$B$22*'Underlying Mechanics'!$B$17,0)-IF(S$1&gt;0,'Underlying Mechanics'!$B$12*'Underlying Mechanics'!$B$18,0)</x:f>
        <x:v>13500.000000000007</x:v>
      </x:c>
      <x:c r="T168" t="n">
        <x:f>((IF(T$1-'Underlying Mechanics'!$B$8&lt;0,0,'Underlying Mechanics'!$B$22*'Underlying Mechanics'!$B$15*INDEX('Underlying Mechanics'!$B$31:$B$51,T$1-'Underlying Mechanics'!$B$8+1)*'Underlying Mechanics'!$B$5))*(1-$A168))-IF(T$1=0,'Underlying Mechanics'!$B$23*(1-$B168),0)-IF(T$1&gt;0,'Underlying Mechanics'!$B$22*'Underlying Mechanics'!$B$17,0)-IF(T$1&gt;0,'Underlying Mechanics'!$B$12*'Underlying Mechanics'!$B$18,0)</x:f>
        <x:v>13500.000000000007</x:v>
      </x:c>
      <x:c r="U168" t="n">
        <x:f>((IF(U$1-'Underlying Mechanics'!$B$8&lt;0,0,'Underlying Mechanics'!$B$22*'Underlying Mechanics'!$B$15*INDEX('Underlying Mechanics'!$B$31:$B$51,U$1-'Underlying Mechanics'!$B$8+1)*'Underlying Mechanics'!$B$5))*(1-$A168))-IF(U$1=0,'Underlying Mechanics'!$B$23*(1-$B168),0)-IF(U$1&gt;0,'Underlying Mechanics'!$B$22*'Underlying Mechanics'!$B$17,0)-IF(U$1&gt;0,'Underlying Mechanics'!$B$12*'Underlying Mechanics'!$B$18,0)</x:f>
        <x:v>13500.000000000007</x:v>
      </x:c>
      <x:c r="V168" t="n">
        <x:f>((IF(V$1-'Underlying Mechanics'!$B$8&lt;0,0,'Underlying Mechanics'!$B$22*'Underlying Mechanics'!$B$15*INDEX('Underlying Mechanics'!$B$31:$B$51,V$1-'Underlying Mechanics'!$B$8+1)*'Underlying Mechanics'!$B$5))*(1-$A168))-IF(V$1=0,'Underlying Mechanics'!$B$23*(1-$B168),0)-IF(V$1&gt;0,'Underlying Mechanics'!$B$22*'Underlying Mechanics'!$B$17,0)-IF(V$1&gt;0,'Underlying Mechanics'!$B$12*'Underlying Mechanics'!$B$18,0)</x:f>
        <x:v>13500.000000000007</x:v>
      </x:c>
      <x:c r="W168" t="n">
        <x:f>((IF(W$1-'Underlying Mechanics'!$B$8&lt;0,0,'Underlying Mechanics'!$B$22*'Underlying Mechanics'!$B$15*INDEX('Underlying Mechanics'!$B$31:$B$51,W$1-'Underlying Mechanics'!$B$8+1)*'Underlying Mechanics'!$B$5))*(1-$A168))-IF(W$1=0,'Underlying Mechanics'!$B$23*(1-$B168),0)-IF(W$1&gt;0,'Underlying Mechanics'!$B$22*'Underlying Mechanics'!$B$17,0)-IF(W$1&gt;0,'Underlying Mechanics'!$B$12*'Underlying Mechanics'!$B$18,0)</x:f>
        <x:v>13500.000000000007</x:v>
      </x:c>
      <x:c r="X168" t="n">
        <x:f>IFERROR(IRR(C168:W168),-1)</x:f>
        <x:v>-0.016224253471932418</x:v>
      </x:c>
    </x:row>
    <x:row r="169">
      <x:c r="A169" t="n">
        <x:v>0.7</x:v>
      </x:c>
      <x:c r="B169" t="n">
        <x:v>1</x:v>
      </x:c>
      <x:c r="C169" t="n">
        <x:f>((IF(C$1-'Underlying Mechanics'!$B$8&lt;0,0,'Underlying Mechanics'!$B$22*'Underlying Mechanics'!$B$15*INDEX('Underlying Mechanics'!$B$31:$B$51,C$1-'Underlying Mechanics'!$B$8+1)*'Underlying Mechanics'!$B$5))*(1-$A169))-IF(C$1=0,'Underlying Mechanics'!$B$23*(1-$B169),0)-IF(C$1&gt;0,'Underlying Mechanics'!$B$22*'Underlying Mechanics'!$B$17,0)-IF(C$1&gt;0,'Underlying Mechanics'!$B$12*'Underlying Mechanics'!$B$18,0)</x:f>
        <x:v>0</x:v>
      </x:c>
      <x:c r="D169" t="n">
        <x:f>((IF(D$1-'Underlying Mechanics'!$B$8&lt;0,0,'Underlying Mechanics'!$B$22*'Underlying Mechanics'!$B$15*INDEX('Underlying Mechanics'!$B$31:$B$51,D$1-'Underlying Mechanics'!$B$8+1)*'Underlying Mechanics'!$B$5))*(1-$A169))-IF(D$1=0,'Underlying Mechanics'!$B$23*(1-$B169),0)-IF(D$1&gt;0,'Underlying Mechanics'!$B$22*'Underlying Mechanics'!$B$17,0)-IF(D$1&gt;0,'Underlying Mechanics'!$B$12*'Underlying Mechanics'!$B$18,0)</x:f>
        <x:v>-22500</x:v>
      </x:c>
      <x:c r="E169" t="n">
        <x:f>((IF(E$1-'Underlying Mechanics'!$B$8&lt;0,0,'Underlying Mechanics'!$B$22*'Underlying Mechanics'!$B$15*INDEX('Underlying Mechanics'!$B$31:$B$51,E$1-'Underlying Mechanics'!$B$8+1)*'Underlying Mechanics'!$B$5))*(1-$A169))-IF(E$1=0,'Underlying Mechanics'!$B$23*(1-$B169),0)-IF(E$1&gt;0,'Underlying Mechanics'!$B$22*'Underlying Mechanics'!$B$17,0)-IF(E$1&gt;0,'Underlying Mechanics'!$B$12*'Underlying Mechanics'!$B$18,0)</x:f>
        <x:v>-22500</x:v>
      </x:c>
      <x:c r="F169" t="n">
        <x:f>((IF(F$1-'Underlying Mechanics'!$B$8&lt;0,0,'Underlying Mechanics'!$B$22*'Underlying Mechanics'!$B$15*INDEX('Underlying Mechanics'!$B$31:$B$51,F$1-'Underlying Mechanics'!$B$8+1)*'Underlying Mechanics'!$B$5))*(1-$A169))-IF(F$1=0,'Underlying Mechanics'!$B$23*(1-$B169),0)-IF(F$1&gt;0,'Underlying Mechanics'!$B$22*'Underlying Mechanics'!$B$17,0)-IF(F$1&gt;0,'Underlying Mechanics'!$B$12*'Underlying Mechanics'!$B$18,0)</x:f>
        <x:v>-21780</x:v>
      </x:c>
      <x:c r="G169" t="n">
        <x:f>((IF(G$1-'Underlying Mechanics'!$B$8&lt;0,0,'Underlying Mechanics'!$B$22*'Underlying Mechanics'!$B$15*INDEX('Underlying Mechanics'!$B$31:$B$51,G$1-'Underlying Mechanics'!$B$8+1)*'Underlying Mechanics'!$B$5))*(1-$A169))-IF(G$1=0,'Underlying Mechanics'!$B$23*(1-$B169),0)-IF(G$1&gt;0,'Underlying Mechanics'!$B$22*'Underlying Mechanics'!$B$17,0)-IF(G$1&gt;0,'Underlying Mechanics'!$B$12*'Underlying Mechanics'!$B$18,0)</x:f>
        <x:v>-20700</x:v>
      </x:c>
      <x:c r="H169" t="n">
        <x:f>((IF(H$1-'Underlying Mechanics'!$B$8&lt;0,0,'Underlying Mechanics'!$B$22*'Underlying Mechanics'!$B$15*INDEX('Underlying Mechanics'!$B$31:$B$51,H$1-'Underlying Mechanics'!$B$8+1)*'Underlying Mechanics'!$B$5))*(1-$A169))-IF(H$1=0,'Underlying Mechanics'!$B$23*(1-$B169),0)-IF(H$1&gt;0,'Underlying Mechanics'!$B$22*'Underlying Mechanics'!$B$17,0)-IF(H$1&gt;0,'Underlying Mechanics'!$B$12*'Underlying Mechanics'!$B$18,0)</x:f>
        <x:v>-18900</x:v>
      </x:c>
      <x:c r="I169" t="n">
        <x:f>((IF(I$1-'Underlying Mechanics'!$B$8&lt;0,0,'Underlying Mechanics'!$B$22*'Underlying Mechanics'!$B$15*INDEX('Underlying Mechanics'!$B$31:$B$51,I$1-'Underlying Mechanics'!$B$8+1)*'Underlying Mechanics'!$B$5))*(1-$A169))-IF(I$1=0,'Underlying Mechanics'!$B$23*(1-$B169),0)-IF(I$1&gt;0,'Underlying Mechanics'!$B$22*'Underlying Mechanics'!$B$17,0)-IF(I$1&gt;0,'Underlying Mechanics'!$B$12*'Underlying Mechanics'!$B$18,0)</x:f>
        <x:v>-16020</x:v>
      </x:c>
      <x:c r="J169" t="n">
        <x:f>((IF(J$1-'Underlying Mechanics'!$B$8&lt;0,0,'Underlying Mechanics'!$B$22*'Underlying Mechanics'!$B$15*INDEX('Underlying Mechanics'!$B$31:$B$51,J$1-'Underlying Mechanics'!$B$8+1)*'Underlying Mechanics'!$B$5))*(1-$A169))-IF(J$1=0,'Underlying Mechanics'!$B$23*(1-$B169),0)-IF(J$1&gt;0,'Underlying Mechanics'!$B$22*'Underlying Mechanics'!$B$17,0)-IF(J$1&gt;0,'Underlying Mechanics'!$B$12*'Underlying Mechanics'!$B$18,0)</x:f>
        <x:v>-12419.999999999996</x:v>
      </x:c>
      <x:c r="K169" t="n">
        <x:f>((IF(K$1-'Underlying Mechanics'!$B$8&lt;0,0,'Underlying Mechanics'!$B$22*'Underlying Mechanics'!$B$15*INDEX('Underlying Mechanics'!$B$31:$B$51,K$1-'Underlying Mechanics'!$B$8+1)*'Underlying Mechanics'!$B$5))*(1-$A169))-IF(K$1=0,'Underlying Mechanics'!$B$23*(1-$B169),0)-IF(K$1&gt;0,'Underlying Mechanics'!$B$22*'Underlying Mechanics'!$B$17,0)-IF(K$1&gt;0,'Underlying Mechanics'!$B$12*'Underlying Mechanics'!$B$18,0)</x:f>
        <x:v>-8099.999999999998</x:v>
      </x:c>
      <x:c r="L169" t="n">
        <x:f>((IF(L$1-'Underlying Mechanics'!$B$8&lt;0,0,'Underlying Mechanics'!$B$22*'Underlying Mechanics'!$B$15*INDEX('Underlying Mechanics'!$B$31:$B$51,L$1-'Underlying Mechanics'!$B$8+1)*'Underlying Mechanics'!$B$5))*(1-$A169))-IF(L$1=0,'Underlying Mechanics'!$B$23*(1-$B169),0)-IF(L$1&gt;0,'Underlying Mechanics'!$B$22*'Underlying Mechanics'!$B$17,0)-IF(L$1&gt;0,'Underlying Mechanics'!$B$12*'Underlying Mechanics'!$B$18,0)</x:f>
        <x:v>-3059.9999999999964</x:v>
      </x:c>
      <x:c r="M169" t="n">
        <x:f>((IF(M$1-'Underlying Mechanics'!$B$8&lt;0,0,'Underlying Mechanics'!$B$22*'Underlying Mechanics'!$B$15*INDEX('Underlying Mechanics'!$B$31:$B$51,M$1-'Underlying Mechanics'!$B$8+1)*'Underlying Mechanics'!$B$5))*(1-$A169))-IF(M$1=0,'Underlying Mechanics'!$B$23*(1-$B169),0)-IF(M$1&gt;0,'Underlying Mechanics'!$B$22*'Underlying Mechanics'!$B$17,0)-IF(M$1&gt;0,'Underlying Mechanics'!$B$12*'Underlying Mechanics'!$B$18,0)</x:f>
        <x:v>1980.0000000000073</x:v>
      </x:c>
      <x:c r="N169" t="n">
        <x:f>((IF(N$1-'Underlying Mechanics'!$B$8&lt;0,0,'Underlying Mechanics'!$B$22*'Underlying Mechanics'!$B$15*INDEX('Underlying Mechanics'!$B$31:$B$51,N$1-'Underlying Mechanics'!$B$8+1)*'Underlying Mechanics'!$B$5))*(1-$A169))-IF(N$1=0,'Underlying Mechanics'!$B$23*(1-$B169),0)-IF(N$1&gt;0,'Underlying Mechanics'!$B$22*'Underlying Mechanics'!$B$17,0)-IF(N$1&gt;0,'Underlying Mechanics'!$B$12*'Underlying Mechanics'!$B$18,0)</x:f>
        <x:v>6300.000000000004</x:v>
      </x:c>
      <x:c r="O169" t="n">
        <x:f>((IF(O$1-'Underlying Mechanics'!$B$8&lt;0,0,'Underlying Mechanics'!$B$22*'Underlying Mechanics'!$B$15*INDEX('Underlying Mechanics'!$B$31:$B$51,O$1-'Underlying Mechanics'!$B$8+1)*'Underlying Mechanics'!$B$5))*(1-$A169))-IF(O$1=0,'Underlying Mechanics'!$B$23*(1-$B169),0)-IF(O$1&gt;0,'Underlying Mechanics'!$B$22*'Underlying Mechanics'!$B$17,0)-IF(O$1&gt;0,'Underlying Mechanics'!$B$12*'Underlying Mechanics'!$B$18,0)</x:f>
        <x:v>9900.000000000004</x:v>
      </x:c>
      <x:c r="P169" t="n">
        <x:f>((IF(P$1-'Underlying Mechanics'!$B$8&lt;0,0,'Underlying Mechanics'!$B$22*'Underlying Mechanics'!$B$15*INDEX('Underlying Mechanics'!$B$31:$B$51,P$1-'Underlying Mechanics'!$B$8+1)*'Underlying Mechanics'!$B$5))*(1-$A169))-IF(P$1=0,'Underlying Mechanics'!$B$23*(1-$B169),0)-IF(P$1&gt;0,'Underlying Mechanics'!$B$22*'Underlying Mechanics'!$B$17,0)-IF(P$1&gt;0,'Underlying Mechanics'!$B$12*'Underlying Mechanics'!$B$18,0)</x:f>
        <x:v>13500.000000000007</x:v>
      </x:c>
      <x:c r="Q169" t="n">
        <x:f>((IF(Q$1-'Underlying Mechanics'!$B$8&lt;0,0,'Underlying Mechanics'!$B$22*'Underlying Mechanics'!$B$15*INDEX('Underlying Mechanics'!$B$31:$B$51,Q$1-'Underlying Mechanics'!$B$8+1)*'Underlying Mechanics'!$B$5))*(1-$A169))-IF(Q$1=0,'Underlying Mechanics'!$B$23*(1-$B169),0)-IF(Q$1&gt;0,'Underlying Mechanics'!$B$22*'Underlying Mechanics'!$B$17,0)-IF(Q$1&gt;0,'Underlying Mechanics'!$B$12*'Underlying Mechanics'!$B$18,0)</x:f>
        <x:v>13500.000000000007</x:v>
      </x:c>
      <x:c r="R169" t="n">
        <x:f>((IF(R$1-'Underlying Mechanics'!$B$8&lt;0,0,'Underlying Mechanics'!$B$22*'Underlying Mechanics'!$B$15*INDEX('Underlying Mechanics'!$B$31:$B$51,R$1-'Underlying Mechanics'!$B$8+1)*'Underlying Mechanics'!$B$5))*(1-$A169))-IF(R$1=0,'Underlying Mechanics'!$B$23*(1-$B169),0)-IF(R$1&gt;0,'Underlying Mechanics'!$B$22*'Underlying Mechanics'!$B$17,0)-IF(R$1&gt;0,'Underlying Mechanics'!$B$12*'Underlying Mechanics'!$B$18,0)</x:f>
        <x:v>13500.000000000007</x:v>
      </x:c>
      <x:c r="S169" t="n">
        <x:f>((IF(S$1-'Underlying Mechanics'!$B$8&lt;0,0,'Underlying Mechanics'!$B$22*'Underlying Mechanics'!$B$15*INDEX('Underlying Mechanics'!$B$31:$B$51,S$1-'Underlying Mechanics'!$B$8+1)*'Underlying Mechanics'!$B$5))*(1-$A169))-IF(S$1=0,'Underlying Mechanics'!$B$23*(1-$B169),0)-IF(S$1&gt;0,'Underlying Mechanics'!$B$22*'Underlying Mechanics'!$B$17,0)-IF(S$1&gt;0,'Underlying Mechanics'!$B$12*'Underlying Mechanics'!$B$18,0)</x:f>
        <x:v>13500.000000000007</x:v>
      </x:c>
      <x:c r="T169" t="n">
        <x:f>((IF(T$1-'Underlying Mechanics'!$B$8&lt;0,0,'Underlying Mechanics'!$B$22*'Underlying Mechanics'!$B$15*INDEX('Underlying Mechanics'!$B$31:$B$51,T$1-'Underlying Mechanics'!$B$8+1)*'Underlying Mechanics'!$B$5))*(1-$A169))-IF(T$1=0,'Underlying Mechanics'!$B$23*(1-$B169),0)-IF(T$1&gt;0,'Underlying Mechanics'!$B$22*'Underlying Mechanics'!$B$17,0)-IF(T$1&gt;0,'Underlying Mechanics'!$B$12*'Underlying Mechanics'!$B$18,0)</x:f>
        <x:v>13500.000000000007</x:v>
      </x:c>
      <x:c r="U169" t="n">
        <x:f>((IF(U$1-'Underlying Mechanics'!$B$8&lt;0,0,'Underlying Mechanics'!$B$22*'Underlying Mechanics'!$B$15*INDEX('Underlying Mechanics'!$B$31:$B$51,U$1-'Underlying Mechanics'!$B$8+1)*'Underlying Mechanics'!$B$5))*(1-$A169))-IF(U$1=0,'Underlying Mechanics'!$B$23*(1-$B169),0)-IF(U$1&gt;0,'Underlying Mechanics'!$B$22*'Underlying Mechanics'!$B$17,0)-IF(U$1&gt;0,'Underlying Mechanics'!$B$12*'Underlying Mechanics'!$B$18,0)</x:f>
        <x:v>13500.000000000007</x:v>
      </x:c>
      <x:c r="V169" t="n">
        <x:f>((IF(V$1-'Underlying Mechanics'!$B$8&lt;0,0,'Underlying Mechanics'!$B$22*'Underlying Mechanics'!$B$15*INDEX('Underlying Mechanics'!$B$31:$B$51,V$1-'Underlying Mechanics'!$B$8+1)*'Underlying Mechanics'!$B$5))*(1-$A169))-IF(V$1=0,'Underlying Mechanics'!$B$23*(1-$B169),0)-IF(V$1&gt;0,'Underlying Mechanics'!$B$22*'Underlying Mechanics'!$B$17,0)-IF(V$1&gt;0,'Underlying Mechanics'!$B$12*'Underlying Mechanics'!$B$18,0)</x:f>
        <x:v>13500.000000000007</x:v>
      </x:c>
      <x:c r="W169" t="n">
        <x:f>((IF(W$1-'Underlying Mechanics'!$B$8&lt;0,0,'Underlying Mechanics'!$B$22*'Underlying Mechanics'!$B$15*INDEX('Underlying Mechanics'!$B$31:$B$51,W$1-'Underlying Mechanics'!$B$8+1)*'Underlying Mechanics'!$B$5))*(1-$A169))-IF(W$1=0,'Underlying Mechanics'!$B$23*(1-$B169),0)-IF(W$1&gt;0,'Underlying Mechanics'!$B$22*'Underlying Mechanics'!$B$17,0)-IF(W$1&gt;0,'Underlying Mechanics'!$B$12*'Underlying Mechanics'!$B$18,0)</x:f>
        <x:v>13500.000000000007</x:v>
      </x:c>
      <x:c r="X169" t="n">
        <x:f>IFERROR(IRR(C169:W169),-1)</x:f>
        <x:v>-0.01230087383818049</x:v>
      </x:c>
    </x:row>
  </x:sheetData>
  <x:pageMargins left="0.7" right="0.7" top="0.75" bottom="0.75" header="0.3" footer="0.3"/>
</x:worksheet>
</file>