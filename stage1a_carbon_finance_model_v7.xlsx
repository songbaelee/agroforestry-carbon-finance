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4bef05f7a44f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ge 1A Dashboard" sheetId="1" r:id="Rbb111775dd6b4c12"/>
    <x:sheet xmlns:r="http://schemas.openxmlformats.org/officeDocument/2006/relationships" name="Calculations" sheetId="2" r:id="Rfe1bc62ea82f4dee"/>
    <x:sheet xmlns:r="http://schemas.openxmlformats.org/officeDocument/2006/relationships" name="Sensitivity Analysis" sheetId="3" r:id="Re6a7f066a9374239"/>
    <x:sheet xmlns:r="http://schemas.openxmlformats.org/officeDocument/2006/relationships" name="Notes" sheetId="4" r:id="R3ca8aef4190e47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;-$#,##0"/>
    <x:numFmt numFmtId="201" formatCode="0%"/>
    <x:numFmt numFmtId="202" formatCode="$#,##0;[Red]($#,##0);-"/>
  </x:numFmts>
  <x:fonts count="9">
    <x:font>
      <x:sz val="11"/>
      <x:name val="Carlito"/>
    </x:font>
    <x:font>
      <x:b/>
      <x:sz val="16"/>
      <x:name val="Carlito"/>
    </x:font>
    <x:font>
      <x:b/>
      <x:sz val="11"/>
      <x:name val="Carlito"/>
    </x:font>
    <x:font>
      <x:i/>
      <x:sz val="11"/>
      <x:name val="Carlito"/>
    </x:font>
    <x:font>
      <x:b/>
      <x:sz val="14"/>
      <x:name val="Carlito"/>
    </x:font>
    <x:font>
      <x:b/>
      <x:sz val="11"/>
      <x:name val="Calibri"/>
    </x:font>
    <x:font>
      <x:sz val="11"/>
      <x:name val="Calibri"/>
    </x:font>
    <x:font>
      <x:i/>
      <x:sz val="11"/>
      <x:name val="Calibri"/>
    </x:font>
    <x:font>
      <x:i/>
      <x:sz val="11"/>
      <x:color rgb="64748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DCE6F1"/>
      </x:patternFill>
    </x:fill>
    <x:fill>
      <x:patternFill patternType="solid">
        <x:fgColor rgb="FFF2CC"/>
      </x:patternFill>
    </x:fill>
    <x:fill>
      <x:patternFill patternType="solid">
        <x:fgColor rgb="E2F0D9"/>
      </x:patternFill>
    </x:fill>
    <x:fill>
      <x:patternFill patternType="solid">
        <x:fgColor rgb="DCE6F1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right"/>
    </x:xf>
    <x:xf numFmtId="0" fontId="8" fillId="0" borderId="0" xfId="0" applyNumberFormat="1" applyFont="1" applyFill="1" applyBorder="1"/>
  </x:cellXfs>
  <x:cellStyles count="1">
    <x:cellStyle name="Normal" xfId="0"/>
  </x:cellStyles>
  <x:dxfs count="4">
    <x:dxf>
      <x:font>
        <x:b/>
        <x:color rgb="9C0006"/>
      </x:font>
      <x:fill>
        <x:patternFill>
          <x:bgColor rgb="FCE4D6"/>
        </x:patternFill>
      </x:fill>
    </x:dxf>
    <x:dxf>
      <x:font>
        <x:b/>
        <x:color rgb="006100"/>
      </x:font>
      <x:fill>
        <x:patternFill>
          <x:bgColor rgb="E2F0D9"/>
        </x:patternFill>
      </x:fill>
    </x:dxf>
    <x:dxf>
      <x:font>
        <x:b/>
        <x:color rgb="9C0006"/>
      </x:font>
      <x:fill>
        <x:patternFill patternType="solid">
          <x:bgColor rgb="F4CCCC"/>
        </x:patternFill>
      </x:fill>
    </x:dxf>
    <x:dxf>
      <x:font>
        <x:b/>
        <x:color rgb="006100"/>
      </x:font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5271ee4fe24d05" /><Relationship Type="http://schemas.openxmlformats.org/officeDocument/2006/relationships/theme" Target="/xl/theme/theme1.xml" Id="R38f5fc0ca0854283" /><Relationship Type="http://schemas.openxmlformats.org/officeDocument/2006/relationships/sharedStrings" Target="/xl/sharedStrings.xml" Id="R0a5f46e3ef704b12" /><Relationship Type="http://schemas.openxmlformats.org/officeDocument/2006/relationships/worksheet" Target="/xl/worksheets/sheet1.xml" Id="Rbb111775dd6b4c12" /><Relationship Type="http://schemas.openxmlformats.org/officeDocument/2006/relationships/worksheet" Target="/xl/worksheets/sheet2.xml" Id="Rfe1bc62ea82f4dee" /><Relationship Type="http://schemas.openxmlformats.org/officeDocument/2006/relationships/worksheet" Target="/xl/worksheets/sheet3.xml" Id="Re6a7f066a9374239" /><Relationship Type="http://schemas.openxmlformats.org/officeDocument/2006/relationships/worksheet" Target="/xl/worksheets/sheet4.xml" Id="R3ca8aef4190e47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b5bf67a12c54d5c" /><Relationship Type="http://schemas.openxmlformats.org/officeDocument/2006/relationships/chart" Target="/xl/drawings/charts/chart2.xml" Id="Ra3de2ae674d0449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Annual Revenue and Simple Costs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Annual revenue</c:v>
          </c:tx>
          <c:spPr>
            <a:solidFill xmlns:a="http://schemas.openxmlformats.org/drawingml/2006/main">
              <a:srgbClr val="BBF7D0"/>
            </a:solidFill>
            <a:ln xmlns:a="http://schemas.openxmlformats.org/drawingml/2006/main" w="9525">
              <a:solidFill>
                <a:srgbClr val="059669"/>
              </a:solidFill>
              <a:prstDash val="solid"/>
            </a:ln>
          </c:spPr>
          <c:cat>
            <c:strRef>
              <c:f>'Calculations'!$A$2:$A$22</c:f>
              <c:strCache>
                <c:ptCount val="0"/>
              </c:strCache>
            </c:strRef>
          </c:cat>
          <c:val>
            <c:numRef>
              <c:f>'Calculations'!$D$2:$D$22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Annual simple costs</c:v>
          </c:tx>
          <c:spPr>
            <a:solidFill xmlns:a="http://schemas.openxmlformats.org/drawingml/2006/main">
              <a:srgbClr val="FDBA74"/>
            </a:solidFill>
            <a:ln xmlns:a="http://schemas.openxmlformats.org/drawingml/2006/main" w="9525">
              <a:solidFill>
                <a:srgbClr val="EA580C"/>
              </a:solidFill>
              <a:prstDash val="solid"/>
            </a:ln>
          </c:spPr>
          <c:cat>
            <c:strRef>
              <c:f>'Calculations'!$A$2:$A$22</c:f>
              <c:strCache>
                <c:ptCount val="0"/>
              </c:strCache>
            </c:strRef>
          </c:cat>
          <c:val>
            <c:numRef>
              <c:f>'Calculations'!$H$2:$H$22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85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Cumulative Position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Cumulative position</c:v>
          </c:tx>
          <c:spPr>
            <a:noFill xmlns:a="http://schemas.openxmlformats.org/drawingml/2006/main"/>
            <a:ln xmlns:a="http://schemas.openxmlformats.org/drawingml/2006/main" w="33338">
              <a:solidFill>
                <a:srgbClr val="1D4ED8"/>
              </a:solidFill>
              <a:prstDash val="solid"/>
            </a:ln>
          </c:spPr>
          <c:cat>
            <c:strRef>
              <c:f>'Calculations'!$A$2:$A$22</c:f>
              <c:strCache>
                <c:ptCount val="0"/>
              </c:strCache>
            </c:strRef>
          </c:cat>
          <c:val>
            <c:numRef>
              <c:f>'Calculations'!$I$2:$I$22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6</xdr:col>
      <xdr:colOff>0</xdr:colOff>
      <xdr:row>2</xdr:row>
      <xdr:rowOff>0</xdr:rowOff>
    </xdr:from>
    <xdr:ext cx="7239000" cy="2476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5bf67a12c54d5c"/>
        </a:graphicData>
      </a:graphic>
    </xdr:graphicFrame>
    <xdr:clientData/>
  </xdr:oneCellAnchor>
  <xdr:oneCellAnchor>
    <xdr:from>
      <xdr:col>6</xdr:col>
      <xdr:colOff>0</xdr:colOff>
      <xdr:row>16</xdr:row>
      <xdr:rowOff>0</xdr:rowOff>
    </xdr:from>
    <xdr:ext cx="7239000" cy="2095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de2ae674d04498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ff50e160e014325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4" max="4" width="32" hidden="0" customWidth="1"/>
    <x:col min="5" max="5" width="18" hidden="0" customWidth="1"/>
  </x:cols>
  <x:sheetData>
    <x:row r="1">
      <x:c r="A1" s="26" t="str">
        <x:v>Stage 1A Agroforestry Carbon Finance Model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3">
      <x:c r="A3" s="6" t="str">
        <x:v>Adjustable variables</x:v>
      </x:c>
      <x:c r="B3" s="6" t="str">
        <x:v>Value</x:v>
      </x:c>
      <x:c r="D3" s="6" t="str">
        <x:v>Fixed assumptions</x:v>
      </x:c>
      <x:c r="E3" s="6" t="str">
        <x:v>Value</x:v>
      </x:c>
    </x:row>
    <x:row r="4">
      <x:c r="A4" t="str">
        <x:v>Carbon price ($/credit)</x:v>
      </x:c>
      <x:c r="B4" s="10" t="n">
        <x:v>15</x:v>
      </x:c>
      <x:c r="D4" t="str">
        <x:v>Farmers</x:v>
      </x:c>
      <x:c r="E4" s="12" t="n">
        <x:v>500</x:v>
      </x:c>
    </x:row>
    <x:row r="5">
      <x:c r="A5" t="str">
        <x:v>Project years</x:v>
      </x:c>
      <x:c r="B5" s="10" t="n">
        <x:v>10</x:v>
      </x:c>
      <x:c r="D5" t="str">
        <x:v>Hectares per farmer</x:v>
      </x:c>
      <x:c r="E5" s="12" t="n">
        <x:v>2</x:v>
      </x:c>
    </x:row>
    <x:row r="6">
      <x:c r="D6" t="str">
        <x:v>Trees per hectare</x:v>
      </x:c>
      <x:c r="E6" s="12" t="n">
        <x:v>100</x:v>
      </x:c>
    </x:row>
    <x:row r="7">
      <x:c r="D7" t="str">
        <x:v>Carbon per mature tree</x:v>
      </x:c>
      <x:c r="E7" s="12" t="n">
        <x:v>0.02</x:v>
      </x:c>
    </x:row>
    <x:row r="8">
      <x:c r="A8" s="6" t="str">
        <x:v>Outputs</x:v>
      </x:c>
      <x:c r="B8" s="6" t="str">
        <x:v>Value</x:v>
      </x:c>
      <x:c r="D8" t="str">
        <x:v>Planting cost per tree</x:v>
      </x:c>
      <x:c r="E8" s="12" t="n">
        <x:v>1.5</x:v>
      </x:c>
    </x:row>
    <x:row r="9">
      <x:c r="A9" t="str">
        <x:v>Total carbon revenue</x:v>
      </x:c>
      <x:c r="B9" s="38" t="n">
        <x:f>'Calculations'!J2</x:f>
        <x:v>88875</x:v>
      </x:c>
      <x:c r="D9" t="str">
        <x:v>Annual maintenance per tree</x:v>
      </x:c>
      <x:c r="E9" s="12" t="n">
        <x:v>0.18</x:v>
      </x:c>
    </x:row>
    <x:row r="10">
      <x:c r="A10" t="str">
        <x:v>Total simple costs</x:v>
      </x:c>
      <x:c r="B10" s="38" t="n">
        <x:f>'Calculations'!K2</x:f>
        <x:v>-225000</x:v>
      </x:c>
      <x:c r="D10" t="str">
        <x:v>Annual program cost per farmer</x:v>
      </x:c>
      <x:c r="E10" s="12" t="n">
        <x:v>18</x:v>
      </x:c>
    </x:row>
    <x:row r="11">
      <x:c r="A11" t="str">
        <x:v>Cumulative position</x:v>
      </x:c>
      <x:c r="B11" s="38" t="n">
        <x:f>'Calculations'!L2</x:f>
        <x:v>0</x:v>
      </x:c>
      <x:c r="D11" t="str">
        <x:v>Survival rate (%)</x:v>
      </x:c>
      <x:c r="E11" s="12" t="n">
        <x:v>75</x:v>
      </x:c>
    </x:row>
    <x:row r="14">
      <x:c r="A14" s="16" t="str">
        <x:v>Stage 1A isolates two variables while holding biological and cost assumptions constant.</x:v>
      </x:c>
    </x:row>
  </x:sheetData>
  <x:mergeCells>
    <x:mergeCell ref="A14:E14"/>
  </x:mergeCells>
  <x:pageMargins left="0.7" right="0.7" top="0.75" bottom="0.75" header="0.3" footer="0.3"/>
  <x:drawing xmlns:r="http://schemas.openxmlformats.org/officeDocument/2006/relationships" r:id="Raff50e160e014325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1.039999961853027" hidden="0" customWidth="1"/>
    <x:col min="11" max="11" width="14.399999618530273" hidden="0" customWidth="1"/>
    <x:col min="12" max="12" width="20.459999084472656" hidden="0" customWidth="1"/>
  </x:cols>
  <x:sheetData>
    <x:row r="1">
      <x:c r="A1" s="30" t="str">
        <x:v>Year</x:v>
      </x:c>
      <x:c r="B1" s="30" t="str">
        <x:v>Growth</x:v>
      </x:c>
      <x:c r="C1" s="30" t="str">
        <x:v>Credits</x:v>
      </x:c>
      <x:c r="D1" s="30" t="str">
        <x:v>Annual revenue</x:v>
      </x:c>
      <x:c r="E1" s="30" t="str">
        <x:v>Planting cost</x:v>
      </x:c>
      <x:c r="F1" s="30" t="str">
        <x:v>Maintenance cost</x:v>
      </x:c>
      <x:c r="G1" s="30" t="str">
        <x:v>Program cost</x:v>
      </x:c>
      <x:c r="H1" s="30" t="str">
        <x:v>Annual simple costs</x:v>
      </x:c>
      <x:c r="I1" s="30" t="str">
        <x:v>Cumulative position</x:v>
      </x:c>
      <x:c r="J1" s="31" t="str">
        <x:v>Total revenue</x:v>
      </x:c>
      <x:c r="K1" s="31" t="str">
        <x:v>Total simple costs</x:v>
      </x:c>
      <x:c r="L1" s="31" t="str">
        <x:v>Final cumulative position</x:v>
      </x:c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t="n">
        <x:v>0</x:v>
      </x:c>
      <x:c r="B2" s="18" t="n">
        <x:v>0</x:v>
      </x:c>
      <x:c r="C2" t="n">
        <x:f>IF(A2&lt;='Stage 1A Dashboard'!$B$5,('Stage 1A Dashboard'!$E$4*'Stage 1A Dashboard'!$E$5*'Stage 1A Dashboard'!$E$6*('Stage 1A Dashboard'!$E$11/100)*'Stage 1A Dashboard'!$E$7*B2),"")</x:f>
        <x:v>0</x:v>
      </x:c>
      <x:c r="D2" s="38" t="str">
        <x:f>IF(C2="","",C2*'Stage 1A Dashboard'!$B$4)</x:f>
      </x:c>
      <x:c r="E2" s="38" t="n">
        <x:f>'Stage 1A Dashboard'!$E$4*'Stage 1A Dashboard'!$E$5*'Stage 1A Dashboard'!$E$6*'Stage 1A Dashboard'!$E$8</x:f>
        <x:v>150000</x:v>
      </x:c>
      <x:c r="F2" s="38" t="n">
        <x:v>0</x:v>
      </x:c>
      <x:c r="G2" s="38" t="n">
        <x:v>0</x:v>
      </x:c>
      <x:c r="H2" s="38" t="str">
        <x:f>IF(C2="","",-SUM(E2:G2))</x:f>
      </x:c>
      <x:c r="I2" s="38" t="n">
        <x:f>D2+H2</x:f>
        <x:v>0</x:v>
      </x:c>
      <x:c r="J2" s="38" t="n">
        <x:f>SUM(D2:D22)</x:f>
        <x:v>88875</x:v>
      </x:c>
      <x:c r="K2" s="38" t="n">
        <x:f>SUM(H2:H22)</x:f>
        <x:v>-225000</x:v>
      </x:c>
      <x:c r="L2" s="38" t="str">
        <x:f>LOOKUP(9.9E+307,I2:I22)</x:f>
      </x:c>
    </x:row>
    <x:row r="3">
      <x:c r="A3" t="n">
        <x:v>1</x:v>
      </x:c>
      <x:c r="B3" s="18" t="n">
        <x:v>0.02</x:v>
      </x:c>
      <x:c r="C3" t="n">
        <x:f>IF(A3&lt;='Stage 1A Dashboard'!$B$5,('Stage 1A Dashboard'!$E$4*'Stage 1A Dashboard'!$E$5*'Stage 1A Dashboard'!$E$6*('Stage 1A Dashboard'!$E$11/100)*'Stage 1A Dashboard'!$E$7*B3),"")</x:f>
        <x:v>30</x:v>
      </x:c>
      <x:c r="D3" s="38" t="n">
        <x:f>IF(C3="","",C3*'Stage 1A Dashboard'!$B$4)</x:f>
        <x:v>450</x:v>
      </x:c>
      <x:c r="E3" s="38" t="n">
        <x:v>0</x:v>
      </x:c>
      <x:c r="F3" s="38" t="n">
        <x:f>IF(C3="","",'Stage 1A Dashboard'!$E$4*'Stage 1A Dashboard'!$E$5*'Stage 1A Dashboard'!$E$6*('Stage 1A Dashboard'!$E$11/100)*'Stage 1A Dashboard'!$E$9)</x:f>
        <x:v>13500</x:v>
      </x:c>
      <x:c r="G3" s="38" t="n">
        <x:f>IF(C3="","",'Stage 1A Dashboard'!$E$4*'Stage 1A Dashboard'!$E$10)</x:f>
        <x:v>9000</x:v>
      </x:c>
      <x:c r="H3" s="38" t="n">
        <x:f>IF(C3="","",-SUM(E3:G3))</x:f>
        <x:v>-22500</x:v>
      </x:c>
      <x:c r="I3" s="38" t="n">
        <x:f>IF(C3="","",I2+D3+H3)</x:f>
        <x:v>-22050</x:v>
      </x:c>
    </x:row>
    <x:row r="4">
      <x:c r="A4" t="n">
        <x:v>2</x:v>
      </x:c>
      <x:c r="B4" s="18" t="n">
        <x:v>0.05</x:v>
      </x:c>
      <x:c r="C4" t="n">
        <x:f>IF(A4&lt;='Stage 1A Dashboard'!$B$5,('Stage 1A Dashboard'!$E$4*'Stage 1A Dashboard'!$E$5*'Stage 1A Dashboard'!$E$6*('Stage 1A Dashboard'!$E$11/100)*'Stage 1A Dashboard'!$E$7*B4),"")</x:f>
        <x:v>75</x:v>
      </x:c>
      <x:c r="D4" s="38" t="n">
        <x:f>IF(C4="","",C4*'Stage 1A Dashboard'!$B$4)</x:f>
        <x:v>1125</x:v>
      </x:c>
      <x:c r="E4" s="38" t="n">
        <x:v>0</x:v>
      </x:c>
      <x:c r="F4" s="38" t="n">
        <x:f>IF(C4="","",'Stage 1A Dashboard'!$E$4*'Stage 1A Dashboard'!$E$5*'Stage 1A Dashboard'!$E$6*('Stage 1A Dashboard'!$E$11/100)*'Stage 1A Dashboard'!$E$9)</x:f>
        <x:v>13500</x:v>
      </x:c>
      <x:c r="G4" s="38" t="n">
        <x:f>IF(C4="","",'Stage 1A Dashboard'!$E$4*'Stage 1A Dashboard'!$E$10)</x:f>
        <x:v>9000</x:v>
      </x:c>
      <x:c r="H4" s="38" t="n">
        <x:f>IF(C4="","",-SUM(E4:G4))</x:f>
        <x:v>-22500</x:v>
      </x:c>
      <x:c r="I4" s="38" t="n">
        <x:f>IF(C4="","",I3+D4+H4)</x:f>
        <x:v>-43425</x:v>
      </x:c>
    </x:row>
    <x:row r="5">
      <x:c r="A5" t="n">
        <x:v>3</x:v>
      </x:c>
      <x:c r="B5" s="18" t="n">
        <x:v>0.1</x:v>
      </x:c>
      <x:c r="C5" t="n">
        <x:f>IF(A5&lt;='Stage 1A Dashboard'!$B$5,('Stage 1A Dashboard'!$E$4*'Stage 1A Dashboard'!$E$5*'Stage 1A Dashboard'!$E$6*('Stage 1A Dashboard'!$E$11/100)*'Stage 1A Dashboard'!$E$7*B5),"")</x:f>
        <x:v>150</x:v>
      </x:c>
      <x:c r="D5" s="38" t="n">
        <x:f>IF(C5="","",C5*'Stage 1A Dashboard'!$B$4)</x:f>
        <x:v>2250</x:v>
      </x:c>
      <x:c r="E5" s="38" t="n">
        <x:v>0</x:v>
      </x:c>
      <x:c r="F5" s="38" t="n">
        <x:f>IF(C5="","",'Stage 1A Dashboard'!$E$4*'Stage 1A Dashboard'!$E$5*'Stage 1A Dashboard'!$E$6*('Stage 1A Dashboard'!$E$11/100)*'Stage 1A Dashboard'!$E$9)</x:f>
        <x:v>13500</x:v>
      </x:c>
      <x:c r="G5" s="38" t="n">
        <x:f>IF(C5="","",'Stage 1A Dashboard'!$E$4*'Stage 1A Dashboard'!$E$10)</x:f>
        <x:v>9000</x:v>
      </x:c>
      <x:c r="H5" s="38" t="n">
        <x:f>IF(C5="","",-SUM(E5:G5))</x:f>
        <x:v>-22500</x:v>
      </x:c>
      <x:c r="I5" s="38" t="n">
        <x:f>IF(C5="","",I4+D5+H5)</x:f>
        <x:v>-63675</x:v>
      </x:c>
    </x:row>
    <x:row r="6">
      <x:c r="A6" t="n">
        <x:v>4</x:v>
      </x:c>
      <x:c r="B6" s="18" t="n">
        <x:v>0.18</x:v>
      </x:c>
      <x:c r="C6" t="n">
        <x:f>IF(A6&lt;='Stage 1A Dashboard'!$B$5,('Stage 1A Dashboard'!$E$4*'Stage 1A Dashboard'!$E$5*'Stage 1A Dashboard'!$E$6*('Stage 1A Dashboard'!$E$11/100)*'Stage 1A Dashboard'!$E$7*B6),"")</x:f>
        <x:v>270</x:v>
      </x:c>
      <x:c r="D6" s="38" t="n">
        <x:f>IF(C6="","",C6*'Stage 1A Dashboard'!$B$4)</x:f>
        <x:v>4050</x:v>
      </x:c>
      <x:c r="E6" s="38" t="n">
        <x:v>0</x:v>
      </x:c>
      <x:c r="F6" s="38" t="n">
        <x:f>IF(C6="","",'Stage 1A Dashboard'!$E$4*'Stage 1A Dashboard'!$E$5*'Stage 1A Dashboard'!$E$6*('Stage 1A Dashboard'!$E$11/100)*'Stage 1A Dashboard'!$E$9)</x:f>
        <x:v>13500</x:v>
      </x:c>
      <x:c r="G6" s="38" t="n">
        <x:f>IF(C6="","",'Stage 1A Dashboard'!$E$4*'Stage 1A Dashboard'!$E$10)</x:f>
        <x:v>9000</x:v>
      </x:c>
      <x:c r="H6" s="38" t="n">
        <x:f>IF(C6="","",-SUM(E6:G6))</x:f>
        <x:v>-22500</x:v>
      </x:c>
      <x:c r="I6" s="38" t="n">
        <x:f>IF(C6="","",I5+D6+H6)</x:f>
        <x:v>-82125</x:v>
      </x:c>
    </x:row>
    <x:row r="7">
      <x:c r="A7" t="n">
        <x:v>5</x:v>
      </x:c>
      <x:c r="B7" s="18" t="n">
        <x:v>0.28</x:v>
      </x:c>
      <x:c r="C7" t="n">
        <x:f>IF(A7&lt;='Stage 1A Dashboard'!$B$5,('Stage 1A Dashboard'!$E$4*'Stage 1A Dashboard'!$E$5*'Stage 1A Dashboard'!$E$6*('Stage 1A Dashboard'!$E$11/100)*'Stage 1A Dashboard'!$E$7*B7),"")</x:f>
        <x:v>420.00000000000006</x:v>
      </x:c>
      <x:c r="D7" s="38" t="n">
        <x:f>IF(C7="","",C7*'Stage 1A Dashboard'!$B$4)</x:f>
        <x:v>6300.000000000001</x:v>
      </x:c>
      <x:c r="E7" s="38" t="n">
        <x:v>0</x:v>
      </x:c>
      <x:c r="F7" s="38" t="n">
        <x:f>IF(C7="","",'Stage 1A Dashboard'!$E$4*'Stage 1A Dashboard'!$E$5*'Stage 1A Dashboard'!$E$6*('Stage 1A Dashboard'!$E$11/100)*'Stage 1A Dashboard'!$E$9)</x:f>
        <x:v>13500</x:v>
      </x:c>
      <x:c r="G7" s="38" t="n">
        <x:f>IF(C7="","",'Stage 1A Dashboard'!$E$4*'Stage 1A Dashboard'!$E$10)</x:f>
        <x:v>9000</x:v>
      </x:c>
      <x:c r="H7" s="38" t="n">
        <x:f>IF(C7="","",-SUM(E7:G7))</x:f>
        <x:v>-22500</x:v>
      </x:c>
      <x:c r="I7" s="38" t="n">
        <x:f>IF(C7="","",I6+D7+H7)</x:f>
        <x:v>-98325</x:v>
      </x:c>
    </x:row>
    <x:row r="8">
      <x:c r="A8" t="n">
        <x:v>6</x:v>
      </x:c>
      <x:c r="B8" s="18" t="n">
        <x:v>0.4</x:v>
      </x:c>
      <x:c r="C8" t="n">
        <x:f>IF(A8&lt;='Stage 1A Dashboard'!$B$5,('Stage 1A Dashboard'!$E$4*'Stage 1A Dashboard'!$E$5*'Stage 1A Dashboard'!$E$6*('Stage 1A Dashboard'!$E$11/100)*'Stage 1A Dashboard'!$E$7*B8),"")</x:f>
        <x:v>600</x:v>
      </x:c>
      <x:c r="D8" s="38" t="n">
        <x:f>IF(C8="","",C8*'Stage 1A Dashboard'!$B$4)</x:f>
        <x:v>9000</x:v>
      </x:c>
      <x:c r="E8" s="38" t="n">
        <x:v>0</x:v>
      </x:c>
      <x:c r="F8" s="38" t="n">
        <x:f>IF(C8="","",'Stage 1A Dashboard'!$E$4*'Stage 1A Dashboard'!$E$5*'Stage 1A Dashboard'!$E$6*('Stage 1A Dashboard'!$E$11/100)*'Stage 1A Dashboard'!$E$9)</x:f>
        <x:v>13500</x:v>
      </x:c>
      <x:c r="G8" s="38" t="n">
        <x:f>IF(C8="","",'Stage 1A Dashboard'!$E$4*'Stage 1A Dashboard'!$E$10)</x:f>
        <x:v>9000</x:v>
      </x:c>
      <x:c r="H8" s="38" t="n">
        <x:f>IF(C8="","",-SUM(E8:G8))</x:f>
        <x:v>-22500</x:v>
      </x:c>
      <x:c r="I8" s="38" t="n">
        <x:f>IF(C8="","",I7+D8+H8)</x:f>
        <x:v>-111825</x:v>
      </x:c>
    </x:row>
    <x:row r="9">
      <x:c r="A9" t="n">
        <x:v>7</x:v>
      </x:c>
      <x:c r="B9" s="18" t="n">
        <x:v>0.54</x:v>
      </x:c>
      <x:c r="C9" t="n">
        <x:f>IF(A9&lt;='Stage 1A Dashboard'!$B$5,('Stage 1A Dashboard'!$E$4*'Stage 1A Dashboard'!$E$5*'Stage 1A Dashboard'!$E$6*('Stage 1A Dashboard'!$E$11/100)*'Stage 1A Dashboard'!$E$7*B9),"")</x:f>
        <x:v>810</x:v>
      </x:c>
      <x:c r="D9" s="38" t="n">
        <x:f>IF(C9="","",C9*'Stage 1A Dashboard'!$B$4)</x:f>
        <x:v>12150</x:v>
      </x:c>
      <x:c r="E9" s="38" t="n">
        <x:v>0</x:v>
      </x:c>
      <x:c r="F9" s="38" t="n">
        <x:f>IF(C9="","",'Stage 1A Dashboard'!$E$4*'Stage 1A Dashboard'!$E$5*'Stage 1A Dashboard'!$E$6*('Stage 1A Dashboard'!$E$11/100)*'Stage 1A Dashboard'!$E$9)</x:f>
        <x:v>13500</x:v>
      </x:c>
      <x:c r="G9" s="38" t="n">
        <x:f>IF(C9="","",'Stage 1A Dashboard'!$E$4*'Stage 1A Dashboard'!$E$10)</x:f>
        <x:v>9000</x:v>
      </x:c>
      <x:c r="H9" s="38" t="n">
        <x:f>IF(C9="","",-SUM(E9:G9))</x:f>
        <x:v>-22500</x:v>
      </x:c>
      <x:c r="I9" s="38" t="n">
        <x:f>IF(C9="","",I8+D9+H9)</x:f>
        <x:v>-122175</x:v>
      </x:c>
    </x:row>
    <x:row r="10">
      <x:c r="A10" t="n">
        <x:v>8</x:v>
      </x:c>
      <x:c r="B10" s="18" t="n">
        <x:v>0.68</x:v>
      </x:c>
      <x:c r="C10" t="n">
        <x:f>IF(A10&lt;='Stage 1A Dashboard'!$B$5,('Stage 1A Dashboard'!$E$4*'Stage 1A Dashboard'!$E$5*'Stage 1A Dashboard'!$E$6*('Stage 1A Dashboard'!$E$11/100)*'Stage 1A Dashboard'!$E$7*B10),"")</x:f>
        <x:v>1020.0000000000001</x:v>
      </x:c>
      <x:c r="D10" s="38" t="n">
        <x:f>IF(C10="","",C10*'Stage 1A Dashboard'!$B$4)</x:f>
        <x:v>15300.000000000002</x:v>
      </x:c>
      <x:c r="E10" s="38" t="n">
        <x:v>0</x:v>
      </x:c>
      <x:c r="F10" s="38" t="n">
        <x:f>IF(C10="","",'Stage 1A Dashboard'!$E$4*'Stage 1A Dashboard'!$E$5*'Stage 1A Dashboard'!$E$6*('Stage 1A Dashboard'!$E$11/100)*'Stage 1A Dashboard'!$E$9)</x:f>
        <x:v>13500</x:v>
      </x:c>
      <x:c r="G10" s="38" t="n">
        <x:f>IF(C10="","",'Stage 1A Dashboard'!$E$4*'Stage 1A Dashboard'!$E$10)</x:f>
        <x:v>9000</x:v>
      </x:c>
      <x:c r="H10" s="38" t="n">
        <x:f>IF(C10="","",-SUM(E10:G10))</x:f>
        <x:v>-22500</x:v>
      </x:c>
      <x:c r="I10" s="38" t="n">
        <x:f>IF(C10="","",I9+D10+H10)</x:f>
        <x:v>-129375</x:v>
      </x:c>
    </x:row>
    <x:row r="11">
      <x:c r="A11" t="n">
        <x:v>9</x:v>
      </x:c>
      <x:c r="B11" s="18" t="n">
        <x:v>0.8</x:v>
      </x:c>
      <x:c r="C11" t="n">
        <x:f>IF(A11&lt;='Stage 1A Dashboard'!$B$5,('Stage 1A Dashboard'!$E$4*'Stage 1A Dashboard'!$E$5*'Stage 1A Dashboard'!$E$6*('Stage 1A Dashboard'!$E$11/100)*'Stage 1A Dashboard'!$E$7*B11),"")</x:f>
        <x:v>1200</x:v>
      </x:c>
      <x:c r="D11" s="38" t="n">
        <x:f>IF(C11="","",C11*'Stage 1A Dashboard'!$B$4)</x:f>
        <x:v>18000</x:v>
      </x:c>
      <x:c r="E11" s="38" t="n">
        <x:v>0</x:v>
      </x:c>
      <x:c r="F11" s="38" t="n">
        <x:f>IF(C11="","",'Stage 1A Dashboard'!$E$4*'Stage 1A Dashboard'!$E$5*'Stage 1A Dashboard'!$E$6*('Stage 1A Dashboard'!$E$11/100)*'Stage 1A Dashboard'!$E$9)</x:f>
        <x:v>13500</x:v>
      </x:c>
      <x:c r="G11" s="38" t="n">
        <x:f>IF(C11="","",'Stage 1A Dashboard'!$E$4*'Stage 1A Dashboard'!$E$10)</x:f>
        <x:v>9000</x:v>
      </x:c>
      <x:c r="H11" s="38" t="n">
        <x:f>IF(C11="","",-SUM(E11:G11))</x:f>
        <x:v>-22500</x:v>
      </x:c>
      <x:c r="I11" s="38" t="n">
        <x:f>IF(C11="","",I10+D11+H11)</x:f>
        <x:v>-133875</x:v>
      </x:c>
    </x:row>
    <x:row r="12">
      <x:c r="A12" t="n">
        <x:v>10</x:v>
      </x:c>
      <x:c r="B12" s="18" t="n">
        <x:v>0.9</x:v>
      </x:c>
      <x:c r="C12" t="n">
        <x:f>IF(A12&lt;='Stage 1A Dashboard'!$B$5,('Stage 1A Dashboard'!$E$4*'Stage 1A Dashboard'!$E$5*'Stage 1A Dashboard'!$E$6*('Stage 1A Dashboard'!$E$11/100)*'Stage 1A Dashboard'!$E$7*B12),"")</x:f>
        <x:v>1350</x:v>
      </x:c>
      <x:c r="D12" s="38" t="n">
        <x:f>IF(C12="","",C12*'Stage 1A Dashboard'!$B$4)</x:f>
        <x:v>20250</x:v>
      </x:c>
      <x:c r="E12" s="38" t="n">
        <x:v>0</x:v>
      </x:c>
      <x:c r="F12" s="38" t="n">
        <x:f>IF(C12="","",'Stage 1A Dashboard'!$E$4*'Stage 1A Dashboard'!$E$5*'Stage 1A Dashboard'!$E$6*('Stage 1A Dashboard'!$E$11/100)*'Stage 1A Dashboard'!$E$9)</x:f>
        <x:v>13500</x:v>
      </x:c>
      <x:c r="G12" s="38" t="n">
        <x:f>IF(C12="","",'Stage 1A Dashboard'!$E$4*'Stage 1A Dashboard'!$E$10)</x:f>
        <x:v>9000</x:v>
      </x:c>
      <x:c r="H12" s="38" t="n">
        <x:f>IF(C12="","",-SUM(E12:G12))</x:f>
        <x:v>-22500</x:v>
      </x:c>
      <x:c r="I12" s="38" t="n">
        <x:f>IF(C12="","",I11+D12+H12)</x:f>
        <x:v>-136125</x:v>
      </x:c>
    </x:row>
    <x:row r="13">
      <x:c r="A13" t="n">
        <x:v>11</x:v>
      </x:c>
      <x:c r="B13" s="18" t="n">
        <x:v>1</x:v>
      </x:c>
      <x:c r="C13" t="str">
        <x:f>IF(A13&lt;='Stage 1A Dashboard'!$B$5,('Stage 1A Dashboard'!$E$4*'Stage 1A Dashboard'!$E$5*'Stage 1A Dashboard'!$E$6*('Stage 1A Dashboard'!$E$11/100)*'Stage 1A Dashboard'!$E$7*B13),"")</x:f>
      </x:c>
      <x:c r="D13" s="38" t="str">
        <x:f>IF(C13="","",C13*'Stage 1A Dashboard'!$B$4)</x:f>
      </x:c>
      <x:c r="E13" s="38" t="n">
        <x:v>0</x:v>
      </x:c>
      <x:c r="F13" s="38" t="str">
        <x:f>IF(C13="","",'Stage 1A Dashboard'!$E$4*'Stage 1A Dashboard'!$E$5*'Stage 1A Dashboard'!$E$6*('Stage 1A Dashboard'!$E$11/100)*'Stage 1A Dashboard'!$E$9)</x:f>
      </x:c>
      <x:c r="G13" s="38" t="str">
        <x:f>IF(C13="","",'Stage 1A Dashboard'!$E$4*'Stage 1A Dashboard'!$E$10)</x:f>
      </x:c>
      <x:c r="H13" s="38" t="str">
        <x:f>IF(C13="","",-SUM(E13:G13))</x:f>
      </x:c>
      <x:c r="I13" s="38" t="str">
        <x:f>IF(C13="","",I12+D13+H13)</x:f>
      </x:c>
    </x:row>
    <x:row r="14">
      <x:c r="A14" t="n">
        <x:v>12</x:v>
      </x:c>
      <x:c r="B14" s="18" t="n">
        <x:v>1</x:v>
      </x:c>
      <x:c r="C14" t="str">
        <x:f>IF(A14&lt;='Stage 1A Dashboard'!$B$5,('Stage 1A Dashboard'!$E$4*'Stage 1A Dashboard'!$E$5*'Stage 1A Dashboard'!$E$6*('Stage 1A Dashboard'!$E$11/100)*'Stage 1A Dashboard'!$E$7*B14),"")</x:f>
      </x:c>
      <x:c r="D14" s="38" t="str">
        <x:f>IF(C14="","",C14*'Stage 1A Dashboard'!$B$4)</x:f>
      </x:c>
      <x:c r="E14" s="38" t="n">
        <x:v>0</x:v>
      </x:c>
      <x:c r="F14" s="38" t="str">
        <x:f>IF(C14="","",'Stage 1A Dashboard'!$E$4*'Stage 1A Dashboard'!$E$5*'Stage 1A Dashboard'!$E$6*('Stage 1A Dashboard'!$E$11/100)*'Stage 1A Dashboard'!$E$9)</x:f>
      </x:c>
      <x:c r="G14" s="38" t="str">
        <x:f>IF(C14="","",'Stage 1A Dashboard'!$E$4*'Stage 1A Dashboard'!$E$10)</x:f>
      </x:c>
      <x:c r="H14" s="38" t="str">
        <x:f>IF(C14="","",-SUM(E14:G14))</x:f>
      </x:c>
      <x:c r="I14" s="38" t="str">
        <x:f>IF(C14="","",I13+D14+H14)</x:f>
      </x:c>
    </x:row>
    <x:row r="15">
      <x:c r="A15" t="n">
        <x:v>13</x:v>
      </x:c>
      <x:c r="B15" s="18" t="n">
        <x:v>1</x:v>
      </x:c>
      <x:c r="C15" t="str">
        <x:f>IF(A15&lt;='Stage 1A Dashboard'!$B$5,('Stage 1A Dashboard'!$E$4*'Stage 1A Dashboard'!$E$5*'Stage 1A Dashboard'!$E$6*('Stage 1A Dashboard'!$E$11/100)*'Stage 1A Dashboard'!$E$7*B15),"")</x:f>
      </x:c>
      <x:c r="D15" s="38" t="str">
        <x:f>IF(C15="","",C15*'Stage 1A Dashboard'!$B$4)</x:f>
      </x:c>
      <x:c r="E15" s="38" t="n">
        <x:v>0</x:v>
      </x:c>
      <x:c r="F15" s="38" t="str">
        <x:f>IF(C15="","",'Stage 1A Dashboard'!$E$4*'Stage 1A Dashboard'!$E$5*'Stage 1A Dashboard'!$E$6*('Stage 1A Dashboard'!$E$11/100)*'Stage 1A Dashboard'!$E$9)</x:f>
      </x:c>
      <x:c r="G15" s="38" t="str">
        <x:f>IF(C15="","",'Stage 1A Dashboard'!$E$4*'Stage 1A Dashboard'!$E$10)</x:f>
      </x:c>
      <x:c r="H15" s="38" t="str">
        <x:f>IF(C15="","",-SUM(E15:G15))</x:f>
      </x:c>
      <x:c r="I15" s="38" t="str">
        <x:f>IF(C15="","",I14+D15+H15)</x:f>
      </x:c>
    </x:row>
    <x:row r="16">
      <x:c r="A16" t="n">
        <x:v>14</x:v>
      </x:c>
      <x:c r="B16" s="18" t="n">
        <x:v>1</x:v>
      </x:c>
      <x:c r="C16" t="str">
        <x:f>IF(A16&lt;='Stage 1A Dashboard'!$B$5,('Stage 1A Dashboard'!$E$4*'Stage 1A Dashboard'!$E$5*'Stage 1A Dashboard'!$E$6*('Stage 1A Dashboard'!$E$11/100)*'Stage 1A Dashboard'!$E$7*B16),"")</x:f>
      </x:c>
      <x:c r="D16" s="38" t="str">
        <x:f>IF(C16="","",C16*'Stage 1A Dashboard'!$B$4)</x:f>
      </x:c>
      <x:c r="E16" s="38" t="n">
        <x:v>0</x:v>
      </x:c>
      <x:c r="F16" s="38" t="str">
        <x:f>IF(C16="","",'Stage 1A Dashboard'!$E$4*'Stage 1A Dashboard'!$E$5*'Stage 1A Dashboard'!$E$6*('Stage 1A Dashboard'!$E$11/100)*'Stage 1A Dashboard'!$E$9)</x:f>
      </x:c>
      <x:c r="G16" s="38" t="str">
        <x:f>IF(C16="","",'Stage 1A Dashboard'!$E$4*'Stage 1A Dashboard'!$E$10)</x:f>
      </x:c>
      <x:c r="H16" s="38" t="str">
        <x:f>IF(C16="","",-SUM(E16:G16))</x:f>
      </x:c>
      <x:c r="I16" s="38" t="str">
        <x:f>IF(C16="","",I15+D16+H16)</x:f>
      </x:c>
    </x:row>
    <x:row r="17">
      <x:c r="A17" t="n">
        <x:v>15</x:v>
      </x:c>
      <x:c r="B17" s="18" t="n">
        <x:v>1</x:v>
      </x:c>
      <x:c r="C17" t="str">
        <x:f>IF(A17&lt;='Stage 1A Dashboard'!$B$5,('Stage 1A Dashboard'!$E$4*'Stage 1A Dashboard'!$E$5*'Stage 1A Dashboard'!$E$6*('Stage 1A Dashboard'!$E$11/100)*'Stage 1A Dashboard'!$E$7*B17),"")</x:f>
      </x:c>
      <x:c r="D17" s="38" t="str">
        <x:f>IF(C17="","",C17*'Stage 1A Dashboard'!$B$4)</x:f>
      </x:c>
      <x:c r="E17" s="38" t="n">
        <x:v>0</x:v>
      </x:c>
      <x:c r="F17" s="38" t="str">
        <x:f>IF(C17="","",'Stage 1A Dashboard'!$E$4*'Stage 1A Dashboard'!$E$5*'Stage 1A Dashboard'!$E$6*('Stage 1A Dashboard'!$E$11/100)*'Stage 1A Dashboard'!$E$9)</x:f>
      </x:c>
      <x:c r="G17" s="38" t="str">
        <x:f>IF(C17="","",'Stage 1A Dashboard'!$E$4*'Stage 1A Dashboard'!$E$10)</x:f>
      </x:c>
      <x:c r="H17" s="38" t="str">
        <x:f>IF(C17="","",-SUM(E17:G17))</x:f>
      </x:c>
      <x:c r="I17" s="38" t="str">
        <x:f>IF(C17="","",I16+D17+H17)</x:f>
      </x:c>
    </x:row>
    <x:row r="18">
      <x:c r="A18" t="n">
        <x:v>16</x:v>
      </x:c>
      <x:c r="B18" s="18" t="n">
        <x:v>1</x:v>
      </x:c>
      <x:c r="C18" t="str">
        <x:f>IF(A18&lt;='Stage 1A Dashboard'!$B$5,('Stage 1A Dashboard'!$E$4*'Stage 1A Dashboard'!$E$5*'Stage 1A Dashboard'!$E$6*('Stage 1A Dashboard'!$E$11/100)*'Stage 1A Dashboard'!$E$7*B18),"")</x:f>
      </x:c>
      <x:c r="D18" s="38" t="str">
        <x:f>IF(C18="","",C18*'Stage 1A Dashboard'!$B$4)</x:f>
      </x:c>
      <x:c r="E18" s="38" t="n">
        <x:v>0</x:v>
      </x:c>
      <x:c r="F18" s="38" t="str">
        <x:f>IF(C18="","",'Stage 1A Dashboard'!$E$4*'Stage 1A Dashboard'!$E$5*'Stage 1A Dashboard'!$E$6*('Stage 1A Dashboard'!$E$11/100)*'Stage 1A Dashboard'!$E$9)</x:f>
      </x:c>
      <x:c r="G18" s="38" t="str">
        <x:f>IF(C18="","",'Stage 1A Dashboard'!$E$4*'Stage 1A Dashboard'!$E$10)</x:f>
      </x:c>
      <x:c r="H18" s="38" t="str">
        <x:f>IF(C18="","",-SUM(E18:G18))</x:f>
      </x:c>
      <x:c r="I18" s="38" t="str">
        <x:f>IF(C18="","",I17+D18+H18)</x:f>
      </x:c>
    </x:row>
    <x:row r="19">
      <x:c r="A19" t="n">
        <x:v>17</x:v>
      </x:c>
      <x:c r="B19" s="18" t="n">
        <x:v>1</x:v>
      </x:c>
      <x:c r="C19" t="str">
        <x:f>IF(A19&lt;='Stage 1A Dashboard'!$B$5,('Stage 1A Dashboard'!$E$4*'Stage 1A Dashboard'!$E$5*'Stage 1A Dashboard'!$E$6*('Stage 1A Dashboard'!$E$11/100)*'Stage 1A Dashboard'!$E$7*B19),"")</x:f>
      </x:c>
      <x:c r="D19" s="38" t="str">
        <x:f>IF(C19="","",C19*'Stage 1A Dashboard'!$B$4)</x:f>
      </x:c>
      <x:c r="E19" s="38" t="n">
        <x:v>0</x:v>
      </x:c>
      <x:c r="F19" s="38" t="str">
        <x:f>IF(C19="","",'Stage 1A Dashboard'!$E$4*'Stage 1A Dashboard'!$E$5*'Stage 1A Dashboard'!$E$6*('Stage 1A Dashboard'!$E$11/100)*'Stage 1A Dashboard'!$E$9)</x:f>
      </x:c>
      <x:c r="G19" s="38" t="str">
        <x:f>IF(C19="","",'Stage 1A Dashboard'!$E$4*'Stage 1A Dashboard'!$E$10)</x:f>
      </x:c>
      <x:c r="H19" s="38" t="str">
        <x:f>IF(C19="","",-SUM(E19:G19))</x:f>
      </x:c>
      <x:c r="I19" s="38" t="str">
        <x:f>IF(C19="","",I18+D19+H19)</x:f>
      </x:c>
    </x:row>
    <x:row r="20">
      <x:c r="A20" t="n">
        <x:v>18</x:v>
      </x:c>
      <x:c r="B20" s="18" t="n">
        <x:v>1</x:v>
      </x:c>
      <x:c r="C20" t="str">
        <x:f>IF(A20&lt;='Stage 1A Dashboard'!$B$5,('Stage 1A Dashboard'!$E$4*'Stage 1A Dashboard'!$E$5*'Stage 1A Dashboard'!$E$6*('Stage 1A Dashboard'!$E$11/100)*'Stage 1A Dashboard'!$E$7*B20),"")</x:f>
      </x:c>
      <x:c r="D20" s="38" t="str">
        <x:f>IF(C20="","",C20*'Stage 1A Dashboard'!$B$4)</x:f>
      </x:c>
      <x:c r="E20" s="38" t="n">
        <x:v>0</x:v>
      </x:c>
      <x:c r="F20" s="38" t="str">
        <x:f>IF(C20="","",'Stage 1A Dashboard'!$E$4*'Stage 1A Dashboard'!$E$5*'Stage 1A Dashboard'!$E$6*('Stage 1A Dashboard'!$E$11/100)*'Stage 1A Dashboard'!$E$9)</x:f>
      </x:c>
      <x:c r="G20" s="38" t="str">
        <x:f>IF(C20="","",'Stage 1A Dashboard'!$E$4*'Stage 1A Dashboard'!$E$10)</x:f>
      </x:c>
      <x:c r="H20" s="38" t="str">
        <x:f>IF(C20="","",-SUM(E20:G20))</x:f>
      </x:c>
      <x:c r="I20" s="38" t="str">
        <x:f>IF(C20="","",I19+D20+H20)</x:f>
      </x:c>
    </x:row>
    <x:row r="21">
      <x:c r="A21" t="n">
        <x:v>19</x:v>
      </x:c>
      <x:c r="B21" s="18" t="n">
        <x:v>1</x:v>
      </x:c>
      <x:c r="C21" t="str">
        <x:f>IF(A21&lt;='Stage 1A Dashboard'!$B$5,('Stage 1A Dashboard'!$E$4*'Stage 1A Dashboard'!$E$5*'Stage 1A Dashboard'!$E$6*('Stage 1A Dashboard'!$E$11/100)*'Stage 1A Dashboard'!$E$7*B21),"")</x:f>
      </x:c>
      <x:c r="D21" s="38" t="str">
        <x:f>IF(C21="","",C21*'Stage 1A Dashboard'!$B$4)</x:f>
      </x:c>
      <x:c r="E21" s="38" t="n">
        <x:v>0</x:v>
      </x:c>
      <x:c r="F21" s="38" t="str">
        <x:f>IF(C21="","",'Stage 1A Dashboard'!$E$4*'Stage 1A Dashboard'!$E$5*'Stage 1A Dashboard'!$E$6*('Stage 1A Dashboard'!$E$11/100)*'Stage 1A Dashboard'!$E$9)</x:f>
      </x:c>
      <x:c r="G21" s="38" t="str">
        <x:f>IF(C21="","",'Stage 1A Dashboard'!$E$4*'Stage 1A Dashboard'!$E$10)</x:f>
      </x:c>
      <x:c r="H21" s="38" t="str">
        <x:f>IF(C21="","",-SUM(E21:G21))</x:f>
      </x:c>
      <x:c r="I21" s="38" t="str">
        <x:f>IF(C21="","",I20+D21+H21)</x:f>
      </x:c>
    </x:row>
    <x:row r="22">
      <x:c r="A22" t="n">
        <x:v>20</x:v>
      </x:c>
      <x:c r="B22" s="18" t="n">
        <x:v>1</x:v>
      </x:c>
      <x:c r="C22" t="str">
        <x:f>IF(A22&lt;='Stage 1A Dashboard'!$B$5,('Stage 1A Dashboard'!$E$4*'Stage 1A Dashboard'!$E$5*'Stage 1A Dashboard'!$E$6*('Stage 1A Dashboard'!$E$11/100)*'Stage 1A Dashboard'!$E$7*B22),"")</x:f>
      </x:c>
      <x:c r="D22" s="38" t="str">
        <x:f>IF(C22="","",C22*'Stage 1A Dashboard'!$B$4)</x:f>
      </x:c>
      <x:c r="E22" s="38" t="n">
        <x:v>0</x:v>
      </x:c>
      <x:c r="F22" s="38" t="str">
        <x:f>IF(C22="","",'Stage 1A Dashboard'!$E$4*'Stage 1A Dashboard'!$E$5*'Stage 1A Dashboard'!$E$6*('Stage 1A Dashboard'!$E$11/100)*'Stage 1A Dashboard'!$E$9)</x:f>
      </x:c>
      <x:c r="G22" s="38" t="str">
        <x:f>IF(C22="","",'Stage 1A Dashboard'!$E$4*'Stage 1A Dashboard'!$E$10)</x:f>
      </x:c>
      <x:c r="H22" s="38" t="str">
        <x:f>IF(C22="","",-SUM(E22:G22))</x:f>
      </x:c>
      <x:c r="I22" s="38" t="str">
        <x:f>IF(C22="","",I21+D22+H22)</x:f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7" max="7" width="54.63999938964844" hidden="0" customWidth="1"/>
  </x:cols>
  <x:sheetData>
    <x:row r="1">
      <x:c r="A1" s="26" t="str">
        <x:v>Sensitivity Analysis</x:v>
      </x:c>
      <x:c r="B1" s="27"/>
      <x:c r="C1" s="27"/>
      <x:c r="D1" s="27"/>
      <x:c r="E1" s="27"/>
      <x:c r="F1" s="27"/>
      <x:c r="G1" s="34" t="str">
        <x:v>Internal sensitivity formulas use the same assumptions as the model.</x:v>
      </x:c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3">
      <x:c r="A3" s="39" t="str">
        <x:v>Carbon price</x:v>
      </x:c>
      <x:c r="B3" s="39" t="str">
        <x:v>5 years</x:v>
      </x:c>
      <x:c r="C3" s="39" t="str">
        <x:v>10 years</x:v>
      </x:c>
      <x:c r="D3" s="39" t="str">
        <x:v>15 years</x:v>
      </x:c>
      <x:c r="E3" s="39" t="str">
        <x:v>20 years</x:v>
      </x:c>
    </x:row>
    <x:row r="4">
      <x:c r="A4" s="22" t="str">
        <x:v>$10/credit</x:v>
      </x:c>
      <x:c r="B4" s="40" t="n">
        <x:f>((10*('Stage 1A Dashboard'!$E$4*'Stage 1A Dashboard'!$E$5*'Stage 1A Dashboard'!$E$6*('Stage 1A Dashboard'!$E$11/100)*'Stage 1A Dashboard'!$E$7*0))-('Stage 1A Dashboard'!$E$4*'Stage 1A Dashboard'!$E$5*'Stage 1A Dashboard'!$E$6*'Stage 1A Dashboard'!$E$8))+((10*('Stage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</x:f>
        <x:v>-253050</x:v>
      </x:c>
      <x:c r="C4" s="40" t="n">
        <x:f>((10*('Stage 1A Dashboard'!$E$4*'Stage 1A Dashboard'!$E$5*'Stage 1A Dashboard'!$E$6*('Stage 1A Dashboard'!$E$11/100)*'Stage 1A Dashboard'!$E$7*0))-('Stage 1A Dashboard'!$E$4*'Stage 1A Dashboard'!$E$5*'Stage 1A Dashboard'!$E$6*'Stage 1A Dashboard'!$E$8))+((10*('Stage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</x:f>
        <x:v>-315750</x:v>
      </x:c>
      <x:c r="D4" s="40" t="n">
        <x:f>((10*('Stage 1A Dashboard'!$E$4*'Stage 1A Dashboard'!$E$5*'Stage 1A Dashboard'!$E$6*('Stage 1A Dashboard'!$E$11/100)*'Stage 1A Dashboard'!$E$7*0))-('Stage 1A Dashboard'!$E$4*'Stage 1A Dashboard'!$E$5*'Stage 1A Dashboard'!$E$6*'Stage 1A Dashboard'!$E$8))+((10*('Stage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</x:f>
        <x:v>-353250</x:v>
      </x:c>
      <x:c r="E4" s="40" t="n">
        <x:f>((10*('Stage 1A Dashboard'!$E$4*'Stage 1A Dashboard'!$E$5*'Stage 1A Dashboard'!$E$6*('Stage 1A Dashboard'!$E$11/100)*'Stage 1A Dashboard'!$E$7*0))-('Stage 1A Dashboard'!$E$4*'Stage 1A Dashboard'!$E$5*'Stage 1A Dashboard'!$E$6*'Stage 1A Dashboard'!$E$8))+((10*('Stage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</x:f>
        <x:v>-390750</x:v>
      </x:c>
    </x:row>
    <x:row r="5">
      <x:c r="A5" s="22" t="str">
        <x:v>$20/credit</x:v>
      </x:c>
      <x:c r="B5" s="40" t="n">
        <x:f>((20*('Stage 1A Dashboard'!$E$4*'Stage 1A Dashboard'!$E$5*'Stage 1A Dashboard'!$E$6*('Stage 1A Dashboard'!$E$11/100)*'Stage 1A Dashboard'!$E$7*0))-('Stage 1A Dashboard'!$E$4*'Stage 1A Dashboard'!$E$5*'Stage 1A Dashboard'!$E$6*'Stage 1A Dashboard'!$E$8))+((20*('Stage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</x:f>
        <x:v>-243600</x:v>
      </x:c>
      <x:c r="C5" s="40" t="n">
        <x:f>((20*('Stage 1A Dashboard'!$E$4*'Stage 1A Dashboard'!$E$5*'Stage 1A Dashboard'!$E$6*('Stage 1A Dashboard'!$E$11/100)*'Stage 1A Dashboard'!$E$7*0))-('Stage 1A Dashboard'!$E$4*'Stage 1A Dashboard'!$E$5*'Stage 1A Dashboard'!$E$6*'Stage 1A Dashboard'!$E$8))+((20*('Stage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</x:f>
        <x:v>-256500</x:v>
      </x:c>
      <x:c r="D5" s="40" t="n">
        <x:f>((20*('Stage 1A Dashboard'!$E$4*'Stage 1A Dashboard'!$E$5*'Stage 1A Dashboard'!$E$6*('Stage 1A Dashboard'!$E$11/100)*'Stage 1A Dashboard'!$E$7*0))-('Stage 1A Dashboard'!$E$4*'Stage 1A Dashboard'!$E$5*'Stage 1A Dashboard'!$E$6*'Stage 1A Dashboard'!$E$8))+((20*('Stage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</x:f>
        <x:v>-219000</x:v>
      </x:c>
      <x:c r="E5" s="40" t="n">
        <x:f>((20*('Stage 1A Dashboard'!$E$4*'Stage 1A Dashboard'!$E$5*'Stage 1A Dashboard'!$E$6*('Stage 1A Dashboard'!$E$11/100)*'Stage 1A Dashboard'!$E$7*0))-('Stage 1A Dashboard'!$E$4*'Stage 1A Dashboard'!$E$5*'Stage 1A Dashboard'!$E$6*'Stage 1A Dashboard'!$E$8))+((20*('Stage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</x:f>
        <x:v>-181500</x:v>
      </x:c>
    </x:row>
    <x:row r="6">
      <x:c r="A6" s="22" t="str">
        <x:v>$30/credit</x:v>
      </x:c>
      <x:c r="B6" s="40" t="n">
        <x:f>((30*('Stage 1A Dashboard'!$E$4*'Stage 1A Dashboard'!$E$5*'Stage 1A Dashboard'!$E$6*('Stage 1A Dashboard'!$E$11/100)*'Stage 1A Dashboard'!$E$7*0))-('Stage 1A Dashboard'!$E$4*'Stage 1A Dashboard'!$E$5*'Stage 1A Dashboard'!$E$6*'Stage 1A Dashboard'!$E$8))+((30*('Stage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</x:f>
        <x:v>-234150</x:v>
      </x:c>
      <x:c r="C6" s="40" t="n">
        <x:f>((30*('Stage 1A Dashboard'!$E$4*'Stage 1A Dashboard'!$E$5*'Stage 1A Dashboard'!$E$6*('Stage 1A Dashboard'!$E$11/100)*'Stage 1A Dashboard'!$E$7*0))-('Stage 1A Dashboard'!$E$4*'Stage 1A Dashboard'!$E$5*'Stage 1A Dashboard'!$E$6*'Stage 1A Dashboard'!$E$8))+((30*('Stage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</x:f>
        <x:v>-197250</x:v>
      </x:c>
      <x:c r="D6" s="40" t="n">
        <x:f>((30*('Stage 1A Dashboard'!$E$4*'Stage 1A Dashboard'!$E$5*'Stage 1A Dashboard'!$E$6*('Stage 1A Dashboard'!$E$11/100)*'Stage 1A Dashboard'!$E$7*0))-('Stage 1A Dashboard'!$E$4*'Stage 1A Dashboard'!$E$5*'Stage 1A Dashboard'!$E$6*'Stage 1A Dashboard'!$E$8))+((30*('Stage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</x:f>
        <x:v>-84750</x:v>
      </x:c>
      <x:c r="E6" s="40" t="n">
        <x:f>((30*('Stage 1A Dashboard'!$E$4*'Stage 1A Dashboard'!$E$5*'Stage 1A Dashboard'!$E$6*('Stage 1A Dashboard'!$E$11/100)*'Stage 1A Dashboard'!$E$7*0))-('Stage 1A Dashboard'!$E$4*'Stage 1A Dashboard'!$E$5*'Stage 1A Dashboard'!$E$6*'Stage 1A Dashboard'!$E$8))+((30*('Stage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</x:f>
        <x:v>27750</x:v>
      </x:c>
    </x:row>
    <x:row r="7">
      <x:c r="A7" s="22" t="str">
        <x:v>$40/credit</x:v>
      </x:c>
      <x:c r="B7" s="40" t="n">
        <x:f>((40*('Stage 1A Dashboard'!$E$4*'Stage 1A Dashboard'!$E$5*'Stage 1A Dashboard'!$E$6*('Stage 1A Dashboard'!$E$11/100)*'Stage 1A Dashboard'!$E$7*0))-('Stage 1A Dashboard'!$E$4*'Stage 1A Dashboard'!$E$5*'Stage 1A Dashboard'!$E$6*'Stage 1A Dashboard'!$E$8))+((40*('Stage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</x:f>
        <x:v>-224700</x:v>
      </x:c>
      <x:c r="C7" s="40" t="n">
        <x:f>((40*('Stage 1A Dashboard'!$E$4*'Stage 1A Dashboard'!$E$5*'Stage 1A Dashboard'!$E$6*('Stage 1A Dashboard'!$E$11/100)*'Stage 1A Dashboard'!$E$7*0))-('Stage 1A Dashboard'!$E$4*'Stage 1A Dashboard'!$E$5*'Stage 1A Dashboard'!$E$6*'Stage 1A Dashboard'!$E$8))+((40*('Stage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</x:f>
        <x:v>-138000</x:v>
      </x:c>
      <x:c r="D7" s="40" t="n">
        <x:f>((40*('Stage 1A Dashboard'!$E$4*'Stage 1A Dashboard'!$E$5*'Stage 1A Dashboard'!$E$6*('Stage 1A Dashboard'!$E$11/100)*'Stage 1A Dashboard'!$E$7*0))-('Stage 1A Dashboard'!$E$4*'Stage 1A Dashboard'!$E$5*'Stage 1A Dashboard'!$E$6*'Stage 1A Dashboard'!$E$8))+((40*('Stage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</x:f>
        <x:v>49500</x:v>
      </x:c>
      <x:c r="E7" s="40" t="n">
        <x:f>((40*('Stage 1A Dashboard'!$E$4*'Stage 1A Dashboard'!$E$5*'Stage 1A Dashboard'!$E$6*('Stage 1A Dashboard'!$E$11/100)*'Stage 1A Dashboard'!$E$7*0))-('Stage 1A Dashboard'!$E$4*'Stage 1A Dashboard'!$E$5*'Stage 1A Dashboard'!$E$6*'Stage 1A Dashboard'!$E$8))+((40*('Stage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</x:f>
        <x:v>237000</x:v>
      </x:c>
    </x:row>
    <x:row r="8">
      <x:c r="A8" s="22" t="str">
        <x:v>$50/credit</x:v>
      </x:c>
      <x:c r="B8" s="40" t="n">
        <x:f>((50*('Stage 1A Dashboard'!$E$4*'Stage 1A Dashboard'!$E$5*'Stage 1A Dashboard'!$E$6*('Stage 1A Dashboard'!$E$11/100)*'Stage 1A Dashboard'!$E$7*0))-('Stage 1A Dashboard'!$E$4*'Stage 1A Dashboard'!$E$5*'Stage 1A Dashboard'!$E$6*'Stage 1A Dashboard'!$E$8))+((50*('Stage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</x:f>
        <x:v>-215250</x:v>
      </x:c>
      <x:c r="C8" s="40" t="n">
        <x:f>((50*('Stage 1A Dashboard'!$E$4*'Stage 1A Dashboard'!$E$5*'Stage 1A Dashboard'!$E$6*('Stage 1A Dashboard'!$E$11/100)*'Stage 1A Dashboard'!$E$7*0))-('Stage 1A Dashboard'!$E$4*'Stage 1A Dashboard'!$E$5*'Stage 1A Dashboard'!$E$6*'Stage 1A Dashboard'!$E$8))+((50*('Stage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</x:f>
        <x:v>-78750</x:v>
      </x:c>
      <x:c r="D8" s="40" t="n">
        <x:f>((50*('Stage 1A Dashboard'!$E$4*'Stage 1A Dashboard'!$E$5*'Stage 1A Dashboard'!$E$6*('Stage 1A Dashboard'!$E$11/100)*'Stage 1A Dashboard'!$E$7*0))-('Stage 1A Dashboard'!$E$4*'Stage 1A Dashboard'!$E$5*'Stage 1A Dashboard'!$E$6*'Stage 1A Dashboard'!$E$8))+((50*('Stage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</x:f>
        <x:v>183750</x:v>
      </x:c>
      <x:c r="E8" s="40" t="n">
        <x:f>((50*('Stage 1A Dashboard'!$E$4*'Stage 1A Dashboard'!$E$5*'Stage 1A Dashboard'!$E$6*('Stage 1A Dashboard'!$E$11/100)*'Stage 1A Dashboard'!$E$7*0))-('Stage 1A Dashboard'!$E$4*'Stage 1A Dashboard'!$E$5*'Stage 1A Dashboard'!$E$6*'Stage 1A Dashboard'!$E$8))+((50*('Stage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</x:f>
        <x:v>446250</x:v>
      </x:c>
    </x:row>
    <x:row r="9">
      <x:c r="A9" s="22" t="str">
        <x:v>$60/credit</x:v>
      </x:c>
      <x:c r="B9" s="40" t="n">
        <x:f>((60*('Stage 1A Dashboard'!$E$4*'Stage 1A Dashboard'!$E$5*'Stage 1A Dashboard'!$E$6*('Stage 1A Dashboard'!$E$11/100)*'Stage 1A Dashboard'!$E$7*0))-('Stage 1A Dashboard'!$E$4*'Stage 1A Dashboard'!$E$5*'Stage 1A Dashboard'!$E$6*'Stage 1A Dashboard'!$E$8))+((60*('Stage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</x:f>
        <x:v>-205800</x:v>
      </x:c>
      <x:c r="C9" s="40" t="n">
        <x:f>((60*('Stage 1A Dashboard'!$E$4*'Stage 1A Dashboard'!$E$5*'Stage 1A Dashboard'!$E$6*('Stage 1A Dashboard'!$E$11/100)*'Stage 1A Dashboard'!$E$7*0))-('Stage 1A Dashboard'!$E$4*'Stage 1A Dashboard'!$E$5*'Stage 1A Dashboard'!$E$6*'Stage 1A Dashboard'!$E$8))+((60*('Stage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</x:f>
        <x:v>-19500</x:v>
      </x:c>
      <x:c r="D9" s="40" t="n">
        <x:f>((60*('Stage 1A Dashboard'!$E$4*'Stage 1A Dashboard'!$E$5*'Stage 1A Dashboard'!$E$6*('Stage 1A Dashboard'!$E$11/100)*'Stage 1A Dashboard'!$E$7*0))-('Stage 1A Dashboard'!$E$4*'Stage 1A Dashboard'!$E$5*'Stage 1A Dashboard'!$E$6*'Stage 1A Dashboard'!$E$8))+((60*('Stage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</x:f>
        <x:v>318000</x:v>
      </x:c>
      <x:c r="E9" s="40" t="n">
        <x:f>((60*('Stage 1A Dashboard'!$E$4*'Stage 1A Dashboard'!$E$5*'Stage 1A Dashboard'!$E$6*('Stage 1A Dashboard'!$E$11/100)*'Stage 1A Dashboard'!$E$7*0))-('Stage 1A Dashboard'!$E$4*'Stage 1A Dashboard'!$E$5*'Stage 1A Dashboard'!$E$6*'Stage 1A Dashboard'!$E$8))+((60*('Stage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</x:f>
        <x:v>655500</x:v>
      </x:c>
    </x:row>
    <x:row r="11">
      <x:c r="A11" s="41" t="str">
        <x:v>Green cells are positive cumulative position. Red cells are negative cumulative position.</x:v>
      </x:c>
    </x:row>
  </x:sheetData>
  <x:mergeCells>
    <x:mergeCell ref="A11:E11"/>
  </x:mergeCells>
  <x:conditionalFormatting sqref="B4:E9">
    <x:cfRule type="cellIs" dxfId="2" priority="1" operator="lessThan">
      <x:formula>0</x:formula>
    </x:cfRule>
    <x:cfRule type="cellIs" dxfId="3" priority="2" operator="greaterThanOrEqual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36" t="str">
        <x:v>Stage 1A Notes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3">
      <x:c r="A3" s="22" t="str">
        <x:v>Purpose</x:v>
      </x:c>
    </x:row>
    <x:row r="4">
      <x:c r="A4" t="str">
        <x:v>This workbook mirrors the Stage 1A web tool. It is intended as a simple learning model, not a full project finance model.</x:v>
      </x:c>
    </x:row>
    <x:row r="5">
      <x:c r="A5" t="str"/>
    </x:row>
    <x:row r="6">
      <x:c r="A6" s="22" t="str">
        <x:v>Stage 1A focus</x:v>
      </x:c>
    </x:row>
    <x:row r="7">
      <x:c r="A7" t="str">
        <x:v>The model isolates two adjustable variables: carbon price and project length.</x:v>
      </x:c>
    </x:row>
    <x:row r="8">
      <x:c r="A8" t="str">
        <x:v>All biological and cost assumptions are held constant for now.</x:v>
      </x:c>
    </x:row>
    <x:row r="9">
      <x:c r="A9" t="str"/>
    </x:row>
    <x:row r="10">
      <x:c r="A10" s="22" t="str">
        <x:v>Workbook structure</x:v>
      </x:c>
    </x:row>
    <x:row r="11">
      <x:c r="A11" t="str">
        <x:v>Stage 1A Dashboard: user inputs, key outputs, and chart.</x:v>
      </x:c>
    </x:row>
    <x:row r="12">
      <x:c r="A12" t="str">
        <x:v>Calculations: year-by-year revenue, cost, and cumulative position calculations.</x:v>
      </x:c>
    </x:row>
    <x:row r="13">
      <x:c r="A13" t="str">
        <x:v>Sensitivity Analysis: same model logic across carbon price and project length combinations.</x:v>
      </x:c>
    </x:row>
    <x:row r="14">
      <x:c r="A14" t="str">
        <x:v>Notes: explanatory guidance.</x:v>
      </x:c>
    </x:row>
    <x:row r="15">
      <x:c r="A15" t="str"/>
    </x:row>
  </x:sheetData>
  <x:pageMargins left="0.7" right="0.7" top="0.75" bottom="0.75" header="0.3" footer="0.3"/>
</x:worksheet>
</file>